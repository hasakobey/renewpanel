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0b5e4512df49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YLIK ALIM TAKİBİ" sheetId="1" r:id="R5f1f8cc1a68a4d8f"/>
    <x:sheet xmlns:r="http://schemas.openxmlformats.org/officeDocument/2006/relationships" name="PARAMETRE" sheetId="2" r:id="Rcd86e28459db4f0a"/>
    <x:sheet xmlns:r="http://schemas.openxmlformats.org/officeDocument/2006/relationships" name="AYLIK ÖZET" sheetId="3" r:id="Rf23dc5461e2c4240"/>
    <x:sheet xmlns:r="http://schemas.openxmlformats.org/officeDocument/2006/relationships" name="PANEL AKTARIM" sheetId="4" r:id="Rce5de21be94a47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.mm.yyyy"/>
    <x:numFmt numFmtId="201" formatCode="#,##0 &quot;TL&quot;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F6B"/>
      </x:patternFill>
    </x:fill>
    <x:fill>
      <x:patternFill patternType="solid">
        <x:fgColor rgb="FFD9EAF7"/>
      </x:patternFill>
    </x:fill>
    <x:fill>
      <x:patternFill patternType="solid">
        <x:fgColor rgb="FF245A87"/>
      </x:patternFill>
    </x:fill>
    <x:fill>
      <x:patternFill patternType="solid">
        <x:fgColor rgb="FFFFF5CC"/>
      </x:patternFill>
    </x:fill>
    <x:fill>
      <x:patternFill patternType="solid">
        <x:fgColor rgb="FFD9F0FA"/>
      </x:patternFill>
    </x:fill>
    <x:fill>
      <x:patternFill patternType="solid">
        <x:fgColor rgb="FFDFF2D8"/>
      </x:patternFill>
    </x:fill>
  </x:fills>
  <x:borders count="2">
    <x:border/>
    <x:border/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5" borderId="0" xfId="0" applyNumberFormat="1" applyFont="1" applyFill="1" applyBorder="1"/>
    <x:xf numFmtId="0" fontId="0" fillId="5" borderId="0" xfId="0" applyNumberFormat="1" applyFont="1" applyFill="1" applyBorder="1"/>
    <x:xf numFmtId="201" fontId="0" fillId="5" borderId="0" xfId="0" applyNumberFormat="1" applyFont="1" applyFill="1" applyBorder="1"/>
    <x:xf numFmtId="200" fontId="0" fillId="5" borderId="1" xfId="0" applyNumberFormat="1" applyFont="1" applyFill="1" applyBorder="1"/>
    <x:xf numFmtId="0" fontId="0" fillId="5" borderId="1" xfId="0" applyNumberFormat="1" applyFont="1" applyFill="1" applyBorder="1"/>
    <x:xf numFmtId="201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201" fontId="0" fillId="7" borderId="0" xfId="0" applyNumberFormat="1" applyFont="1" applyFill="1" applyBorder="1"/>
    <x:xf numFmtId="201" fontId="0" fillId="7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7018f889264d61" /><Relationship Type="http://schemas.openxmlformats.org/officeDocument/2006/relationships/theme" Target="/xl/theme/theme1.xml" Id="Rc18e0c34380d46c5" /><Relationship Type="http://schemas.openxmlformats.org/officeDocument/2006/relationships/sharedStrings" Target="/xl/sharedStrings.xml" Id="Rc1854b9ecf1e437f" /><Relationship Type="http://schemas.openxmlformats.org/officeDocument/2006/relationships/worksheet" Target="/xl/worksheets/sheet1.xml" Id="R5f1f8cc1a68a4d8f" /><Relationship Type="http://schemas.openxmlformats.org/officeDocument/2006/relationships/worksheet" Target="/xl/worksheets/sheet2.xml" Id="Rcd86e28459db4f0a" /><Relationship Type="http://schemas.openxmlformats.org/officeDocument/2006/relationships/worksheet" Target="/xl/worksheets/sheet3.xml" Id="Rf23dc5461e2c4240" /><Relationship Type="http://schemas.openxmlformats.org/officeDocument/2006/relationships/worksheet" Target="/xl/worksheets/sheet4.xml" Id="Rce5de21be94a47d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fc496d76da1427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Alım Türü Dağılımı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ADET</c:v>
          </c:tx>
          <c:cat>
            <c:strRef>
              <c:f>'AYLIK ÖZET'!$A$11:$A$14</c:f>
              <c:strCache>
                <c:ptCount val="0"/>
              </c:strCache>
            </c:strRef>
          </c:cat>
          <c:val>
            <c:numRef>
              <c:f>'AYLIK ÖZET'!$B$11:$B$14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16</xdr:row>
      <xdr:rowOff>0</xdr:rowOff>
    </xdr:from>
    <xdr:to>
      <xdr:col>3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fc496d76da1427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ylikAlimTablosu" displayName="AylikAlimTablosu" ref="A4:Q204" headerRowCount="1" totalsRowCount="0" totalsRowShown="0">
  <x:tableColumns count="17">
    <x:tableColumn id="1" name="SIRA"/>
    <x:tableColumn id="2" name="ALIM TARİHİ"/>
    <x:tableColumn id="3" name="AY"/>
    <x:tableColumn id="4" name="PLAKA"/>
    <x:tableColumn id="5" name="MODEL YILI"/>
    <x:tableColumn id="6" name="KM"/>
    <x:tableColumn id="7" name="MARKA"/>
    <x:tableColumn id="8" name="MODEL"/>
    <x:tableColumn id="9" name="VERSİYON"/>
    <x:tableColumn id="10" name="RENK"/>
    <x:tableColumn id="11" name="YAKIT"/>
    <x:tableColumn id="12" name="VİTES"/>
    <x:tableColumn id="13" name="ALIM TÜRÜ"/>
    <x:tableColumn id="14" name="ALINAN KİŞİ / EKSPERTİZ PERSONELİ"/>
    <x:tableColumn id="15" name="ALIŞ FİYATI"/>
    <x:tableColumn id="16" name="MASRAF"/>
    <x:tableColumn id="17" name="TOPLAM ALIŞ MALİYETİ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929a1ac3a6c43e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7d6d4085bd124617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3" hidden="0" customWidth="1"/>
    <x:col min="3" max="3" width="17" hidden="0" customWidth="1"/>
    <x:col min="4" max="4" width="14" hidden="0" customWidth="1"/>
    <x:col min="5" max="5" width="11" hidden="0" customWidth="1"/>
    <x:col min="6" max="6" width="12" hidden="0" customWidth="1"/>
    <x:col min="7" max="7" width="15" hidden="0" customWidth="1"/>
    <x:col min="8" max="8" width="18" hidden="0" customWidth="1"/>
    <x:col min="9" max="9" width="28" hidden="0" customWidth="1"/>
    <x:col min="10" max="10" width="14" hidden="0" customWidth="1"/>
    <x:col min="11" max="11" width="15" hidden="0" customWidth="1"/>
    <x:col min="12" max="12" width="13" hidden="0" customWidth="1"/>
    <x:col min="13" max="13" width="16" hidden="0" customWidth="1"/>
    <x:col min="14" max="14" width="28" hidden="0" customWidth="1"/>
    <x:col min="15" max="15" width="16" hidden="0" customWidth="1"/>
    <x:col min="16" max="16" width="14" hidden="0" customWidth="1"/>
    <x:col min="17" max="17" width="19" hidden="0" customWidth="1"/>
  </x:cols>
  <x:sheetData>
    <x:row r="1" ht="30" customHeight="1">
      <x:c r="A1" s="4" t="str">
        <x:v>RENEW • AYLIK ARAÇ ALIM &amp; KAYNAK TAKİBİ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>
      <x:c r="A2" s="9" t="str">
        <x:v>Her alınan araç tek satırdır. Ay bazında araç, alım kaynağı/personeli ve maliyet takibi için panel ana veri yapısı.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</x:row>
    <x:row r="4" ht="34" customHeight="1">
      <x:c r="A4" s="16" t="str">
        <x:v>SIRA</x:v>
      </x:c>
      <x:c r="B4" s="16" t="str">
        <x:v>ALIM TARİHİ</x:v>
      </x:c>
      <x:c r="C4" s="16" t="str">
        <x:v>AY</x:v>
      </x:c>
      <x:c r="D4" s="16" t="str">
        <x:v>PLAKA</x:v>
      </x:c>
      <x:c r="E4" s="16" t="str">
        <x:v>MODEL YILI</x:v>
      </x:c>
      <x:c r="F4" s="16" t="str">
        <x:v>KM</x:v>
      </x:c>
      <x:c r="G4" s="16" t="str">
        <x:v>MARKA</x:v>
      </x:c>
      <x:c r="H4" s="16" t="str">
        <x:v>MODEL</x:v>
      </x:c>
      <x:c r="I4" s="16" t="str">
        <x:v>VERSİYON</x:v>
      </x:c>
      <x:c r="J4" s="16" t="str">
        <x:v>RENK</x:v>
      </x:c>
      <x:c r="K4" s="16" t="str">
        <x:v>YAKIT</x:v>
      </x:c>
      <x:c r="L4" s="16" t="str">
        <x:v>VİTES</x:v>
      </x:c>
      <x:c r="M4" s="16" t="str">
        <x:v>ALIM TÜRÜ</x:v>
      </x:c>
      <x:c r="N4" s="16" t="str">
        <x:v>ALINAN KİŞİ / EKSPERTİZ PERSONELİ</x:v>
      </x:c>
      <x:c r="O4" s="16" t="str">
        <x:v>ALIŞ FİYATI</x:v>
      </x:c>
      <x:c r="P4" s="16" t="str">
        <x:v>MASRAF</x:v>
      </x:c>
      <x:c r="Q4" s="16" t="str">
        <x:v>TOPLAM ALIŞ MALİYETİ</x:v>
      </x:c>
    </x:row>
    <x:row r="5">
      <x:c r="A5" s="32" t="str">
        <x:f>IF(D5="","",ROW()-4)</x:f>
      </x:c>
      <x:c r="B5" s="26"/>
      <x:c r="C5" s="27" t="str">
        <x:f>IF(B5="","",TEXT(B5,"mmmm yyyy"))</x:f>
      </x:c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8"/>
      <x:c r="P5" s="28"/>
      <x:c r="Q5" s="34" t="str">
        <x:f>IF(O5="","",O5+IF(P5="",0,P5))</x:f>
      </x:c>
    </x:row>
    <x:row r="6">
      <x:c r="A6" s="32" t="str">
        <x:f>IF(D6="","",ROW()-4)</x:f>
      </x:c>
      <x:c r="B6" s="26"/>
      <x:c r="C6" s="27" t="str">
        <x:f>IF(B6="","",TEXT(B6,"mmmm yyyy"))</x:f>
      </x:c>
      <x:c r="D6" s="27"/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8"/>
      <x:c r="P6" s="28"/>
      <x:c r="Q6" s="34" t="str">
        <x:f>IF(O6="","",O6+IF(P6="",0,P6))</x:f>
      </x:c>
    </x:row>
    <x:row r="7">
      <x:c r="A7" s="32" t="str">
        <x:f>IF(D7="","",ROW()-4)</x:f>
      </x:c>
      <x:c r="B7" s="26"/>
      <x:c r="C7" s="27" t="str">
        <x:f>IF(B7="","",TEXT(B7,"mmmm yyyy"))</x:f>
      </x:c>
      <x:c r="D7" s="27"/>
      <x:c r="E7" s="27"/>
      <x:c r="F7" s="27"/>
      <x:c r="G7" s="27"/>
      <x:c r="H7" s="27"/>
      <x:c r="I7" s="27"/>
      <x:c r="J7" s="27"/>
      <x:c r="K7" s="27"/>
      <x:c r="L7" s="27"/>
      <x:c r="M7" s="27"/>
      <x:c r="N7" s="27"/>
      <x:c r="O7" s="28"/>
      <x:c r="P7" s="28"/>
      <x:c r="Q7" s="34" t="str">
        <x:f>IF(O7="","",O7+IF(P7="",0,P7))</x:f>
      </x:c>
    </x:row>
    <x:row r="8">
      <x:c r="A8" s="32" t="str">
        <x:f>IF(D8="","",ROW()-4)</x:f>
      </x:c>
      <x:c r="B8" s="26"/>
      <x:c r="C8" s="27" t="str">
        <x:f>IF(B8="","",TEXT(B8,"mmmm yyyy"))</x:f>
      </x:c>
      <x:c r="D8" s="27"/>
      <x:c r="E8" s="27"/>
      <x:c r="F8" s="27"/>
      <x:c r="G8" s="27"/>
      <x:c r="H8" s="27"/>
      <x:c r="I8" s="27"/>
      <x:c r="J8" s="27"/>
      <x:c r="K8" s="27"/>
      <x:c r="L8" s="27"/>
      <x:c r="M8" s="27"/>
      <x:c r="N8" s="27"/>
      <x:c r="O8" s="28"/>
      <x:c r="P8" s="28"/>
      <x:c r="Q8" s="34" t="str">
        <x:f>IF(O8="","",O8+IF(P8="",0,P8))</x:f>
      </x:c>
    </x:row>
    <x:row r="9">
      <x:c r="A9" s="32" t="str">
        <x:f>IF(D9="","",ROW()-4)</x:f>
      </x:c>
      <x:c r="B9" s="26"/>
      <x:c r="C9" s="27" t="str">
        <x:f>IF(B9="","",TEXT(B9,"mmmm yyyy"))</x:f>
      </x:c>
      <x:c r="D9" s="27"/>
      <x:c r="E9" s="27"/>
      <x:c r="F9" s="27"/>
      <x:c r="G9" s="27"/>
      <x:c r="H9" s="27"/>
      <x:c r="I9" s="27"/>
      <x:c r="J9" s="27"/>
      <x:c r="K9" s="27"/>
      <x:c r="L9" s="27"/>
      <x:c r="M9" s="27"/>
      <x:c r="N9" s="27"/>
      <x:c r="O9" s="28"/>
      <x:c r="P9" s="28"/>
      <x:c r="Q9" s="34" t="str">
        <x:f>IF(O9="","",O9+IF(P9="",0,P9))</x:f>
      </x:c>
    </x:row>
    <x:row r="10">
      <x:c r="A10" s="32" t="str">
        <x:f>IF(D10="","",ROW()-4)</x:f>
      </x:c>
      <x:c r="B10" s="26"/>
      <x:c r="C10" s="27" t="str">
        <x:f>IF(B10="","",TEXT(B10,"mmmm yyyy"))</x:f>
      </x:c>
      <x:c r="D10" s="27"/>
      <x:c r="E10" s="27"/>
      <x:c r="F10" s="27"/>
      <x:c r="G10" s="27"/>
      <x:c r="H10" s="27"/>
      <x:c r="I10" s="27"/>
      <x:c r="J10" s="27"/>
      <x:c r="K10" s="27"/>
      <x:c r="L10" s="27"/>
      <x:c r="M10" s="27"/>
      <x:c r="N10" s="27"/>
      <x:c r="O10" s="28"/>
      <x:c r="P10" s="28"/>
      <x:c r="Q10" s="34" t="str">
        <x:f>IF(O10="","",O10+IF(P10="",0,P10))</x:f>
      </x:c>
    </x:row>
    <x:row r="11">
      <x:c r="A11" s="32" t="str">
        <x:f>IF(D11="","",ROW()-4)</x:f>
      </x:c>
      <x:c r="B11" s="26"/>
      <x:c r="C11" s="27" t="str">
        <x:f>IF(B11="","",TEXT(B11,"mmmm yyyy"))</x:f>
      </x:c>
      <x:c r="D11" s="27"/>
      <x:c r="E11" s="27"/>
      <x:c r="F11" s="27"/>
      <x:c r="G11" s="27"/>
      <x:c r="H11" s="27"/>
      <x:c r="I11" s="27"/>
      <x:c r="J11" s="27"/>
      <x:c r="K11" s="27"/>
      <x:c r="L11" s="27"/>
      <x:c r="M11" s="27"/>
      <x:c r="N11" s="27"/>
      <x:c r="O11" s="28"/>
      <x:c r="P11" s="28"/>
      <x:c r="Q11" s="34" t="str">
        <x:f>IF(O11="","",O11+IF(P11="",0,P11))</x:f>
      </x:c>
    </x:row>
    <x:row r="12">
      <x:c r="A12" s="32" t="str">
        <x:f>IF(D12="","",ROW()-4)</x:f>
      </x:c>
      <x:c r="B12" s="26"/>
      <x:c r="C12" s="27" t="str">
        <x:f>IF(B12="","",TEXT(B12,"mmmm yyyy"))</x:f>
      </x:c>
      <x:c r="D12" s="27"/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  <x:c r="O12" s="28"/>
      <x:c r="P12" s="28"/>
      <x:c r="Q12" s="34" t="str">
        <x:f>IF(O12="","",O12+IF(P12="",0,P12))</x:f>
      </x:c>
    </x:row>
    <x:row r="13">
      <x:c r="A13" s="32" t="str">
        <x:f>IF(D13="","",ROW()-4)</x:f>
      </x:c>
      <x:c r="B13" s="26"/>
      <x:c r="C13" s="27" t="str">
        <x:f>IF(B13="","",TEXT(B13,"mmmm yyyy"))</x:f>
      </x:c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O13" s="28"/>
      <x:c r="P13" s="28"/>
      <x:c r="Q13" s="34" t="str">
        <x:f>IF(O13="","",O13+IF(P13="",0,P13))</x:f>
      </x:c>
    </x:row>
    <x:row r="14">
      <x:c r="A14" s="32" t="str">
        <x:f>IF(D14="","",ROW()-4)</x:f>
      </x:c>
      <x:c r="B14" s="26"/>
      <x:c r="C14" s="27" t="str">
        <x:f>IF(B14="","",TEXT(B14,"mmmm yyyy"))</x:f>
      </x:c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8"/>
      <x:c r="P14" s="28"/>
      <x:c r="Q14" s="34" t="str">
        <x:f>IF(O14="","",O14+IF(P14="",0,P14))</x:f>
      </x:c>
    </x:row>
    <x:row r="15">
      <x:c r="A15" s="32" t="str">
        <x:f>IF(D15="","",ROW()-4)</x:f>
      </x:c>
      <x:c r="B15" s="26"/>
      <x:c r="C15" s="27" t="str">
        <x:f>IF(B15="","",TEXT(B15,"mmmm yyyy"))</x:f>
      </x:c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8"/>
      <x:c r="P15" s="28"/>
      <x:c r="Q15" s="34" t="str">
        <x:f>IF(O15="","",O15+IF(P15="",0,P15))</x:f>
      </x:c>
    </x:row>
    <x:row r="16">
      <x:c r="A16" s="32" t="str">
        <x:f>IF(D16="","",ROW()-4)</x:f>
      </x:c>
      <x:c r="B16" s="26"/>
      <x:c r="C16" s="27" t="str">
        <x:f>IF(B16="","",TEXT(B16,"mmmm yyyy"))</x:f>
      </x:c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8"/>
      <x:c r="P16" s="28"/>
      <x:c r="Q16" s="34" t="str">
        <x:f>IF(O16="","",O16+IF(P16="",0,P16))</x:f>
      </x:c>
    </x:row>
    <x:row r="17">
      <x:c r="A17" s="32" t="str">
        <x:f>IF(D17="","",ROW()-4)</x:f>
      </x:c>
      <x:c r="B17" s="26"/>
      <x:c r="C17" s="27" t="str">
        <x:f>IF(B17="","",TEXT(B17,"mmmm yyyy"))</x:f>
      </x:c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8"/>
      <x:c r="P17" s="28"/>
      <x:c r="Q17" s="34" t="str">
        <x:f>IF(O17="","",O17+IF(P17="",0,P17))</x:f>
      </x:c>
    </x:row>
    <x:row r="18">
      <x:c r="A18" s="32" t="str">
        <x:f>IF(D18="","",ROW()-4)</x:f>
      </x:c>
      <x:c r="B18" s="26"/>
      <x:c r="C18" s="27" t="str">
        <x:f>IF(B18="","",TEXT(B18,"mmmm yyyy"))</x:f>
      </x:c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8"/>
      <x:c r="P18" s="28"/>
      <x:c r="Q18" s="34" t="str">
        <x:f>IF(O18="","",O18+IF(P18="",0,P18))</x:f>
      </x:c>
    </x:row>
    <x:row r="19">
      <x:c r="A19" s="32" t="str">
        <x:f>IF(D19="","",ROW()-4)</x:f>
      </x:c>
      <x:c r="B19" s="26"/>
      <x:c r="C19" s="27" t="str">
        <x:f>IF(B19="","",TEXT(B19,"mmmm yyyy"))</x:f>
      </x:c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8"/>
      <x:c r="P19" s="28"/>
      <x:c r="Q19" s="34" t="str">
        <x:f>IF(O19="","",O19+IF(P19="",0,P19))</x:f>
      </x:c>
    </x:row>
    <x:row r="20">
      <x:c r="A20" s="32" t="str">
        <x:f>IF(D20="","",ROW()-4)</x:f>
      </x:c>
      <x:c r="B20" s="26"/>
      <x:c r="C20" s="27" t="str">
        <x:f>IF(B20="","",TEXT(B20,"mmmm yyyy"))</x:f>
      </x:c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8"/>
      <x:c r="P20" s="28"/>
      <x:c r="Q20" s="34" t="str">
        <x:f>IF(O20="","",O20+IF(P20="",0,P20))</x:f>
      </x:c>
    </x:row>
    <x:row r="21">
      <x:c r="A21" s="32" t="str">
        <x:f>IF(D21="","",ROW()-4)</x:f>
      </x:c>
      <x:c r="B21" s="26"/>
      <x:c r="C21" s="27" t="str">
        <x:f>IF(B21="","",TEXT(B21,"mmmm yyyy"))</x:f>
      </x:c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8"/>
      <x:c r="P21" s="28"/>
      <x:c r="Q21" s="34" t="str">
        <x:f>IF(O21="","",O21+IF(P21="",0,P21))</x:f>
      </x:c>
    </x:row>
    <x:row r="22">
      <x:c r="A22" s="32" t="str">
        <x:f>IF(D22="","",ROW()-4)</x:f>
      </x:c>
      <x:c r="B22" s="26"/>
      <x:c r="C22" s="27" t="str">
        <x:f>IF(B22="","",TEXT(B22,"mmmm yyyy"))</x:f>
      </x:c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8"/>
      <x:c r="P22" s="28"/>
      <x:c r="Q22" s="34" t="str">
        <x:f>IF(O22="","",O22+IF(P22="",0,P22))</x:f>
      </x:c>
    </x:row>
    <x:row r="23">
      <x:c r="A23" s="32" t="str">
        <x:f>IF(D23="","",ROW()-4)</x:f>
      </x:c>
      <x:c r="B23" s="26"/>
      <x:c r="C23" s="27" t="str">
        <x:f>IF(B23="","",TEXT(B23,"mmmm yyyy"))</x:f>
      </x:c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8"/>
      <x:c r="P23" s="28"/>
      <x:c r="Q23" s="34" t="str">
        <x:f>IF(O23="","",O23+IF(P23="",0,P23))</x:f>
      </x:c>
    </x:row>
    <x:row r="24">
      <x:c r="A24" s="32" t="str">
        <x:f>IF(D24="","",ROW()-4)</x:f>
      </x:c>
      <x:c r="B24" s="26"/>
      <x:c r="C24" s="27" t="str">
        <x:f>IF(B24="","",TEXT(B24,"mmmm yyyy"))</x:f>
      </x:c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8"/>
      <x:c r="P24" s="28"/>
      <x:c r="Q24" s="34" t="str">
        <x:f>IF(O24="","",O24+IF(P24="",0,P24))</x:f>
      </x:c>
    </x:row>
    <x:row r="25">
      <x:c r="A25" s="32" t="str">
        <x:f>IF(D25="","",ROW()-4)</x:f>
      </x:c>
      <x:c r="B25" s="26"/>
      <x:c r="C25" s="27" t="str">
        <x:f>IF(B25="","",TEXT(B25,"mmmm yyyy"))</x:f>
      </x:c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8"/>
      <x:c r="P25" s="28"/>
      <x:c r="Q25" s="34" t="str">
        <x:f>IF(O25="","",O25+IF(P25="",0,P25))</x:f>
      </x:c>
    </x:row>
    <x:row r="26">
      <x:c r="A26" s="32" t="str">
        <x:f>IF(D26="","",ROW()-4)</x:f>
      </x:c>
      <x:c r="B26" s="26"/>
      <x:c r="C26" s="27" t="str">
        <x:f>IF(B26="","",TEXT(B26,"mmmm yyyy"))</x:f>
      </x:c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8"/>
      <x:c r="P26" s="28"/>
      <x:c r="Q26" s="34" t="str">
        <x:f>IF(O26="","",O26+IF(P26="",0,P26))</x:f>
      </x:c>
    </x:row>
    <x:row r="27">
      <x:c r="A27" s="32" t="str">
        <x:f>IF(D27="","",ROW()-4)</x:f>
      </x:c>
      <x:c r="B27" s="26"/>
      <x:c r="C27" s="27" t="str">
        <x:f>IF(B27="","",TEXT(B27,"mmmm yyyy"))</x:f>
      </x:c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8"/>
      <x:c r="P27" s="28"/>
      <x:c r="Q27" s="34" t="str">
        <x:f>IF(O27="","",O27+IF(P27="",0,P27))</x:f>
      </x:c>
    </x:row>
    <x:row r="28">
      <x:c r="A28" s="32" t="str">
        <x:f>IF(D28="","",ROW()-4)</x:f>
      </x:c>
      <x:c r="B28" s="26"/>
      <x:c r="C28" s="27" t="str">
        <x:f>IF(B28="","",TEXT(B28,"mmmm yyyy"))</x:f>
      </x:c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8"/>
      <x:c r="P28" s="28"/>
      <x:c r="Q28" s="34" t="str">
        <x:f>IF(O28="","",O28+IF(P28="",0,P28))</x:f>
      </x:c>
    </x:row>
    <x:row r="29">
      <x:c r="A29" s="32" t="str">
        <x:f>IF(D29="","",ROW()-4)</x:f>
      </x:c>
      <x:c r="B29" s="26"/>
      <x:c r="C29" s="27" t="str">
        <x:f>IF(B29="","",TEXT(B29,"mmmm yyyy"))</x:f>
      </x:c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8"/>
      <x:c r="P29" s="28"/>
      <x:c r="Q29" s="34" t="str">
        <x:f>IF(O29="","",O29+IF(P29="",0,P29))</x:f>
      </x:c>
    </x:row>
    <x:row r="30">
      <x:c r="A30" s="32" t="str">
        <x:f>IF(D30="","",ROW()-4)</x:f>
      </x:c>
      <x:c r="B30" s="26"/>
      <x:c r="C30" s="27" t="str">
        <x:f>IF(B30="","",TEXT(B30,"mmmm yyyy"))</x:f>
      </x:c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8"/>
      <x:c r="P30" s="28"/>
      <x:c r="Q30" s="34" t="str">
        <x:f>IF(O30="","",O30+IF(P30="",0,P30))</x:f>
      </x:c>
    </x:row>
    <x:row r="31">
      <x:c r="A31" s="32" t="str">
        <x:f>IF(D31="","",ROW()-4)</x:f>
      </x:c>
      <x:c r="B31" s="26"/>
      <x:c r="C31" s="27" t="str">
        <x:f>IF(B31="","",TEXT(B31,"mmmm yyyy"))</x:f>
      </x:c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8"/>
      <x:c r="P31" s="28"/>
      <x:c r="Q31" s="34" t="str">
        <x:f>IF(O31="","",O31+IF(P31="",0,P31))</x:f>
      </x:c>
    </x:row>
    <x:row r="32">
      <x:c r="A32" s="32" t="str">
        <x:f>IF(D32="","",ROW()-4)</x:f>
      </x:c>
      <x:c r="B32" s="26"/>
      <x:c r="C32" s="27" t="str">
        <x:f>IF(B32="","",TEXT(B32,"mmmm yyyy"))</x:f>
      </x:c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8"/>
      <x:c r="P32" s="28"/>
      <x:c r="Q32" s="34" t="str">
        <x:f>IF(O32="","",O32+IF(P32="",0,P32))</x:f>
      </x:c>
    </x:row>
    <x:row r="33">
      <x:c r="A33" s="32" t="str">
        <x:f>IF(D33="","",ROW()-4)</x:f>
      </x:c>
      <x:c r="B33" s="26"/>
      <x:c r="C33" s="27" t="str">
        <x:f>IF(B33="","",TEXT(B33,"mmmm yyyy"))</x:f>
      </x:c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8"/>
      <x:c r="P33" s="28"/>
      <x:c r="Q33" s="34" t="str">
        <x:f>IF(O33="","",O33+IF(P33="",0,P33))</x:f>
      </x:c>
    </x:row>
    <x:row r="34">
      <x:c r="A34" s="32" t="str">
        <x:f>IF(D34="","",ROW()-4)</x:f>
      </x:c>
      <x:c r="B34" s="26"/>
      <x:c r="C34" s="27" t="str">
        <x:f>IF(B34="","",TEXT(B34,"mmmm yyyy"))</x:f>
      </x:c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8"/>
      <x:c r="P34" s="28"/>
      <x:c r="Q34" s="34" t="str">
        <x:f>IF(O34="","",O34+IF(P34="",0,P34))</x:f>
      </x:c>
    </x:row>
    <x:row r="35">
      <x:c r="A35" s="32" t="str">
        <x:f>IF(D35="","",ROW()-4)</x:f>
      </x:c>
      <x:c r="B35" s="26"/>
      <x:c r="C35" s="27" t="str">
        <x:f>IF(B35="","",TEXT(B35,"mmmm yyyy"))</x:f>
      </x:c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8"/>
      <x:c r="P35" s="28"/>
      <x:c r="Q35" s="34" t="str">
        <x:f>IF(O35="","",O35+IF(P35="",0,P35))</x:f>
      </x:c>
    </x:row>
    <x:row r="36">
      <x:c r="A36" s="32" t="str">
        <x:f>IF(D36="","",ROW()-4)</x:f>
      </x:c>
      <x:c r="B36" s="26"/>
      <x:c r="C36" s="27" t="str">
        <x:f>IF(B36="","",TEXT(B36,"mmmm yyyy"))</x:f>
      </x:c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8"/>
      <x:c r="P36" s="28"/>
      <x:c r="Q36" s="34" t="str">
        <x:f>IF(O36="","",O36+IF(P36="",0,P36))</x:f>
      </x:c>
    </x:row>
    <x:row r="37">
      <x:c r="A37" s="32" t="str">
        <x:f>IF(D37="","",ROW()-4)</x:f>
      </x:c>
      <x:c r="B37" s="26"/>
      <x:c r="C37" s="27" t="str">
        <x:f>IF(B37="","",TEXT(B37,"mmmm yyyy"))</x:f>
      </x:c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8"/>
      <x:c r="P37" s="28"/>
      <x:c r="Q37" s="34" t="str">
        <x:f>IF(O37="","",O37+IF(P37="",0,P37))</x:f>
      </x:c>
    </x:row>
    <x:row r="38">
      <x:c r="A38" s="32" t="str">
        <x:f>IF(D38="","",ROW()-4)</x:f>
      </x:c>
      <x:c r="B38" s="26"/>
      <x:c r="C38" s="27" t="str">
        <x:f>IF(B38="","",TEXT(B38,"mmmm yyyy"))</x:f>
      </x:c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8"/>
      <x:c r="P38" s="28"/>
      <x:c r="Q38" s="34" t="str">
        <x:f>IF(O38="","",O38+IF(P38="",0,P38))</x:f>
      </x:c>
    </x:row>
    <x:row r="39">
      <x:c r="A39" s="32" t="str">
        <x:f>IF(D39="","",ROW()-4)</x:f>
      </x:c>
      <x:c r="B39" s="26"/>
      <x:c r="C39" s="27" t="str">
        <x:f>IF(B39="","",TEXT(B39,"mmmm yyyy"))</x:f>
      </x:c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8"/>
      <x:c r="P39" s="28"/>
      <x:c r="Q39" s="34" t="str">
        <x:f>IF(O39="","",O39+IF(P39="",0,P39))</x:f>
      </x:c>
    </x:row>
    <x:row r="40">
      <x:c r="A40" s="32" t="str">
        <x:f>IF(D40="","",ROW()-4)</x:f>
      </x:c>
      <x:c r="B40" s="26"/>
      <x:c r="C40" s="27" t="str">
        <x:f>IF(B40="","",TEXT(B40,"mmmm yyyy"))</x:f>
      </x:c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8"/>
      <x:c r="P40" s="28"/>
      <x:c r="Q40" s="34" t="str">
        <x:f>IF(O40="","",O40+IF(P40="",0,P40))</x:f>
      </x:c>
    </x:row>
    <x:row r="41">
      <x:c r="A41" s="32" t="str">
        <x:f>IF(D41="","",ROW()-4)</x:f>
      </x:c>
      <x:c r="B41" s="26"/>
      <x:c r="C41" s="27" t="str">
        <x:f>IF(B41="","",TEXT(B41,"mmmm yyyy"))</x:f>
      </x:c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8"/>
      <x:c r="P41" s="28"/>
      <x:c r="Q41" s="34" t="str">
        <x:f>IF(O41="","",O41+IF(P41="",0,P41))</x:f>
      </x:c>
    </x:row>
    <x:row r="42">
      <x:c r="A42" s="32" t="str">
        <x:f>IF(D42="","",ROW()-4)</x:f>
      </x:c>
      <x:c r="B42" s="26"/>
      <x:c r="C42" s="27" t="str">
        <x:f>IF(B42="","",TEXT(B42,"mmmm yyyy"))</x:f>
      </x:c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8"/>
      <x:c r="P42" s="28"/>
      <x:c r="Q42" s="34" t="str">
        <x:f>IF(O42="","",O42+IF(P42="",0,P42))</x:f>
      </x:c>
    </x:row>
    <x:row r="43">
      <x:c r="A43" s="32" t="str">
        <x:f>IF(D43="","",ROW()-4)</x:f>
      </x:c>
      <x:c r="B43" s="26"/>
      <x:c r="C43" s="27" t="str">
        <x:f>IF(B43="","",TEXT(B43,"mmmm yyyy"))</x:f>
      </x:c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8"/>
      <x:c r="P43" s="28"/>
      <x:c r="Q43" s="34" t="str">
        <x:f>IF(O43="","",O43+IF(P43="",0,P43))</x:f>
      </x:c>
    </x:row>
    <x:row r="44">
      <x:c r="A44" s="32" t="str">
        <x:f>IF(D44="","",ROW()-4)</x:f>
      </x:c>
      <x:c r="B44" s="26"/>
      <x:c r="C44" s="27" t="str">
        <x:f>IF(B44="","",TEXT(B44,"mmmm yyyy"))</x:f>
      </x:c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8"/>
      <x:c r="P44" s="28"/>
      <x:c r="Q44" s="34" t="str">
        <x:f>IF(O44="","",O44+IF(P44="",0,P44))</x:f>
      </x:c>
    </x:row>
    <x:row r="45">
      <x:c r="A45" s="32" t="str">
        <x:f>IF(D45="","",ROW()-4)</x:f>
      </x:c>
      <x:c r="B45" s="26"/>
      <x:c r="C45" s="27" t="str">
        <x:f>IF(B45="","",TEXT(B45,"mmmm yyyy"))</x:f>
      </x:c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8"/>
      <x:c r="P45" s="28"/>
      <x:c r="Q45" s="34" t="str">
        <x:f>IF(O45="","",O45+IF(P45="",0,P45))</x:f>
      </x:c>
    </x:row>
    <x:row r="46">
      <x:c r="A46" s="32" t="str">
        <x:f>IF(D46="","",ROW()-4)</x:f>
      </x:c>
      <x:c r="B46" s="26"/>
      <x:c r="C46" s="27" t="str">
        <x:f>IF(B46="","",TEXT(B46,"mmmm yyyy"))</x:f>
      </x:c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8"/>
      <x:c r="P46" s="28"/>
      <x:c r="Q46" s="34" t="str">
        <x:f>IF(O46="","",O46+IF(P46="",0,P46))</x:f>
      </x:c>
    </x:row>
    <x:row r="47">
      <x:c r="A47" s="32" t="str">
        <x:f>IF(D47="","",ROW()-4)</x:f>
      </x:c>
      <x:c r="B47" s="26"/>
      <x:c r="C47" s="27" t="str">
        <x:f>IF(B47="","",TEXT(B47,"mmmm yyyy"))</x:f>
      </x:c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8"/>
      <x:c r="P47" s="28"/>
      <x:c r="Q47" s="34" t="str">
        <x:f>IF(O47="","",O47+IF(P47="",0,P47))</x:f>
      </x:c>
    </x:row>
    <x:row r="48">
      <x:c r="A48" s="32" t="str">
        <x:f>IF(D48="","",ROW()-4)</x:f>
      </x:c>
      <x:c r="B48" s="26"/>
      <x:c r="C48" s="27" t="str">
        <x:f>IF(B48="","",TEXT(B48,"mmmm yyyy"))</x:f>
      </x:c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8"/>
      <x:c r="P48" s="28"/>
      <x:c r="Q48" s="34" t="str">
        <x:f>IF(O48="","",O48+IF(P48="",0,P48))</x:f>
      </x:c>
    </x:row>
    <x:row r="49">
      <x:c r="A49" s="32" t="str">
        <x:f>IF(D49="","",ROW()-4)</x:f>
      </x:c>
      <x:c r="B49" s="26"/>
      <x:c r="C49" s="27" t="str">
        <x:f>IF(B49="","",TEXT(B49,"mmmm yyyy"))</x:f>
      </x:c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8"/>
      <x:c r="P49" s="28"/>
      <x:c r="Q49" s="34" t="str">
        <x:f>IF(O49="","",O49+IF(P49="",0,P49))</x:f>
      </x:c>
    </x:row>
    <x:row r="50">
      <x:c r="A50" s="32" t="str">
        <x:f>IF(D50="","",ROW()-4)</x:f>
      </x:c>
      <x:c r="B50" s="26"/>
      <x:c r="C50" s="27" t="str">
        <x:f>IF(B50="","",TEXT(B50,"mmmm yyyy"))</x:f>
      </x:c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8"/>
      <x:c r="P50" s="28"/>
      <x:c r="Q50" s="34" t="str">
        <x:f>IF(O50="","",O50+IF(P50="",0,P50))</x:f>
      </x:c>
    </x:row>
    <x:row r="51">
      <x:c r="A51" s="32" t="str">
        <x:f>IF(D51="","",ROW()-4)</x:f>
      </x:c>
      <x:c r="B51" s="26"/>
      <x:c r="C51" s="27" t="str">
        <x:f>IF(B51="","",TEXT(B51,"mmmm yyyy"))</x:f>
      </x:c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8"/>
      <x:c r="P51" s="28"/>
      <x:c r="Q51" s="34" t="str">
        <x:f>IF(O51="","",O51+IF(P51="",0,P51))</x:f>
      </x:c>
    </x:row>
    <x:row r="52">
      <x:c r="A52" s="32" t="str">
        <x:f>IF(D52="","",ROW()-4)</x:f>
      </x:c>
      <x:c r="B52" s="26"/>
      <x:c r="C52" s="27" t="str">
        <x:f>IF(B52="","",TEXT(B52,"mmmm yyyy"))</x:f>
      </x:c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8"/>
      <x:c r="P52" s="28"/>
      <x:c r="Q52" s="34" t="str">
        <x:f>IF(O52="","",O52+IF(P52="",0,P52))</x:f>
      </x:c>
    </x:row>
    <x:row r="53">
      <x:c r="A53" s="32" t="str">
        <x:f>IF(D53="","",ROW()-4)</x:f>
      </x:c>
      <x:c r="B53" s="26"/>
      <x:c r="C53" s="27" t="str">
        <x:f>IF(B53="","",TEXT(B53,"mmmm yyyy"))</x:f>
      </x:c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8"/>
      <x:c r="P53" s="28"/>
      <x:c r="Q53" s="34" t="str">
        <x:f>IF(O53="","",O53+IF(P53="",0,P53))</x:f>
      </x:c>
    </x:row>
    <x:row r="54">
      <x:c r="A54" s="32" t="str">
        <x:f>IF(D54="","",ROW()-4)</x:f>
      </x:c>
      <x:c r="B54" s="26"/>
      <x:c r="C54" s="27" t="str">
        <x:f>IF(B54="","",TEXT(B54,"mmmm yyyy"))</x:f>
      </x:c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8"/>
      <x:c r="P54" s="28"/>
      <x:c r="Q54" s="34" t="str">
        <x:f>IF(O54="","",O54+IF(P54="",0,P54))</x:f>
      </x:c>
    </x:row>
    <x:row r="55">
      <x:c r="A55" s="32" t="str">
        <x:f>IF(D55="","",ROW()-4)</x:f>
      </x:c>
      <x:c r="B55" s="26"/>
      <x:c r="C55" s="27" t="str">
        <x:f>IF(B55="","",TEXT(B55,"mmmm yyyy"))</x:f>
      </x:c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8"/>
      <x:c r="P55" s="28"/>
      <x:c r="Q55" s="34" t="str">
        <x:f>IF(O55="","",O55+IF(P55="",0,P55))</x:f>
      </x:c>
    </x:row>
    <x:row r="56">
      <x:c r="A56" s="32" t="str">
        <x:f>IF(D56="","",ROW()-4)</x:f>
      </x:c>
      <x:c r="B56" s="26"/>
      <x:c r="C56" s="27" t="str">
        <x:f>IF(B56="","",TEXT(B56,"mmmm yyyy"))</x:f>
      </x:c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8"/>
      <x:c r="P56" s="28"/>
      <x:c r="Q56" s="34" t="str">
        <x:f>IF(O56="","",O56+IF(P56="",0,P56))</x:f>
      </x:c>
    </x:row>
    <x:row r="57">
      <x:c r="A57" s="32" t="str">
        <x:f>IF(D57="","",ROW()-4)</x:f>
      </x:c>
      <x:c r="B57" s="26"/>
      <x:c r="C57" s="27" t="str">
        <x:f>IF(B57="","",TEXT(B57,"mmmm yyyy"))</x:f>
      </x:c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8"/>
      <x:c r="P57" s="28"/>
      <x:c r="Q57" s="34" t="str">
        <x:f>IF(O57="","",O57+IF(P57="",0,P57))</x:f>
      </x:c>
    </x:row>
    <x:row r="58">
      <x:c r="A58" s="32" t="str">
        <x:f>IF(D58="","",ROW()-4)</x:f>
      </x:c>
      <x:c r="B58" s="26"/>
      <x:c r="C58" s="27" t="str">
        <x:f>IF(B58="","",TEXT(B58,"mmmm yyyy"))</x:f>
      </x:c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8"/>
      <x:c r="P58" s="28"/>
      <x:c r="Q58" s="34" t="str">
        <x:f>IF(O58="","",O58+IF(P58="",0,P58))</x:f>
      </x:c>
    </x:row>
    <x:row r="59">
      <x:c r="A59" s="32" t="str">
        <x:f>IF(D59="","",ROW()-4)</x:f>
      </x:c>
      <x:c r="B59" s="26"/>
      <x:c r="C59" s="27" t="str">
        <x:f>IF(B59="","",TEXT(B59,"mmmm yyyy"))</x:f>
      </x:c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8"/>
      <x:c r="P59" s="28"/>
      <x:c r="Q59" s="34" t="str">
        <x:f>IF(O59="","",O59+IF(P59="",0,P59))</x:f>
      </x:c>
    </x:row>
    <x:row r="60">
      <x:c r="A60" s="32" t="str">
        <x:f>IF(D60="","",ROW()-4)</x:f>
      </x:c>
      <x:c r="B60" s="26"/>
      <x:c r="C60" s="27" t="str">
        <x:f>IF(B60="","",TEXT(B60,"mmmm yyyy"))</x:f>
      </x:c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8"/>
      <x:c r="P60" s="28"/>
      <x:c r="Q60" s="34" t="str">
        <x:f>IF(O60="","",O60+IF(P60="",0,P60))</x:f>
      </x:c>
    </x:row>
    <x:row r="61">
      <x:c r="A61" s="32" t="str">
        <x:f>IF(D61="","",ROW()-4)</x:f>
      </x:c>
      <x:c r="B61" s="26"/>
      <x:c r="C61" s="27" t="str">
        <x:f>IF(B61="","",TEXT(B61,"mmmm yyyy"))</x:f>
      </x:c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8"/>
      <x:c r="P61" s="28"/>
      <x:c r="Q61" s="34" t="str">
        <x:f>IF(O61="","",O61+IF(P61="",0,P61))</x:f>
      </x:c>
    </x:row>
    <x:row r="62">
      <x:c r="A62" s="32" t="str">
        <x:f>IF(D62="","",ROW()-4)</x:f>
      </x:c>
      <x:c r="B62" s="26"/>
      <x:c r="C62" s="27" t="str">
        <x:f>IF(B62="","",TEXT(B62,"mmmm yyyy"))</x:f>
      </x:c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8"/>
      <x:c r="P62" s="28"/>
      <x:c r="Q62" s="34" t="str">
        <x:f>IF(O62="","",O62+IF(P62="",0,P62))</x:f>
      </x:c>
    </x:row>
    <x:row r="63">
      <x:c r="A63" s="32" t="str">
        <x:f>IF(D63="","",ROW()-4)</x:f>
      </x:c>
      <x:c r="B63" s="26"/>
      <x:c r="C63" s="27" t="str">
        <x:f>IF(B63="","",TEXT(B63,"mmmm yyyy"))</x:f>
      </x:c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8"/>
      <x:c r="P63" s="28"/>
      <x:c r="Q63" s="34" t="str">
        <x:f>IF(O63="","",O63+IF(P63="",0,P63))</x:f>
      </x:c>
    </x:row>
    <x:row r="64">
      <x:c r="A64" s="32" t="str">
        <x:f>IF(D64="","",ROW()-4)</x:f>
      </x:c>
      <x:c r="B64" s="26"/>
      <x:c r="C64" s="27" t="str">
        <x:f>IF(B64="","",TEXT(B64,"mmmm yyyy"))</x:f>
      </x:c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8"/>
      <x:c r="P64" s="28"/>
      <x:c r="Q64" s="34" t="str">
        <x:f>IF(O64="","",O64+IF(P64="",0,P64))</x:f>
      </x:c>
    </x:row>
    <x:row r="65">
      <x:c r="A65" s="32" t="str">
        <x:f>IF(D65="","",ROW()-4)</x:f>
      </x:c>
      <x:c r="B65" s="26"/>
      <x:c r="C65" s="27" t="str">
        <x:f>IF(B65="","",TEXT(B65,"mmmm yyyy"))</x:f>
      </x:c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8"/>
      <x:c r="P65" s="28"/>
      <x:c r="Q65" s="34" t="str">
        <x:f>IF(O65="","",O65+IF(P65="",0,P65))</x:f>
      </x:c>
    </x:row>
    <x:row r="66">
      <x:c r="A66" s="32" t="str">
        <x:f>IF(D66="","",ROW()-4)</x:f>
      </x:c>
      <x:c r="B66" s="26"/>
      <x:c r="C66" s="27" t="str">
        <x:f>IF(B66="","",TEXT(B66,"mmmm yyyy"))</x:f>
      </x:c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8"/>
      <x:c r="P66" s="28"/>
      <x:c r="Q66" s="34" t="str">
        <x:f>IF(O66="","",O66+IF(P66="",0,P66))</x:f>
      </x:c>
    </x:row>
    <x:row r="67">
      <x:c r="A67" s="32" t="str">
        <x:f>IF(D67="","",ROW()-4)</x:f>
      </x:c>
      <x:c r="B67" s="26"/>
      <x:c r="C67" s="27" t="str">
        <x:f>IF(B67="","",TEXT(B67,"mmmm yyyy"))</x:f>
      </x:c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8"/>
      <x:c r="P67" s="28"/>
      <x:c r="Q67" s="34" t="str">
        <x:f>IF(O67="","",O67+IF(P67="",0,P67))</x:f>
      </x:c>
    </x:row>
    <x:row r="68">
      <x:c r="A68" s="32" t="str">
        <x:f>IF(D68="","",ROW()-4)</x:f>
      </x:c>
      <x:c r="B68" s="26"/>
      <x:c r="C68" s="27" t="str">
        <x:f>IF(B68="","",TEXT(B68,"mmmm yyyy"))</x:f>
      </x:c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8"/>
      <x:c r="P68" s="28"/>
      <x:c r="Q68" s="34" t="str">
        <x:f>IF(O68="","",O68+IF(P68="",0,P68))</x:f>
      </x:c>
    </x:row>
    <x:row r="69">
      <x:c r="A69" s="32" t="str">
        <x:f>IF(D69="","",ROW()-4)</x:f>
      </x:c>
      <x:c r="B69" s="26"/>
      <x:c r="C69" s="27" t="str">
        <x:f>IF(B69="","",TEXT(B69,"mmmm yyyy"))</x:f>
      </x:c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8"/>
      <x:c r="P69" s="28"/>
      <x:c r="Q69" s="34" t="str">
        <x:f>IF(O69="","",O69+IF(P69="",0,P69))</x:f>
      </x:c>
    </x:row>
    <x:row r="70">
      <x:c r="A70" s="32" t="str">
        <x:f>IF(D70="","",ROW()-4)</x:f>
      </x:c>
      <x:c r="B70" s="26"/>
      <x:c r="C70" s="27" t="str">
        <x:f>IF(B70="","",TEXT(B70,"mmmm yyyy"))</x:f>
      </x:c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8"/>
      <x:c r="P70" s="28"/>
      <x:c r="Q70" s="34" t="str">
        <x:f>IF(O70="","",O70+IF(P70="",0,P70))</x:f>
      </x:c>
    </x:row>
    <x:row r="71">
      <x:c r="A71" s="32" t="str">
        <x:f>IF(D71="","",ROW()-4)</x:f>
      </x:c>
      <x:c r="B71" s="26"/>
      <x:c r="C71" s="27" t="str">
        <x:f>IF(B71="","",TEXT(B71,"mmmm yyyy"))</x:f>
      </x:c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8"/>
      <x:c r="P71" s="28"/>
      <x:c r="Q71" s="34" t="str">
        <x:f>IF(O71="","",O71+IF(P71="",0,P71))</x:f>
      </x:c>
    </x:row>
    <x:row r="72">
      <x:c r="A72" s="32" t="str">
        <x:f>IF(D72="","",ROW()-4)</x:f>
      </x:c>
      <x:c r="B72" s="26"/>
      <x:c r="C72" s="27" t="str">
        <x:f>IF(B72="","",TEXT(B72,"mmmm yyyy"))</x:f>
      </x:c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8"/>
      <x:c r="P72" s="28"/>
      <x:c r="Q72" s="34" t="str">
        <x:f>IF(O72="","",O72+IF(P72="",0,P72))</x:f>
      </x:c>
    </x:row>
    <x:row r="73">
      <x:c r="A73" s="32" t="str">
        <x:f>IF(D73="","",ROW()-4)</x:f>
      </x:c>
      <x:c r="B73" s="26"/>
      <x:c r="C73" s="27" t="str">
        <x:f>IF(B73="","",TEXT(B73,"mmmm yyyy"))</x:f>
      </x:c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8"/>
      <x:c r="P73" s="28"/>
      <x:c r="Q73" s="34" t="str">
        <x:f>IF(O73="","",O73+IF(P73="",0,P73))</x:f>
      </x:c>
    </x:row>
    <x:row r="74">
      <x:c r="A74" s="32" t="str">
        <x:f>IF(D74="","",ROW()-4)</x:f>
      </x:c>
      <x:c r="B74" s="26"/>
      <x:c r="C74" s="27" t="str">
        <x:f>IF(B74="","",TEXT(B74,"mmmm yyyy"))</x:f>
      </x:c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8"/>
      <x:c r="P74" s="28"/>
      <x:c r="Q74" s="34" t="str">
        <x:f>IF(O74="","",O74+IF(P74="",0,P74))</x:f>
      </x:c>
    </x:row>
    <x:row r="75">
      <x:c r="A75" s="32" t="str">
        <x:f>IF(D75="","",ROW()-4)</x:f>
      </x:c>
      <x:c r="B75" s="26"/>
      <x:c r="C75" s="27" t="str">
        <x:f>IF(B75="","",TEXT(B75,"mmmm yyyy"))</x:f>
      </x:c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8"/>
      <x:c r="P75" s="28"/>
      <x:c r="Q75" s="34" t="str">
        <x:f>IF(O75="","",O75+IF(P75="",0,P75))</x:f>
      </x:c>
    </x:row>
    <x:row r="76">
      <x:c r="A76" s="32" t="str">
        <x:f>IF(D76="","",ROW()-4)</x:f>
      </x:c>
      <x:c r="B76" s="26"/>
      <x:c r="C76" s="27" t="str">
        <x:f>IF(B76="","",TEXT(B76,"mmmm yyyy"))</x:f>
      </x:c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8"/>
      <x:c r="P76" s="28"/>
      <x:c r="Q76" s="34" t="str">
        <x:f>IF(O76="","",O76+IF(P76="",0,P76))</x:f>
      </x:c>
    </x:row>
    <x:row r="77">
      <x:c r="A77" s="32" t="str">
        <x:f>IF(D77="","",ROW()-4)</x:f>
      </x:c>
      <x:c r="B77" s="26"/>
      <x:c r="C77" s="27" t="str">
        <x:f>IF(B77="","",TEXT(B77,"mmmm yyyy"))</x:f>
      </x:c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8"/>
      <x:c r="P77" s="28"/>
      <x:c r="Q77" s="34" t="str">
        <x:f>IF(O77="","",O77+IF(P77="",0,P77))</x:f>
      </x:c>
    </x:row>
    <x:row r="78">
      <x:c r="A78" s="32" t="str">
        <x:f>IF(D78="","",ROW()-4)</x:f>
      </x:c>
      <x:c r="B78" s="26"/>
      <x:c r="C78" s="27" t="str">
        <x:f>IF(B78="","",TEXT(B78,"mmmm yyyy"))</x:f>
      </x:c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8"/>
      <x:c r="P78" s="28"/>
      <x:c r="Q78" s="34" t="str">
        <x:f>IF(O78="","",O78+IF(P78="",0,P78))</x:f>
      </x:c>
    </x:row>
    <x:row r="79">
      <x:c r="A79" s="32" t="str">
        <x:f>IF(D79="","",ROW()-4)</x:f>
      </x:c>
      <x:c r="B79" s="26"/>
      <x:c r="C79" s="27" t="str">
        <x:f>IF(B79="","",TEXT(B79,"mmmm yyyy"))</x:f>
      </x:c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8"/>
      <x:c r="P79" s="28"/>
      <x:c r="Q79" s="34" t="str">
        <x:f>IF(O79="","",O79+IF(P79="",0,P79))</x:f>
      </x:c>
    </x:row>
    <x:row r="80">
      <x:c r="A80" s="32" t="str">
        <x:f>IF(D80="","",ROW()-4)</x:f>
      </x:c>
      <x:c r="B80" s="26"/>
      <x:c r="C80" s="27" t="str">
        <x:f>IF(B80="","",TEXT(B80,"mmmm yyyy"))</x:f>
      </x:c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8"/>
      <x:c r="P80" s="28"/>
      <x:c r="Q80" s="34" t="str">
        <x:f>IF(O80="","",O80+IF(P80="",0,P80))</x:f>
      </x:c>
    </x:row>
    <x:row r="81">
      <x:c r="A81" s="32" t="str">
        <x:f>IF(D81="","",ROW()-4)</x:f>
      </x:c>
      <x:c r="B81" s="26"/>
      <x:c r="C81" s="27" t="str">
        <x:f>IF(B81="","",TEXT(B81,"mmmm yyyy"))</x:f>
      </x:c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8"/>
      <x:c r="P81" s="28"/>
      <x:c r="Q81" s="34" t="str">
        <x:f>IF(O81="","",O81+IF(P81="",0,P81))</x:f>
      </x:c>
    </x:row>
    <x:row r="82">
      <x:c r="A82" s="32" t="str">
        <x:f>IF(D82="","",ROW()-4)</x:f>
      </x:c>
      <x:c r="B82" s="26"/>
      <x:c r="C82" s="27" t="str">
        <x:f>IF(B82="","",TEXT(B82,"mmmm yyyy"))</x:f>
      </x:c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8"/>
      <x:c r="P82" s="28"/>
      <x:c r="Q82" s="34" t="str">
        <x:f>IF(O82="","",O82+IF(P82="",0,P82))</x:f>
      </x:c>
    </x:row>
    <x:row r="83">
      <x:c r="A83" s="32" t="str">
        <x:f>IF(D83="","",ROW()-4)</x:f>
      </x:c>
      <x:c r="B83" s="26"/>
      <x:c r="C83" s="27" t="str">
        <x:f>IF(B83="","",TEXT(B83,"mmmm yyyy"))</x:f>
      </x:c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8"/>
      <x:c r="P83" s="28"/>
      <x:c r="Q83" s="34" t="str">
        <x:f>IF(O83="","",O83+IF(P83="",0,P83))</x:f>
      </x:c>
    </x:row>
    <x:row r="84">
      <x:c r="A84" s="32" t="str">
        <x:f>IF(D84="","",ROW()-4)</x:f>
      </x:c>
      <x:c r="B84" s="26"/>
      <x:c r="C84" s="27" t="str">
        <x:f>IF(B84="","",TEXT(B84,"mmmm yyyy"))</x:f>
      </x:c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8"/>
      <x:c r="P84" s="28"/>
      <x:c r="Q84" s="34" t="str">
        <x:f>IF(O84="","",O84+IF(P84="",0,P84))</x:f>
      </x:c>
    </x:row>
    <x:row r="85">
      <x:c r="A85" s="32" t="str">
        <x:f>IF(D85="","",ROW()-4)</x:f>
      </x:c>
      <x:c r="B85" s="26"/>
      <x:c r="C85" s="27" t="str">
        <x:f>IF(B85="","",TEXT(B85,"mmmm yyyy"))</x:f>
      </x:c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8"/>
      <x:c r="P85" s="28"/>
      <x:c r="Q85" s="34" t="str">
        <x:f>IF(O85="","",O85+IF(P85="",0,P85))</x:f>
      </x:c>
    </x:row>
    <x:row r="86">
      <x:c r="A86" s="32" t="str">
        <x:f>IF(D86="","",ROW()-4)</x:f>
      </x:c>
      <x:c r="B86" s="26"/>
      <x:c r="C86" s="27" t="str">
        <x:f>IF(B86="","",TEXT(B86,"mmmm yyyy"))</x:f>
      </x:c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8"/>
      <x:c r="P86" s="28"/>
      <x:c r="Q86" s="34" t="str">
        <x:f>IF(O86="","",O86+IF(P86="",0,P86))</x:f>
      </x:c>
    </x:row>
    <x:row r="87">
      <x:c r="A87" s="32" t="str">
        <x:f>IF(D87="","",ROW()-4)</x:f>
      </x:c>
      <x:c r="B87" s="26"/>
      <x:c r="C87" s="27" t="str">
        <x:f>IF(B87="","",TEXT(B87,"mmmm yyyy"))</x:f>
      </x:c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8"/>
      <x:c r="P87" s="28"/>
      <x:c r="Q87" s="34" t="str">
        <x:f>IF(O87="","",O87+IF(P87="",0,P87))</x:f>
      </x:c>
    </x:row>
    <x:row r="88">
      <x:c r="A88" s="32" t="str">
        <x:f>IF(D88="","",ROW()-4)</x:f>
      </x:c>
      <x:c r="B88" s="26"/>
      <x:c r="C88" s="27" t="str">
        <x:f>IF(B88="","",TEXT(B88,"mmmm yyyy"))</x:f>
      </x:c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8"/>
      <x:c r="P88" s="28"/>
      <x:c r="Q88" s="34" t="str">
        <x:f>IF(O88="","",O88+IF(P88="",0,P88))</x:f>
      </x:c>
    </x:row>
    <x:row r="89">
      <x:c r="A89" s="32" t="str">
        <x:f>IF(D89="","",ROW()-4)</x:f>
      </x:c>
      <x:c r="B89" s="26"/>
      <x:c r="C89" s="27" t="str">
        <x:f>IF(B89="","",TEXT(B89,"mmmm yyyy"))</x:f>
      </x:c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8"/>
      <x:c r="P89" s="28"/>
      <x:c r="Q89" s="34" t="str">
        <x:f>IF(O89="","",O89+IF(P89="",0,P89))</x:f>
      </x:c>
    </x:row>
    <x:row r="90">
      <x:c r="A90" s="32" t="str">
        <x:f>IF(D90="","",ROW()-4)</x:f>
      </x:c>
      <x:c r="B90" s="26"/>
      <x:c r="C90" s="27" t="str">
        <x:f>IF(B90="","",TEXT(B90,"mmmm yyyy"))</x:f>
      </x:c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8"/>
      <x:c r="P90" s="28"/>
      <x:c r="Q90" s="34" t="str">
        <x:f>IF(O90="","",O90+IF(P90="",0,P90))</x:f>
      </x:c>
    </x:row>
    <x:row r="91">
      <x:c r="A91" s="32" t="str">
        <x:f>IF(D91="","",ROW()-4)</x:f>
      </x:c>
      <x:c r="B91" s="26"/>
      <x:c r="C91" s="27" t="str">
        <x:f>IF(B91="","",TEXT(B91,"mmmm yyyy"))</x:f>
      </x:c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8"/>
      <x:c r="P91" s="28"/>
      <x:c r="Q91" s="34" t="str">
        <x:f>IF(O91="","",O91+IF(P91="",0,P91))</x:f>
      </x:c>
    </x:row>
    <x:row r="92">
      <x:c r="A92" s="32" t="str">
        <x:f>IF(D92="","",ROW()-4)</x:f>
      </x:c>
      <x:c r="B92" s="26"/>
      <x:c r="C92" s="27" t="str">
        <x:f>IF(B92="","",TEXT(B92,"mmmm yyyy"))</x:f>
      </x:c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8"/>
      <x:c r="P92" s="28"/>
      <x:c r="Q92" s="34" t="str">
        <x:f>IF(O92="","",O92+IF(P92="",0,P92))</x:f>
      </x:c>
    </x:row>
    <x:row r="93">
      <x:c r="A93" s="32" t="str">
        <x:f>IF(D93="","",ROW()-4)</x:f>
      </x:c>
      <x:c r="B93" s="26"/>
      <x:c r="C93" s="27" t="str">
        <x:f>IF(B93="","",TEXT(B93,"mmmm yyyy"))</x:f>
      </x:c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8"/>
      <x:c r="P93" s="28"/>
      <x:c r="Q93" s="34" t="str">
        <x:f>IF(O93="","",O93+IF(P93="",0,P93))</x:f>
      </x:c>
    </x:row>
    <x:row r="94">
      <x:c r="A94" s="32" t="str">
        <x:f>IF(D94="","",ROW()-4)</x:f>
      </x:c>
      <x:c r="B94" s="26"/>
      <x:c r="C94" s="27" t="str">
        <x:f>IF(B94="","",TEXT(B94,"mmmm yyyy"))</x:f>
      </x:c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8"/>
      <x:c r="P94" s="28"/>
      <x:c r="Q94" s="34" t="str">
        <x:f>IF(O94="","",O94+IF(P94="",0,P94))</x:f>
      </x:c>
    </x:row>
    <x:row r="95">
      <x:c r="A95" s="32" t="str">
        <x:f>IF(D95="","",ROW()-4)</x:f>
      </x:c>
      <x:c r="B95" s="26"/>
      <x:c r="C95" s="27" t="str">
        <x:f>IF(B95="","",TEXT(B95,"mmmm yyyy"))</x:f>
      </x:c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8"/>
      <x:c r="P95" s="28"/>
      <x:c r="Q95" s="34" t="str">
        <x:f>IF(O95="","",O95+IF(P95="",0,P95))</x:f>
      </x:c>
    </x:row>
    <x:row r="96">
      <x:c r="A96" s="32" t="str">
        <x:f>IF(D96="","",ROW()-4)</x:f>
      </x:c>
      <x:c r="B96" s="26"/>
      <x:c r="C96" s="27" t="str">
        <x:f>IF(B96="","",TEXT(B96,"mmmm yyyy"))</x:f>
      </x:c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8"/>
      <x:c r="P96" s="28"/>
      <x:c r="Q96" s="34" t="str">
        <x:f>IF(O96="","",O96+IF(P96="",0,P96))</x:f>
      </x:c>
    </x:row>
    <x:row r="97">
      <x:c r="A97" s="32" t="str">
        <x:f>IF(D97="","",ROW()-4)</x:f>
      </x:c>
      <x:c r="B97" s="26"/>
      <x:c r="C97" s="27" t="str">
        <x:f>IF(B97="","",TEXT(B97,"mmmm yyyy"))</x:f>
      </x:c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8"/>
      <x:c r="P97" s="28"/>
      <x:c r="Q97" s="34" t="str">
        <x:f>IF(O97="","",O97+IF(P97="",0,P97))</x:f>
      </x:c>
    </x:row>
    <x:row r="98">
      <x:c r="A98" s="32" t="str">
        <x:f>IF(D98="","",ROW()-4)</x:f>
      </x:c>
      <x:c r="B98" s="26"/>
      <x:c r="C98" s="27" t="str">
        <x:f>IF(B98="","",TEXT(B98,"mmmm yyyy"))</x:f>
      </x:c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8"/>
      <x:c r="P98" s="28"/>
      <x:c r="Q98" s="34" t="str">
        <x:f>IF(O98="","",O98+IF(P98="",0,P98))</x:f>
      </x:c>
    </x:row>
    <x:row r="99">
      <x:c r="A99" s="32" t="str">
        <x:f>IF(D99="","",ROW()-4)</x:f>
      </x:c>
      <x:c r="B99" s="26"/>
      <x:c r="C99" s="27" t="str">
        <x:f>IF(B99="","",TEXT(B99,"mmmm yyyy"))</x:f>
      </x:c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8"/>
      <x:c r="P99" s="28"/>
      <x:c r="Q99" s="34" t="str">
        <x:f>IF(O99="","",O99+IF(P99="",0,P99))</x:f>
      </x:c>
    </x:row>
    <x:row r="100">
      <x:c r="A100" s="32" t="str">
        <x:f>IF(D100="","",ROW()-4)</x:f>
      </x:c>
      <x:c r="B100" s="26"/>
      <x:c r="C100" s="27" t="str">
        <x:f>IF(B100="","",TEXT(B100,"mmmm yyyy"))</x:f>
      </x:c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8"/>
      <x:c r="P100" s="28"/>
      <x:c r="Q100" s="34" t="str">
        <x:f>IF(O100="","",O100+IF(P100="",0,P100))</x:f>
      </x:c>
    </x:row>
    <x:row r="101">
      <x:c r="A101" s="32" t="str">
        <x:f>IF(D101="","",ROW()-4)</x:f>
      </x:c>
      <x:c r="B101" s="26"/>
      <x:c r="C101" s="27" t="str">
        <x:f>IF(B101="","",TEXT(B101,"mmmm yyyy"))</x:f>
      </x:c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8"/>
      <x:c r="P101" s="28"/>
      <x:c r="Q101" s="34" t="str">
        <x:f>IF(O101="","",O101+IF(P101="",0,P101))</x:f>
      </x:c>
    </x:row>
    <x:row r="102">
      <x:c r="A102" s="32" t="str">
        <x:f>IF(D102="","",ROW()-4)</x:f>
      </x:c>
      <x:c r="B102" s="26"/>
      <x:c r="C102" s="27" t="str">
        <x:f>IF(B102="","",TEXT(B102,"mmmm yyyy"))</x:f>
      </x:c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8"/>
      <x:c r="P102" s="28"/>
      <x:c r="Q102" s="34" t="str">
        <x:f>IF(O102="","",O102+IF(P102="",0,P102))</x:f>
      </x:c>
    </x:row>
    <x:row r="103">
      <x:c r="A103" s="32" t="str">
        <x:f>IF(D103="","",ROW()-4)</x:f>
      </x:c>
      <x:c r="B103" s="26"/>
      <x:c r="C103" s="27" t="str">
        <x:f>IF(B103="","",TEXT(B103,"mmmm yyyy"))</x:f>
      </x:c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8"/>
      <x:c r="P103" s="28"/>
      <x:c r="Q103" s="34" t="str">
        <x:f>IF(O103="","",O103+IF(P103="",0,P103))</x:f>
      </x:c>
    </x:row>
    <x:row r="104">
      <x:c r="A104" s="32" t="str">
        <x:f>IF(D104="","",ROW()-4)</x:f>
      </x:c>
      <x:c r="B104" s="26"/>
      <x:c r="C104" s="27" t="str">
        <x:f>IF(B104="","",TEXT(B104,"mmmm yyyy"))</x:f>
      </x:c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8"/>
      <x:c r="P104" s="28"/>
      <x:c r="Q104" s="34" t="str">
        <x:f>IF(O104="","",O104+IF(P104="",0,P104))</x:f>
      </x:c>
    </x:row>
    <x:row r="105">
      <x:c r="A105" s="32" t="str">
        <x:f>IF(D105="","",ROW()-4)</x:f>
      </x:c>
      <x:c r="B105" s="26"/>
      <x:c r="C105" s="27" t="str">
        <x:f>IF(B105="","",TEXT(B105,"mmmm yyyy"))</x:f>
      </x:c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8"/>
      <x:c r="P105" s="28"/>
      <x:c r="Q105" s="34" t="str">
        <x:f>IF(O105="","",O105+IF(P105="",0,P105))</x:f>
      </x:c>
    </x:row>
    <x:row r="106">
      <x:c r="A106" s="32" t="str">
        <x:f>IF(D106="","",ROW()-4)</x:f>
      </x:c>
      <x:c r="B106" s="26"/>
      <x:c r="C106" s="27" t="str">
        <x:f>IF(B106="","",TEXT(B106,"mmmm yyyy"))</x:f>
      </x:c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8"/>
      <x:c r="P106" s="28"/>
      <x:c r="Q106" s="34" t="str">
        <x:f>IF(O106="","",O106+IF(P106="",0,P106))</x:f>
      </x:c>
    </x:row>
    <x:row r="107">
      <x:c r="A107" s="32" t="str">
        <x:f>IF(D107="","",ROW()-4)</x:f>
      </x:c>
      <x:c r="B107" s="26"/>
      <x:c r="C107" s="27" t="str">
        <x:f>IF(B107="","",TEXT(B107,"mmmm yyyy"))</x:f>
      </x:c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8"/>
      <x:c r="P107" s="28"/>
      <x:c r="Q107" s="34" t="str">
        <x:f>IF(O107="","",O107+IF(P107="",0,P107))</x:f>
      </x:c>
    </x:row>
    <x:row r="108">
      <x:c r="A108" s="32" t="str">
        <x:f>IF(D108="","",ROW()-4)</x:f>
      </x:c>
      <x:c r="B108" s="26"/>
      <x:c r="C108" s="27" t="str">
        <x:f>IF(B108="","",TEXT(B108,"mmmm yyyy"))</x:f>
      </x:c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8"/>
      <x:c r="P108" s="28"/>
      <x:c r="Q108" s="34" t="str">
        <x:f>IF(O108="","",O108+IF(P108="",0,P108))</x:f>
      </x:c>
    </x:row>
    <x:row r="109">
      <x:c r="A109" s="32" t="str">
        <x:f>IF(D109="","",ROW()-4)</x:f>
      </x:c>
      <x:c r="B109" s="26"/>
      <x:c r="C109" s="27" t="str">
        <x:f>IF(B109="","",TEXT(B109,"mmmm yyyy"))</x:f>
      </x:c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8"/>
      <x:c r="P109" s="28"/>
      <x:c r="Q109" s="34" t="str">
        <x:f>IF(O109="","",O109+IF(P109="",0,P109))</x:f>
      </x:c>
    </x:row>
    <x:row r="110">
      <x:c r="A110" s="32" t="str">
        <x:f>IF(D110="","",ROW()-4)</x:f>
      </x:c>
      <x:c r="B110" s="26"/>
      <x:c r="C110" s="27" t="str">
        <x:f>IF(B110="","",TEXT(B110,"mmmm yyyy"))</x:f>
      </x:c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8"/>
      <x:c r="P110" s="28"/>
      <x:c r="Q110" s="34" t="str">
        <x:f>IF(O110="","",O110+IF(P110="",0,P110))</x:f>
      </x:c>
    </x:row>
    <x:row r="111">
      <x:c r="A111" s="32" t="str">
        <x:f>IF(D111="","",ROW()-4)</x:f>
      </x:c>
      <x:c r="B111" s="26"/>
      <x:c r="C111" s="27" t="str">
        <x:f>IF(B111="","",TEXT(B111,"mmmm yyyy"))</x:f>
      </x:c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8"/>
      <x:c r="P111" s="28"/>
      <x:c r="Q111" s="34" t="str">
        <x:f>IF(O111="","",O111+IF(P111="",0,P111))</x:f>
      </x:c>
    </x:row>
    <x:row r="112">
      <x:c r="A112" s="32" t="str">
        <x:f>IF(D112="","",ROW()-4)</x:f>
      </x:c>
      <x:c r="B112" s="26"/>
      <x:c r="C112" s="27" t="str">
        <x:f>IF(B112="","",TEXT(B112,"mmmm yyyy"))</x:f>
      </x:c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8"/>
      <x:c r="P112" s="28"/>
      <x:c r="Q112" s="34" t="str">
        <x:f>IF(O112="","",O112+IF(P112="",0,P112))</x:f>
      </x:c>
    </x:row>
    <x:row r="113">
      <x:c r="A113" s="32" t="str">
        <x:f>IF(D113="","",ROW()-4)</x:f>
      </x:c>
      <x:c r="B113" s="26"/>
      <x:c r="C113" s="27" t="str">
        <x:f>IF(B113="","",TEXT(B113,"mmmm yyyy"))</x:f>
      </x:c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8"/>
      <x:c r="P113" s="28"/>
      <x:c r="Q113" s="34" t="str">
        <x:f>IF(O113="","",O113+IF(P113="",0,P113))</x:f>
      </x:c>
    </x:row>
    <x:row r="114">
      <x:c r="A114" s="32" t="str">
        <x:f>IF(D114="","",ROW()-4)</x:f>
      </x:c>
      <x:c r="B114" s="26"/>
      <x:c r="C114" s="27" t="str">
        <x:f>IF(B114="","",TEXT(B114,"mmmm yyyy"))</x:f>
      </x:c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8"/>
      <x:c r="P114" s="28"/>
      <x:c r="Q114" s="34" t="str">
        <x:f>IF(O114="","",O114+IF(P114="",0,P114))</x:f>
      </x:c>
    </x:row>
    <x:row r="115">
      <x:c r="A115" s="32" t="str">
        <x:f>IF(D115="","",ROW()-4)</x:f>
      </x:c>
      <x:c r="B115" s="26"/>
      <x:c r="C115" s="27" t="str">
        <x:f>IF(B115="","",TEXT(B115,"mmmm yyyy"))</x:f>
      </x:c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8"/>
      <x:c r="P115" s="28"/>
      <x:c r="Q115" s="34" t="str">
        <x:f>IF(O115="","",O115+IF(P115="",0,P115))</x:f>
      </x:c>
    </x:row>
    <x:row r="116">
      <x:c r="A116" s="32" t="str">
        <x:f>IF(D116="","",ROW()-4)</x:f>
      </x:c>
      <x:c r="B116" s="26"/>
      <x:c r="C116" s="27" t="str">
        <x:f>IF(B116="","",TEXT(B116,"mmmm yyyy"))</x:f>
      </x:c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8"/>
      <x:c r="P116" s="28"/>
      <x:c r="Q116" s="34" t="str">
        <x:f>IF(O116="","",O116+IF(P116="",0,P116))</x:f>
      </x:c>
    </x:row>
    <x:row r="117">
      <x:c r="A117" s="32" t="str">
        <x:f>IF(D117="","",ROW()-4)</x:f>
      </x:c>
      <x:c r="B117" s="26"/>
      <x:c r="C117" s="27" t="str">
        <x:f>IF(B117="","",TEXT(B117,"mmmm yyyy"))</x:f>
      </x:c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8"/>
      <x:c r="P117" s="28"/>
      <x:c r="Q117" s="34" t="str">
        <x:f>IF(O117="","",O117+IF(P117="",0,P117))</x:f>
      </x:c>
    </x:row>
    <x:row r="118">
      <x:c r="A118" s="32" t="str">
        <x:f>IF(D118="","",ROW()-4)</x:f>
      </x:c>
      <x:c r="B118" s="26"/>
      <x:c r="C118" s="27" t="str">
        <x:f>IF(B118="","",TEXT(B118,"mmmm yyyy"))</x:f>
      </x:c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8"/>
      <x:c r="P118" s="28"/>
      <x:c r="Q118" s="34" t="str">
        <x:f>IF(O118="","",O118+IF(P118="",0,P118))</x:f>
      </x:c>
    </x:row>
    <x:row r="119">
      <x:c r="A119" s="32" t="str">
        <x:f>IF(D119="","",ROW()-4)</x:f>
      </x:c>
      <x:c r="B119" s="26"/>
      <x:c r="C119" s="27" t="str">
        <x:f>IF(B119="","",TEXT(B119,"mmmm yyyy"))</x:f>
      </x:c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8"/>
      <x:c r="P119" s="28"/>
      <x:c r="Q119" s="34" t="str">
        <x:f>IF(O119="","",O119+IF(P119="",0,P119))</x:f>
      </x:c>
    </x:row>
    <x:row r="120">
      <x:c r="A120" s="32" t="str">
        <x:f>IF(D120="","",ROW()-4)</x:f>
      </x:c>
      <x:c r="B120" s="26"/>
      <x:c r="C120" s="27" t="str">
        <x:f>IF(B120="","",TEXT(B120,"mmmm yyyy"))</x:f>
      </x:c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8"/>
      <x:c r="P120" s="28"/>
      <x:c r="Q120" s="34" t="str">
        <x:f>IF(O120="","",O120+IF(P120="",0,P120))</x:f>
      </x:c>
    </x:row>
    <x:row r="121">
      <x:c r="A121" s="32" t="str">
        <x:f>IF(D121="","",ROW()-4)</x:f>
      </x:c>
      <x:c r="B121" s="26"/>
      <x:c r="C121" s="27" t="str">
        <x:f>IF(B121="","",TEXT(B121,"mmmm yyyy"))</x:f>
      </x:c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8"/>
      <x:c r="P121" s="28"/>
      <x:c r="Q121" s="34" t="str">
        <x:f>IF(O121="","",O121+IF(P121="",0,P121))</x:f>
      </x:c>
    </x:row>
    <x:row r="122">
      <x:c r="A122" s="32" t="str">
        <x:f>IF(D122="","",ROW()-4)</x:f>
      </x:c>
      <x:c r="B122" s="26"/>
      <x:c r="C122" s="27" t="str">
        <x:f>IF(B122="","",TEXT(B122,"mmmm yyyy"))</x:f>
      </x:c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8"/>
      <x:c r="P122" s="28"/>
      <x:c r="Q122" s="34" t="str">
        <x:f>IF(O122="","",O122+IF(P122="",0,P122))</x:f>
      </x:c>
    </x:row>
    <x:row r="123">
      <x:c r="A123" s="32" t="str">
        <x:f>IF(D123="","",ROW()-4)</x:f>
      </x:c>
      <x:c r="B123" s="26"/>
      <x:c r="C123" s="27" t="str">
        <x:f>IF(B123="","",TEXT(B123,"mmmm yyyy"))</x:f>
      </x:c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8"/>
      <x:c r="P123" s="28"/>
      <x:c r="Q123" s="34" t="str">
        <x:f>IF(O123="","",O123+IF(P123="",0,P123))</x:f>
      </x:c>
    </x:row>
    <x:row r="124">
      <x:c r="A124" s="32" t="str">
        <x:f>IF(D124="","",ROW()-4)</x:f>
      </x:c>
      <x:c r="B124" s="26"/>
      <x:c r="C124" s="27" t="str">
        <x:f>IF(B124="","",TEXT(B124,"mmmm yyyy"))</x:f>
      </x:c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8"/>
      <x:c r="P124" s="28"/>
      <x:c r="Q124" s="34" t="str">
        <x:f>IF(O124="","",O124+IF(P124="",0,P124))</x:f>
      </x:c>
    </x:row>
    <x:row r="125">
      <x:c r="A125" s="32" t="str">
        <x:f>IF(D125="","",ROW()-4)</x:f>
      </x:c>
      <x:c r="B125" s="26"/>
      <x:c r="C125" s="27" t="str">
        <x:f>IF(B125="","",TEXT(B125,"mmmm yyyy"))</x:f>
      </x:c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8"/>
      <x:c r="P125" s="28"/>
      <x:c r="Q125" s="34" t="str">
        <x:f>IF(O125="","",O125+IF(P125="",0,P125))</x:f>
      </x:c>
    </x:row>
    <x:row r="126">
      <x:c r="A126" s="32" t="str">
        <x:f>IF(D126="","",ROW()-4)</x:f>
      </x:c>
      <x:c r="B126" s="26"/>
      <x:c r="C126" s="27" t="str">
        <x:f>IF(B126="","",TEXT(B126,"mmmm yyyy"))</x:f>
      </x:c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8"/>
      <x:c r="P126" s="28"/>
      <x:c r="Q126" s="34" t="str">
        <x:f>IF(O126="","",O126+IF(P126="",0,P126))</x:f>
      </x:c>
    </x:row>
    <x:row r="127">
      <x:c r="A127" s="32" t="str">
        <x:f>IF(D127="","",ROW()-4)</x:f>
      </x:c>
      <x:c r="B127" s="26"/>
      <x:c r="C127" s="27" t="str">
        <x:f>IF(B127="","",TEXT(B127,"mmmm yyyy"))</x:f>
      </x:c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8"/>
      <x:c r="P127" s="28"/>
      <x:c r="Q127" s="34" t="str">
        <x:f>IF(O127="","",O127+IF(P127="",0,P127))</x:f>
      </x:c>
    </x:row>
    <x:row r="128">
      <x:c r="A128" s="32" t="str">
        <x:f>IF(D128="","",ROW()-4)</x:f>
      </x:c>
      <x:c r="B128" s="26"/>
      <x:c r="C128" s="27" t="str">
        <x:f>IF(B128="","",TEXT(B128,"mmmm yyyy"))</x:f>
      </x:c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8"/>
      <x:c r="P128" s="28"/>
      <x:c r="Q128" s="34" t="str">
        <x:f>IF(O128="","",O128+IF(P128="",0,P128))</x:f>
      </x:c>
    </x:row>
    <x:row r="129">
      <x:c r="A129" s="32" t="str">
        <x:f>IF(D129="","",ROW()-4)</x:f>
      </x:c>
      <x:c r="B129" s="26"/>
      <x:c r="C129" s="27" t="str">
        <x:f>IF(B129="","",TEXT(B129,"mmmm yyyy"))</x:f>
      </x:c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8"/>
      <x:c r="P129" s="28"/>
      <x:c r="Q129" s="34" t="str">
        <x:f>IF(O129="","",O129+IF(P129="",0,P129))</x:f>
      </x:c>
    </x:row>
    <x:row r="130">
      <x:c r="A130" s="32" t="str">
        <x:f>IF(D130="","",ROW()-4)</x:f>
      </x:c>
      <x:c r="B130" s="26"/>
      <x:c r="C130" s="27" t="str">
        <x:f>IF(B130="","",TEXT(B130,"mmmm yyyy"))</x:f>
      </x:c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8"/>
      <x:c r="P130" s="28"/>
      <x:c r="Q130" s="34" t="str">
        <x:f>IF(O130="","",O130+IF(P130="",0,P130))</x:f>
      </x:c>
    </x:row>
    <x:row r="131">
      <x:c r="A131" s="32" t="str">
        <x:f>IF(D131="","",ROW()-4)</x:f>
      </x:c>
      <x:c r="B131" s="26"/>
      <x:c r="C131" s="27" t="str">
        <x:f>IF(B131="","",TEXT(B131,"mmmm yyyy"))</x:f>
      </x:c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8"/>
      <x:c r="P131" s="28"/>
      <x:c r="Q131" s="34" t="str">
        <x:f>IF(O131="","",O131+IF(P131="",0,P131))</x:f>
      </x:c>
    </x:row>
    <x:row r="132">
      <x:c r="A132" s="32" t="str">
        <x:f>IF(D132="","",ROW()-4)</x:f>
      </x:c>
      <x:c r="B132" s="26"/>
      <x:c r="C132" s="27" t="str">
        <x:f>IF(B132="","",TEXT(B132,"mmmm yyyy"))</x:f>
      </x:c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8"/>
      <x:c r="P132" s="28"/>
      <x:c r="Q132" s="34" t="str">
        <x:f>IF(O132="","",O132+IF(P132="",0,P132))</x:f>
      </x:c>
    </x:row>
    <x:row r="133">
      <x:c r="A133" s="32" t="str">
        <x:f>IF(D133="","",ROW()-4)</x:f>
      </x:c>
      <x:c r="B133" s="26"/>
      <x:c r="C133" s="27" t="str">
        <x:f>IF(B133="","",TEXT(B133,"mmmm yyyy"))</x:f>
      </x:c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8"/>
      <x:c r="P133" s="28"/>
      <x:c r="Q133" s="34" t="str">
        <x:f>IF(O133="","",O133+IF(P133="",0,P133))</x:f>
      </x:c>
    </x:row>
    <x:row r="134">
      <x:c r="A134" s="32" t="str">
        <x:f>IF(D134="","",ROW()-4)</x:f>
      </x:c>
      <x:c r="B134" s="26"/>
      <x:c r="C134" s="27" t="str">
        <x:f>IF(B134="","",TEXT(B134,"mmmm yyyy"))</x:f>
      </x:c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8"/>
      <x:c r="P134" s="28"/>
      <x:c r="Q134" s="34" t="str">
        <x:f>IF(O134="","",O134+IF(P134="",0,P134))</x:f>
      </x:c>
    </x:row>
    <x:row r="135">
      <x:c r="A135" s="32" t="str">
        <x:f>IF(D135="","",ROW()-4)</x:f>
      </x:c>
      <x:c r="B135" s="26"/>
      <x:c r="C135" s="27" t="str">
        <x:f>IF(B135="","",TEXT(B135,"mmmm yyyy"))</x:f>
      </x:c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8"/>
      <x:c r="P135" s="28"/>
      <x:c r="Q135" s="34" t="str">
        <x:f>IF(O135="","",O135+IF(P135="",0,P135))</x:f>
      </x:c>
    </x:row>
    <x:row r="136">
      <x:c r="A136" s="32" t="str">
        <x:f>IF(D136="","",ROW()-4)</x:f>
      </x:c>
      <x:c r="B136" s="26"/>
      <x:c r="C136" s="27" t="str">
        <x:f>IF(B136="","",TEXT(B136,"mmmm yyyy"))</x:f>
      </x:c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8"/>
      <x:c r="P136" s="28"/>
      <x:c r="Q136" s="34" t="str">
        <x:f>IF(O136="","",O136+IF(P136="",0,P136))</x:f>
      </x:c>
    </x:row>
    <x:row r="137">
      <x:c r="A137" s="32" t="str">
        <x:f>IF(D137="","",ROW()-4)</x:f>
      </x:c>
      <x:c r="B137" s="26"/>
      <x:c r="C137" s="27" t="str">
        <x:f>IF(B137="","",TEXT(B137,"mmmm yyyy"))</x:f>
      </x:c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8"/>
      <x:c r="P137" s="28"/>
      <x:c r="Q137" s="34" t="str">
        <x:f>IF(O137="","",O137+IF(P137="",0,P137))</x:f>
      </x:c>
    </x:row>
    <x:row r="138">
      <x:c r="A138" s="32" t="str">
        <x:f>IF(D138="","",ROW()-4)</x:f>
      </x:c>
      <x:c r="B138" s="26"/>
      <x:c r="C138" s="27" t="str">
        <x:f>IF(B138="","",TEXT(B138,"mmmm yyyy"))</x:f>
      </x:c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8"/>
      <x:c r="P138" s="28"/>
      <x:c r="Q138" s="34" t="str">
        <x:f>IF(O138="","",O138+IF(P138="",0,P138))</x:f>
      </x:c>
    </x:row>
    <x:row r="139">
      <x:c r="A139" s="32" t="str">
        <x:f>IF(D139="","",ROW()-4)</x:f>
      </x:c>
      <x:c r="B139" s="26"/>
      <x:c r="C139" s="27" t="str">
        <x:f>IF(B139="","",TEXT(B139,"mmmm yyyy"))</x:f>
      </x:c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8"/>
      <x:c r="P139" s="28"/>
      <x:c r="Q139" s="34" t="str">
        <x:f>IF(O139="","",O139+IF(P139="",0,P139))</x:f>
      </x:c>
    </x:row>
    <x:row r="140">
      <x:c r="A140" s="32" t="str">
        <x:f>IF(D140="","",ROW()-4)</x:f>
      </x:c>
      <x:c r="B140" s="26"/>
      <x:c r="C140" s="27" t="str">
        <x:f>IF(B140="","",TEXT(B140,"mmmm yyyy"))</x:f>
      </x:c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8"/>
      <x:c r="P140" s="28"/>
      <x:c r="Q140" s="34" t="str">
        <x:f>IF(O140="","",O140+IF(P140="",0,P140))</x:f>
      </x:c>
    </x:row>
    <x:row r="141">
      <x:c r="A141" s="32" t="str">
        <x:f>IF(D141="","",ROW()-4)</x:f>
      </x:c>
      <x:c r="B141" s="26"/>
      <x:c r="C141" s="27" t="str">
        <x:f>IF(B141="","",TEXT(B141,"mmmm yyyy"))</x:f>
      </x:c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8"/>
      <x:c r="P141" s="28"/>
      <x:c r="Q141" s="34" t="str">
        <x:f>IF(O141="","",O141+IF(P141="",0,P141))</x:f>
      </x:c>
    </x:row>
    <x:row r="142">
      <x:c r="A142" s="32" t="str">
        <x:f>IF(D142="","",ROW()-4)</x:f>
      </x:c>
      <x:c r="B142" s="26"/>
      <x:c r="C142" s="27" t="str">
        <x:f>IF(B142="","",TEXT(B142,"mmmm yyyy"))</x:f>
      </x:c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8"/>
      <x:c r="P142" s="28"/>
      <x:c r="Q142" s="34" t="str">
        <x:f>IF(O142="","",O142+IF(P142="",0,P142))</x:f>
      </x:c>
    </x:row>
    <x:row r="143">
      <x:c r="A143" s="32" t="str">
        <x:f>IF(D143="","",ROW()-4)</x:f>
      </x:c>
      <x:c r="B143" s="26"/>
      <x:c r="C143" s="27" t="str">
        <x:f>IF(B143="","",TEXT(B143,"mmmm yyyy"))</x:f>
      </x:c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8"/>
      <x:c r="P143" s="28"/>
      <x:c r="Q143" s="34" t="str">
        <x:f>IF(O143="","",O143+IF(P143="",0,P143))</x:f>
      </x:c>
    </x:row>
    <x:row r="144">
      <x:c r="A144" s="32" t="str">
        <x:f>IF(D144="","",ROW()-4)</x:f>
      </x:c>
      <x:c r="B144" s="26"/>
      <x:c r="C144" s="27" t="str">
        <x:f>IF(B144="","",TEXT(B144,"mmmm yyyy"))</x:f>
      </x:c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8"/>
      <x:c r="P144" s="28"/>
      <x:c r="Q144" s="34" t="str">
        <x:f>IF(O144="","",O144+IF(P144="",0,P144))</x:f>
      </x:c>
    </x:row>
    <x:row r="145">
      <x:c r="A145" s="32" t="str">
        <x:f>IF(D145="","",ROW()-4)</x:f>
      </x:c>
      <x:c r="B145" s="26"/>
      <x:c r="C145" s="27" t="str">
        <x:f>IF(B145="","",TEXT(B145,"mmmm yyyy"))</x:f>
      </x:c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8"/>
      <x:c r="P145" s="28"/>
      <x:c r="Q145" s="34" t="str">
        <x:f>IF(O145="","",O145+IF(P145="",0,P145))</x:f>
      </x:c>
    </x:row>
    <x:row r="146">
      <x:c r="A146" s="32" t="str">
        <x:f>IF(D146="","",ROW()-4)</x:f>
      </x:c>
      <x:c r="B146" s="26"/>
      <x:c r="C146" s="27" t="str">
        <x:f>IF(B146="","",TEXT(B146,"mmmm yyyy"))</x:f>
      </x:c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8"/>
      <x:c r="P146" s="28"/>
      <x:c r="Q146" s="34" t="str">
        <x:f>IF(O146="","",O146+IF(P146="",0,P146))</x:f>
      </x:c>
    </x:row>
    <x:row r="147">
      <x:c r="A147" s="32" t="str">
        <x:f>IF(D147="","",ROW()-4)</x:f>
      </x:c>
      <x:c r="B147" s="26"/>
      <x:c r="C147" s="27" t="str">
        <x:f>IF(B147="","",TEXT(B147,"mmmm yyyy"))</x:f>
      </x:c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8"/>
      <x:c r="P147" s="28"/>
      <x:c r="Q147" s="34" t="str">
        <x:f>IF(O147="","",O147+IF(P147="",0,P147))</x:f>
      </x:c>
    </x:row>
    <x:row r="148">
      <x:c r="A148" s="32" t="str">
        <x:f>IF(D148="","",ROW()-4)</x:f>
      </x:c>
      <x:c r="B148" s="26"/>
      <x:c r="C148" s="27" t="str">
        <x:f>IF(B148="","",TEXT(B148,"mmmm yyyy"))</x:f>
      </x:c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8"/>
      <x:c r="P148" s="28"/>
      <x:c r="Q148" s="34" t="str">
        <x:f>IF(O148="","",O148+IF(P148="",0,P148))</x:f>
      </x:c>
    </x:row>
    <x:row r="149">
      <x:c r="A149" s="32" t="str">
        <x:f>IF(D149="","",ROW()-4)</x:f>
      </x:c>
      <x:c r="B149" s="26"/>
      <x:c r="C149" s="27" t="str">
        <x:f>IF(B149="","",TEXT(B149,"mmmm yyyy"))</x:f>
      </x:c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8"/>
      <x:c r="P149" s="28"/>
      <x:c r="Q149" s="34" t="str">
        <x:f>IF(O149="","",O149+IF(P149="",0,P149))</x:f>
      </x:c>
    </x:row>
    <x:row r="150">
      <x:c r="A150" s="32" t="str">
        <x:f>IF(D150="","",ROW()-4)</x:f>
      </x:c>
      <x:c r="B150" s="26"/>
      <x:c r="C150" s="27" t="str">
        <x:f>IF(B150="","",TEXT(B150,"mmmm yyyy"))</x:f>
      </x:c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8"/>
      <x:c r="P150" s="28"/>
      <x:c r="Q150" s="34" t="str">
        <x:f>IF(O150="","",O150+IF(P150="",0,P150))</x:f>
      </x:c>
    </x:row>
    <x:row r="151">
      <x:c r="A151" s="32" t="str">
        <x:f>IF(D151="","",ROW()-4)</x:f>
      </x:c>
      <x:c r="B151" s="26"/>
      <x:c r="C151" s="27" t="str">
        <x:f>IF(B151="","",TEXT(B151,"mmmm yyyy"))</x:f>
      </x:c>
      <x:c r="D151" s="27"/>
      <x:c r="E151" s="27"/>
      <x:c r="F151" s="27"/>
      <x:c r="G151" s="27"/>
      <x:c r="H151" s="27"/>
      <x:c r="I151" s="27"/>
      <x:c r="J151" s="27"/>
      <x:c r="K151" s="27"/>
      <x:c r="L151" s="27"/>
      <x:c r="M151" s="27"/>
      <x:c r="N151" s="27"/>
      <x:c r="O151" s="28"/>
      <x:c r="P151" s="28"/>
      <x:c r="Q151" s="34" t="str">
        <x:f>IF(O151="","",O151+IF(P151="",0,P151))</x:f>
      </x:c>
    </x:row>
    <x:row r="152">
      <x:c r="A152" s="32" t="str">
        <x:f>IF(D152="","",ROW()-4)</x:f>
      </x:c>
      <x:c r="B152" s="26"/>
      <x:c r="C152" s="27" t="str">
        <x:f>IF(B152="","",TEXT(B152,"mmmm yyyy"))</x:f>
      </x:c>
      <x:c r="D152" s="27"/>
      <x:c r="E152" s="27"/>
      <x:c r="F152" s="27"/>
      <x:c r="G152" s="27"/>
      <x:c r="H152" s="27"/>
      <x:c r="I152" s="27"/>
      <x:c r="J152" s="27"/>
      <x:c r="K152" s="27"/>
      <x:c r="L152" s="27"/>
      <x:c r="M152" s="27"/>
      <x:c r="N152" s="27"/>
      <x:c r="O152" s="28"/>
      <x:c r="P152" s="28"/>
      <x:c r="Q152" s="34" t="str">
        <x:f>IF(O152="","",O152+IF(P152="",0,P152))</x:f>
      </x:c>
    </x:row>
    <x:row r="153">
      <x:c r="A153" s="32" t="str">
        <x:f>IF(D153="","",ROW()-4)</x:f>
      </x:c>
      <x:c r="B153" s="26"/>
      <x:c r="C153" s="27" t="str">
        <x:f>IF(B153="","",TEXT(B153,"mmmm yyyy"))</x:f>
      </x:c>
      <x:c r="D153" s="27"/>
      <x:c r="E153" s="27"/>
      <x:c r="F153" s="27"/>
      <x:c r="G153" s="27"/>
      <x:c r="H153" s="27"/>
      <x:c r="I153" s="27"/>
      <x:c r="J153" s="27"/>
      <x:c r="K153" s="27"/>
      <x:c r="L153" s="27"/>
      <x:c r="M153" s="27"/>
      <x:c r="N153" s="27"/>
      <x:c r="O153" s="28"/>
      <x:c r="P153" s="28"/>
      <x:c r="Q153" s="34" t="str">
        <x:f>IF(O153="","",O153+IF(P153="",0,P153))</x:f>
      </x:c>
    </x:row>
    <x:row r="154">
      <x:c r="A154" s="32" t="str">
        <x:f>IF(D154="","",ROW()-4)</x:f>
      </x:c>
      <x:c r="B154" s="26"/>
      <x:c r="C154" s="27" t="str">
        <x:f>IF(B154="","",TEXT(B154,"mmmm yyyy"))</x:f>
      </x:c>
      <x:c r="D154" s="27"/>
      <x:c r="E154" s="27"/>
      <x:c r="F154" s="27"/>
      <x:c r="G154" s="27"/>
      <x:c r="H154" s="27"/>
      <x:c r="I154" s="27"/>
      <x:c r="J154" s="27"/>
      <x:c r="K154" s="27"/>
      <x:c r="L154" s="27"/>
      <x:c r="M154" s="27"/>
      <x:c r="N154" s="27"/>
      <x:c r="O154" s="28"/>
      <x:c r="P154" s="28"/>
      <x:c r="Q154" s="34" t="str">
        <x:f>IF(O154="","",O154+IF(P154="",0,P154))</x:f>
      </x:c>
    </x:row>
    <x:row r="155">
      <x:c r="A155" s="32" t="str">
        <x:f>IF(D155="","",ROW()-4)</x:f>
      </x:c>
      <x:c r="B155" s="26"/>
      <x:c r="C155" s="27" t="str">
        <x:f>IF(B155="","",TEXT(B155,"mmmm yyyy"))</x:f>
      </x:c>
      <x:c r="D155" s="27"/>
      <x:c r="E155" s="27"/>
      <x:c r="F155" s="27"/>
      <x:c r="G155" s="27"/>
      <x:c r="H155" s="27"/>
      <x:c r="I155" s="27"/>
      <x:c r="J155" s="27"/>
      <x:c r="K155" s="27"/>
      <x:c r="L155" s="27"/>
      <x:c r="M155" s="27"/>
      <x:c r="N155" s="27"/>
      <x:c r="O155" s="28"/>
      <x:c r="P155" s="28"/>
      <x:c r="Q155" s="34" t="str">
        <x:f>IF(O155="","",O155+IF(P155="",0,P155))</x:f>
      </x:c>
    </x:row>
    <x:row r="156">
      <x:c r="A156" s="32" t="str">
        <x:f>IF(D156="","",ROW()-4)</x:f>
      </x:c>
      <x:c r="B156" s="26"/>
      <x:c r="C156" s="27" t="str">
        <x:f>IF(B156="","",TEXT(B156,"mmmm yyyy"))</x:f>
      </x:c>
      <x:c r="D156" s="27"/>
      <x:c r="E156" s="27"/>
      <x:c r="F156" s="27"/>
      <x:c r="G156" s="27"/>
      <x:c r="H156" s="27"/>
      <x:c r="I156" s="27"/>
      <x:c r="J156" s="27"/>
      <x:c r="K156" s="27"/>
      <x:c r="L156" s="27"/>
      <x:c r="M156" s="27"/>
      <x:c r="N156" s="27"/>
      <x:c r="O156" s="28"/>
      <x:c r="P156" s="28"/>
      <x:c r="Q156" s="34" t="str">
        <x:f>IF(O156="","",O156+IF(P156="",0,P156))</x:f>
      </x:c>
    </x:row>
    <x:row r="157">
      <x:c r="A157" s="32" t="str">
        <x:f>IF(D157="","",ROW()-4)</x:f>
      </x:c>
      <x:c r="B157" s="26"/>
      <x:c r="C157" s="27" t="str">
        <x:f>IF(B157="","",TEXT(B157,"mmmm yyyy"))</x:f>
      </x:c>
      <x:c r="D157" s="27"/>
      <x:c r="E157" s="27"/>
      <x:c r="F157" s="27"/>
      <x:c r="G157" s="27"/>
      <x:c r="H157" s="27"/>
      <x:c r="I157" s="27"/>
      <x:c r="J157" s="27"/>
      <x:c r="K157" s="27"/>
      <x:c r="L157" s="27"/>
      <x:c r="M157" s="27"/>
      <x:c r="N157" s="27"/>
      <x:c r="O157" s="28"/>
      <x:c r="P157" s="28"/>
      <x:c r="Q157" s="34" t="str">
        <x:f>IF(O157="","",O157+IF(P157="",0,P157))</x:f>
      </x:c>
    </x:row>
    <x:row r="158">
      <x:c r="A158" s="32" t="str">
        <x:f>IF(D158="","",ROW()-4)</x:f>
      </x:c>
      <x:c r="B158" s="26"/>
      <x:c r="C158" s="27" t="str">
        <x:f>IF(B158="","",TEXT(B158,"mmmm yyyy"))</x:f>
      </x:c>
      <x:c r="D158" s="27"/>
      <x:c r="E158" s="27"/>
      <x:c r="F158" s="27"/>
      <x:c r="G158" s="27"/>
      <x:c r="H158" s="27"/>
      <x:c r="I158" s="27"/>
      <x:c r="J158" s="27"/>
      <x:c r="K158" s="27"/>
      <x:c r="L158" s="27"/>
      <x:c r="M158" s="27"/>
      <x:c r="N158" s="27"/>
      <x:c r="O158" s="28"/>
      <x:c r="P158" s="28"/>
      <x:c r="Q158" s="34" t="str">
        <x:f>IF(O158="","",O158+IF(P158="",0,P158))</x:f>
      </x:c>
    </x:row>
    <x:row r="159">
      <x:c r="A159" s="32" t="str">
        <x:f>IF(D159="","",ROW()-4)</x:f>
      </x:c>
      <x:c r="B159" s="26"/>
      <x:c r="C159" s="27" t="str">
        <x:f>IF(B159="","",TEXT(B159,"mmmm yyyy"))</x:f>
      </x:c>
      <x:c r="D159" s="27"/>
      <x:c r="E159" s="27"/>
      <x:c r="F159" s="27"/>
      <x:c r="G159" s="27"/>
      <x:c r="H159" s="27"/>
      <x:c r="I159" s="27"/>
      <x:c r="J159" s="27"/>
      <x:c r="K159" s="27"/>
      <x:c r="L159" s="27"/>
      <x:c r="M159" s="27"/>
      <x:c r="N159" s="27"/>
      <x:c r="O159" s="28"/>
      <x:c r="P159" s="28"/>
      <x:c r="Q159" s="34" t="str">
        <x:f>IF(O159="","",O159+IF(P159="",0,P159))</x:f>
      </x:c>
    </x:row>
    <x:row r="160">
      <x:c r="A160" s="32" t="str">
        <x:f>IF(D160="","",ROW()-4)</x:f>
      </x:c>
      <x:c r="B160" s="26"/>
      <x:c r="C160" s="27" t="str">
        <x:f>IF(B160="","",TEXT(B160,"mmmm yyyy"))</x:f>
      </x:c>
      <x:c r="D160" s="27"/>
      <x:c r="E160" s="27"/>
      <x:c r="F160" s="27"/>
      <x:c r="G160" s="27"/>
      <x:c r="H160" s="27"/>
      <x:c r="I160" s="27"/>
      <x:c r="J160" s="27"/>
      <x:c r="K160" s="27"/>
      <x:c r="L160" s="27"/>
      <x:c r="M160" s="27"/>
      <x:c r="N160" s="27"/>
      <x:c r="O160" s="28"/>
      <x:c r="P160" s="28"/>
      <x:c r="Q160" s="34" t="str">
        <x:f>IF(O160="","",O160+IF(P160="",0,P160))</x:f>
      </x:c>
    </x:row>
    <x:row r="161">
      <x:c r="A161" s="32" t="str">
        <x:f>IF(D161="","",ROW()-4)</x:f>
      </x:c>
      <x:c r="B161" s="26"/>
      <x:c r="C161" s="27" t="str">
        <x:f>IF(B161="","",TEXT(B161,"mmmm yyyy"))</x:f>
      </x:c>
      <x:c r="D161" s="27"/>
      <x:c r="E161" s="27"/>
      <x:c r="F161" s="27"/>
      <x:c r="G161" s="27"/>
      <x:c r="H161" s="27"/>
      <x:c r="I161" s="27"/>
      <x:c r="J161" s="27"/>
      <x:c r="K161" s="27"/>
      <x:c r="L161" s="27"/>
      <x:c r="M161" s="27"/>
      <x:c r="N161" s="27"/>
      <x:c r="O161" s="28"/>
      <x:c r="P161" s="28"/>
      <x:c r="Q161" s="34" t="str">
        <x:f>IF(O161="","",O161+IF(P161="",0,P161))</x:f>
      </x:c>
    </x:row>
    <x:row r="162">
      <x:c r="A162" s="32" t="str">
        <x:f>IF(D162="","",ROW()-4)</x:f>
      </x:c>
      <x:c r="B162" s="26"/>
      <x:c r="C162" s="27" t="str">
        <x:f>IF(B162="","",TEXT(B162,"mmmm yyyy"))</x:f>
      </x:c>
      <x:c r="D162" s="27"/>
      <x:c r="E162" s="27"/>
      <x:c r="F162" s="27"/>
      <x:c r="G162" s="27"/>
      <x:c r="H162" s="27"/>
      <x:c r="I162" s="27"/>
      <x:c r="J162" s="27"/>
      <x:c r="K162" s="27"/>
      <x:c r="L162" s="27"/>
      <x:c r="M162" s="27"/>
      <x:c r="N162" s="27"/>
      <x:c r="O162" s="28"/>
      <x:c r="P162" s="28"/>
      <x:c r="Q162" s="34" t="str">
        <x:f>IF(O162="","",O162+IF(P162="",0,P162))</x:f>
      </x:c>
    </x:row>
    <x:row r="163">
      <x:c r="A163" s="32" t="str">
        <x:f>IF(D163="","",ROW()-4)</x:f>
      </x:c>
      <x:c r="B163" s="26"/>
      <x:c r="C163" s="27" t="str">
        <x:f>IF(B163="","",TEXT(B163,"mmmm yyyy"))</x:f>
      </x:c>
      <x:c r="D163" s="27"/>
      <x:c r="E163" s="27"/>
      <x:c r="F163" s="27"/>
      <x:c r="G163" s="27"/>
      <x:c r="H163" s="27"/>
      <x:c r="I163" s="27"/>
      <x:c r="J163" s="27"/>
      <x:c r="K163" s="27"/>
      <x:c r="L163" s="27"/>
      <x:c r="M163" s="27"/>
      <x:c r="N163" s="27"/>
      <x:c r="O163" s="28"/>
      <x:c r="P163" s="28"/>
      <x:c r="Q163" s="34" t="str">
        <x:f>IF(O163="","",O163+IF(P163="",0,P163))</x:f>
      </x:c>
    </x:row>
    <x:row r="164">
      <x:c r="A164" s="32" t="str">
        <x:f>IF(D164="","",ROW()-4)</x:f>
      </x:c>
      <x:c r="B164" s="26"/>
      <x:c r="C164" s="27" t="str">
        <x:f>IF(B164="","",TEXT(B164,"mmmm yyyy"))</x:f>
      </x:c>
      <x:c r="D164" s="27"/>
      <x:c r="E164" s="27"/>
      <x:c r="F164" s="27"/>
      <x:c r="G164" s="27"/>
      <x:c r="H164" s="27"/>
      <x:c r="I164" s="27"/>
      <x:c r="J164" s="27"/>
      <x:c r="K164" s="27"/>
      <x:c r="L164" s="27"/>
      <x:c r="M164" s="27"/>
      <x:c r="N164" s="27"/>
      <x:c r="O164" s="28"/>
      <x:c r="P164" s="28"/>
      <x:c r="Q164" s="34" t="str">
        <x:f>IF(O164="","",O164+IF(P164="",0,P164))</x:f>
      </x:c>
    </x:row>
    <x:row r="165">
      <x:c r="A165" s="32" t="str">
        <x:f>IF(D165="","",ROW()-4)</x:f>
      </x:c>
      <x:c r="B165" s="26"/>
      <x:c r="C165" s="27" t="str">
        <x:f>IF(B165="","",TEXT(B165,"mmmm yyyy"))</x:f>
      </x:c>
      <x:c r="D165" s="27"/>
      <x:c r="E165" s="27"/>
      <x:c r="F165" s="27"/>
      <x:c r="G165" s="27"/>
      <x:c r="H165" s="27"/>
      <x:c r="I165" s="27"/>
      <x:c r="J165" s="27"/>
      <x:c r="K165" s="27"/>
      <x:c r="L165" s="27"/>
      <x:c r="M165" s="27"/>
      <x:c r="N165" s="27"/>
      <x:c r="O165" s="28"/>
      <x:c r="P165" s="28"/>
      <x:c r="Q165" s="34" t="str">
        <x:f>IF(O165="","",O165+IF(P165="",0,P165))</x:f>
      </x:c>
    </x:row>
    <x:row r="166">
      <x:c r="A166" s="32" t="str">
        <x:f>IF(D166="","",ROW()-4)</x:f>
      </x:c>
      <x:c r="B166" s="26"/>
      <x:c r="C166" s="27" t="str">
        <x:f>IF(B166="","",TEXT(B166,"mmmm yyyy"))</x:f>
      </x:c>
      <x:c r="D166" s="27"/>
      <x:c r="E166" s="27"/>
      <x:c r="F166" s="27"/>
      <x:c r="G166" s="27"/>
      <x:c r="H166" s="27"/>
      <x:c r="I166" s="27"/>
      <x:c r="J166" s="27"/>
      <x:c r="K166" s="27"/>
      <x:c r="L166" s="27"/>
      <x:c r="M166" s="27"/>
      <x:c r="N166" s="27"/>
      <x:c r="O166" s="28"/>
      <x:c r="P166" s="28"/>
      <x:c r="Q166" s="34" t="str">
        <x:f>IF(O166="","",O166+IF(P166="",0,P166))</x:f>
      </x:c>
    </x:row>
    <x:row r="167">
      <x:c r="A167" s="32" t="str">
        <x:f>IF(D167="","",ROW()-4)</x:f>
      </x:c>
      <x:c r="B167" s="26"/>
      <x:c r="C167" s="27" t="str">
        <x:f>IF(B167="","",TEXT(B167,"mmmm yyyy"))</x:f>
      </x:c>
      <x:c r="D167" s="27"/>
      <x:c r="E167" s="27"/>
      <x:c r="F167" s="27"/>
      <x:c r="G167" s="27"/>
      <x:c r="H167" s="27"/>
      <x:c r="I167" s="27"/>
      <x:c r="J167" s="27"/>
      <x:c r="K167" s="27"/>
      <x:c r="L167" s="27"/>
      <x:c r="M167" s="27"/>
      <x:c r="N167" s="27"/>
      <x:c r="O167" s="28"/>
      <x:c r="P167" s="28"/>
      <x:c r="Q167" s="34" t="str">
        <x:f>IF(O167="","",O167+IF(P167="",0,P167))</x:f>
      </x:c>
    </x:row>
    <x:row r="168">
      <x:c r="A168" s="32" t="str">
        <x:f>IF(D168="","",ROW()-4)</x:f>
      </x:c>
      <x:c r="B168" s="26"/>
      <x:c r="C168" s="27" t="str">
        <x:f>IF(B168="","",TEXT(B168,"mmmm yyyy"))</x:f>
      </x:c>
      <x:c r="D168" s="27"/>
      <x:c r="E168" s="27"/>
      <x:c r="F168" s="27"/>
      <x:c r="G168" s="27"/>
      <x:c r="H168" s="27"/>
      <x:c r="I168" s="27"/>
      <x:c r="J168" s="27"/>
      <x:c r="K168" s="27"/>
      <x:c r="L168" s="27"/>
      <x:c r="M168" s="27"/>
      <x:c r="N168" s="27"/>
      <x:c r="O168" s="28"/>
      <x:c r="P168" s="28"/>
      <x:c r="Q168" s="34" t="str">
        <x:f>IF(O168="","",O168+IF(P168="",0,P168))</x:f>
      </x:c>
    </x:row>
    <x:row r="169">
      <x:c r="A169" s="32" t="str">
        <x:f>IF(D169="","",ROW()-4)</x:f>
      </x:c>
      <x:c r="B169" s="26"/>
      <x:c r="C169" s="27" t="str">
        <x:f>IF(B169="","",TEXT(B169,"mmmm yyyy"))</x:f>
      </x:c>
      <x:c r="D169" s="27"/>
      <x:c r="E169" s="27"/>
      <x:c r="F169" s="27"/>
      <x:c r="G169" s="27"/>
      <x:c r="H169" s="27"/>
      <x:c r="I169" s="27"/>
      <x:c r="J169" s="27"/>
      <x:c r="K169" s="27"/>
      <x:c r="L169" s="27"/>
      <x:c r="M169" s="27"/>
      <x:c r="N169" s="27"/>
      <x:c r="O169" s="28"/>
      <x:c r="P169" s="28"/>
      <x:c r="Q169" s="34" t="str">
        <x:f>IF(O169="","",O169+IF(P169="",0,P169))</x:f>
      </x:c>
    </x:row>
    <x:row r="170">
      <x:c r="A170" s="32" t="str">
        <x:f>IF(D170="","",ROW()-4)</x:f>
      </x:c>
      <x:c r="B170" s="26"/>
      <x:c r="C170" s="27" t="str">
        <x:f>IF(B170="","",TEXT(B170,"mmmm yyyy"))</x:f>
      </x:c>
      <x:c r="D170" s="27"/>
      <x:c r="E170" s="27"/>
      <x:c r="F170" s="27"/>
      <x:c r="G170" s="27"/>
      <x:c r="H170" s="27"/>
      <x:c r="I170" s="27"/>
      <x:c r="J170" s="27"/>
      <x:c r="K170" s="27"/>
      <x:c r="L170" s="27"/>
      <x:c r="M170" s="27"/>
      <x:c r="N170" s="27"/>
      <x:c r="O170" s="28"/>
      <x:c r="P170" s="28"/>
      <x:c r="Q170" s="34" t="str">
        <x:f>IF(O170="","",O170+IF(P170="",0,P170))</x:f>
      </x:c>
    </x:row>
    <x:row r="171">
      <x:c r="A171" s="32" t="str">
        <x:f>IF(D171="","",ROW()-4)</x:f>
      </x:c>
      <x:c r="B171" s="26"/>
      <x:c r="C171" s="27" t="str">
        <x:f>IF(B171="","",TEXT(B171,"mmmm yyyy"))</x:f>
      </x:c>
      <x:c r="D171" s="27"/>
      <x:c r="E171" s="27"/>
      <x:c r="F171" s="27"/>
      <x:c r="G171" s="27"/>
      <x:c r="H171" s="27"/>
      <x:c r="I171" s="27"/>
      <x:c r="J171" s="27"/>
      <x:c r="K171" s="27"/>
      <x:c r="L171" s="27"/>
      <x:c r="M171" s="27"/>
      <x:c r="N171" s="27"/>
      <x:c r="O171" s="28"/>
      <x:c r="P171" s="28"/>
      <x:c r="Q171" s="34" t="str">
        <x:f>IF(O171="","",O171+IF(P171="",0,P171))</x:f>
      </x:c>
    </x:row>
    <x:row r="172">
      <x:c r="A172" s="32" t="str">
        <x:f>IF(D172="","",ROW()-4)</x:f>
      </x:c>
      <x:c r="B172" s="26"/>
      <x:c r="C172" s="27" t="str">
        <x:f>IF(B172="","",TEXT(B172,"mmmm yyyy"))</x:f>
      </x:c>
      <x:c r="D172" s="27"/>
      <x:c r="E172" s="27"/>
      <x:c r="F172" s="27"/>
      <x:c r="G172" s="27"/>
      <x:c r="H172" s="27"/>
      <x:c r="I172" s="27"/>
      <x:c r="J172" s="27"/>
      <x:c r="K172" s="27"/>
      <x:c r="L172" s="27"/>
      <x:c r="M172" s="27"/>
      <x:c r="N172" s="27"/>
      <x:c r="O172" s="28"/>
      <x:c r="P172" s="28"/>
      <x:c r="Q172" s="34" t="str">
        <x:f>IF(O172="","",O172+IF(P172="",0,P172))</x:f>
      </x:c>
    </x:row>
    <x:row r="173">
      <x:c r="A173" s="32" t="str">
        <x:f>IF(D173="","",ROW()-4)</x:f>
      </x:c>
      <x:c r="B173" s="26"/>
      <x:c r="C173" s="27" t="str">
        <x:f>IF(B173="","",TEXT(B173,"mmmm yyyy"))</x:f>
      </x:c>
      <x:c r="D173" s="27"/>
      <x:c r="E173" s="27"/>
      <x:c r="F173" s="27"/>
      <x:c r="G173" s="27"/>
      <x:c r="H173" s="27"/>
      <x:c r="I173" s="27"/>
      <x:c r="J173" s="27"/>
      <x:c r="K173" s="27"/>
      <x:c r="L173" s="27"/>
      <x:c r="M173" s="27"/>
      <x:c r="N173" s="27"/>
      <x:c r="O173" s="28"/>
      <x:c r="P173" s="28"/>
      <x:c r="Q173" s="34" t="str">
        <x:f>IF(O173="","",O173+IF(P173="",0,P173))</x:f>
      </x:c>
    </x:row>
    <x:row r="174">
      <x:c r="A174" s="32" t="str">
        <x:f>IF(D174="","",ROW()-4)</x:f>
      </x:c>
      <x:c r="B174" s="26"/>
      <x:c r="C174" s="27" t="str">
        <x:f>IF(B174="","",TEXT(B174,"mmmm yyyy"))</x:f>
      </x:c>
      <x:c r="D174" s="27"/>
      <x:c r="E174" s="27"/>
      <x:c r="F174" s="27"/>
      <x:c r="G174" s="27"/>
      <x:c r="H174" s="27"/>
      <x:c r="I174" s="27"/>
      <x:c r="J174" s="27"/>
      <x:c r="K174" s="27"/>
      <x:c r="L174" s="27"/>
      <x:c r="M174" s="27"/>
      <x:c r="N174" s="27"/>
      <x:c r="O174" s="28"/>
      <x:c r="P174" s="28"/>
      <x:c r="Q174" s="34" t="str">
        <x:f>IF(O174="","",O174+IF(P174="",0,P174))</x:f>
      </x:c>
    </x:row>
    <x:row r="175">
      <x:c r="A175" s="32" t="str">
        <x:f>IF(D175="","",ROW()-4)</x:f>
      </x:c>
      <x:c r="B175" s="26"/>
      <x:c r="C175" s="27" t="str">
        <x:f>IF(B175="","",TEXT(B175,"mmmm yyyy"))</x:f>
      </x:c>
      <x:c r="D175" s="27"/>
      <x:c r="E175" s="27"/>
      <x:c r="F175" s="27"/>
      <x:c r="G175" s="27"/>
      <x:c r="H175" s="27"/>
      <x:c r="I175" s="27"/>
      <x:c r="J175" s="27"/>
      <x:c r="K175" s="27"/>
      <x:c r="L175" s="27"/>
      <x:c r="M175" s="27"/>
      <x:c r="N175" s="27"/>
      <x:c r="O175" s="28"/>
      <x:c r="P175" s="28"/>
      <x:c r="Q175" s="34" t="str">
        <x:f>IF(O175="","",O175+IF(P175="",0,P175))</x:f>
      </x:c>
    </x:row>
    <x:row r="176">
      <x:c r="A176" s="32" t="str">
        <x:f>IF(D176="","",ROW()-4)</x:f>
      </x:c>
      <x:c r="B176" s="26"/>
      <x:c r="C176" s="27" t="str">
        <x:f>IF(B176="","",TEXT(B176,"mmmm yyyy"))</x:f>
      </x:c>
      <x:c r="D176" s="27"/>
      <x:c r="E176" s="27"/>
      <x:c r="F176" s="27"/>
      <x:c r="G176" s="27"/>
      <x:c r="H176" s="27"/>
      <x:c r="I176" s="27"/>
      <x:c r="J176" s="27"/>
      <x:c r="K176" s="27"/>
      <x:c r="L176" s="27"/>
      <x:c r="M176" s="27"/>
      <x:c r="N176" s="27"/>
      <x:c r="O176" s="28"/>
      <x:c r="P176" s="28"/>
      <x:c r="Q176" s="34" t="str">
        <x:f>IF(O176="","",O176+IF(P176="",0,P176))</x:f>
      </x:c>
    </x:row>
    <x:row r="177">
      <x:c r="A177" s="32" t="str">
        <x:f>IF(D177="","",ROW()-4)</x:f>
      </x:c>
      <x:c r="B177" s="26"/>
      <x:c r="C177" s="27" t="str">
        <x:f>IF(B177="","",TEXT(B177,"mmmm yyyy"))</x:f>
      </x:c>
      <x:c r="D177" s="27"/>
      <x:c r="E177" s="27"/>
      <x:c r="F177" s="27"/>
      <x:c r="G177" s="27"/>
      <x:c r="H177" s="27"/>
      <x:c r="I177" s="27"/>
      <x:c r="J177" s="27"/>
      <x:c r="K177" s="27"/>
      <x:c r="L177" s="27"/>
      <x:c r="M177" s="27"/>
      <x:c r="N177" s="27"/>
      <x:c r="O177" s="28"/>
      <x:c r="P177" s="28"/>
      <x:c r="Q177" s="34" t="str">
        <x:f>IF(O177="","",O177+IF(P177="",0,P177))</x:f>
      </x:c>
    </x:row>
    <x:row r="178">
      <x:c r="A178" s="32" t="str">
        <x:f>IF(D178="","",ROW()-4)</x:f>
      </x:c>
      <x:c r="B178" s="26"/>
      <x:c r="C178" s="27" t="str">
        <x:f>IF(B178="","",TEXT(B178,"mmmm yyyy"))</x:f>
      </x:c>
      <x:c r="D178" s="27"/>
      <x:c r="E178" s="27"/>
      <x:c r="F178" s="27"/>
      <x:c r="G178" s="27"/>
      <x:c r="H178" s="27"/>
      <x:c r="I178" s="27"/>
      <x:c r="J178" s="27"/>
      <x:c r="K178" s="27"/>
      <x:c r="L178" s="27"/>
      <x:c r="M178" s="27"/>
      <x:c r="N178" s="27"/>
      <x:c r="O178" s="28"/>
      <x:c r="P178" s="28"/>
      <x:c r="Q178" s="34" t="str">
        <x:f>IF(O178="","",O178+IF(P178="",0,P178))</x:f>
      </x:c>
    </x:row>
    <x:row r="179">
      <x:c r="A179" s="32" t="str">
        <x:f>IF(D179="","",ROW()-4)</x:f>
      </x:c>
      <x:c r="B179" s="26"/>
      <x:c r="C179" s="27" t="str">
        <x:f>IF(B179="","",TEXT(B179,"mmmm yyyy"))</x:f>
      </x:c>
      <x:c r="D179" s="27"/>
      <x:c r="E179" s="27"/>
      <x:c r="F179" s="27"/>
      <x:c r="G179" s="27"/>
      <x:c r="H179" s="27"/>
      <x:c r="I179" s="27"/>
      <x:c r="J179" s="27"/>
      <x:c r="K179" s="27"/>
      <x:c r="L179" s="27"/>
      <x:c r="M179" s="27"/>
      <x:c r="N179" s="27"/>
      <x:c r="O179" s="28"/>
      <x:c r="P179" s="28"/>
      <x:c r="Q179" s="34" t="str">
        <x:f>IF(O179="","",O179+IF(P179="",0,P179))</x:f>
      </x:c>
    </x:row>
    <x:row r="180">
      <x:c r="A180" s="32" t="str">
        <x:f>IF(D180="","",ROW()-4)</x:f>
      </x:c>
      <x:c r="B180" s="26"/>
      <x:c r="C180" s="27" t="str">
        <x:f>IF(B180="","",TEXT(B180,"mmmm yyyy"))</x:f>
      </x:c>
      <x:c r="D180" s="27"/>
      <x:c r="E180" s="27"/>
      <x:c r="F180" s="27"/>
      <x:c r="G180" s="27"/>
      <x:c r="H180" s="27"/>
      <x:c r="I180" s="27"/>
      <x:c r="J180" s="27"/>
      <x:c r="K180" s="27"/>
      <x:c r="L180" s="27"/>
      <x:c r="M180" s="27"/>
      <x:c r="N180" s="27"/>
      <x:c r="O180" s="28"/>
      <x:c r="P180" s="28"/>
      <x:c r="Q180" s="34" t="str">
        <x:f>IF(O180="","",O180+IF(P180="",0,P180))</x:f>
      </x:c>
    </x:row>
    <x:row r="181">
      <x:c r="A181" s="32" t="str">
        <x:f>IF(D181="","",ROW()-4)</x:f>
      </x:c>
      <x:c r="B181" s="26"/>
      <x:c r="C181" s="27" t="str">
        <x:f>IF(B181="","",TEXT(B181,"mmmm yyyy"))</x:f>
      </x:c>
      <x:c r="D181" s="27"/>
      <x:c r="E181" s="27"/>
      <x:c r="F181" s="27"/>
      <x:c r="G181" s="27"/>
      <x:c r="H181" s="27"/>
      <x:c r="I181" s="27"/>
      <x:c r="J181" s="27"/>
      <x:c r="K181" s="27"/>
      <x:c r="L181" s="27"/>
      <x:c r="M181" s="27"/>
      <x:c r="N181" s="27"/>
      <x:c r="O181" s="28"/>
      <x:c r="P181" s="28"/>
      <x:c r="Q181" s="34" t="str">
        <x:f>IF(O181="","",O181+IF(P181="",0,P181))</x:f>
      </x:c>
    </x:row>
    <x:row r="182">
      <x:c r="A182" s="32" t="str">
        <x:f>IF(D182="","",ROW()-4)</x:f>
      </x:c>
      <x:c r="B182" s="26"/>
      <x:c r="C182" s="27" t="str">
        <x:f>IF(B182="","",TEXT(B182,"mmmm yyyy"))</x:f>
      </x:c>
      <x:c r="D182" s="27"/>
      <x:c r="E182" s="27"/>
      <x:c r="F182" s="27"/>
      <x:c r="G182" s="27"/>
      <x:c r="H182" s="27"/>
      <x:c r="I182" s="27"/>
      <x:c r="J182" s="27"/>
      <x:c r="K182" s="27"/>
      <x:c r="L182" s="27"/>
      <x:c r="M182" s="27"/>
      <x:c r="N182" s="27"/>
      <x:c r="O182" s="28"/>
      <x:c r="P182" s="28"/>
      <x:c r="Q182" s="34" t="str">
        <x:f>IF(O182="","",O182+IF(P182="",0,P182))</x:f>
      </x:c>
    </x:row>
    <x:row r="183">
      <x:c r="A183" s="32" t="str">
        <x:f>IF(D183="","",ROW()-4)</x:f>
      </x:c>
      <x:c r="B183" s="26"/>
      <x:c r="C183" s="27" t="str">
        <x:f>IF(B183="","",TEXT(B183,"mmmm yyyy"))</x:f>
      </x:c>
      <x:c r="D183" s="27"/>
      <x:c r="E183" s="27"/>
      <x:c r="F183" s="27"/>
      <x:c r="G183" s="27"/>
      <x:c r="H183" s="27"/>
      <x:c r="I183" s="27"/>
      <x:c r="J183" s="27"/>
      <x:c r="K183" s="27"/>
      <x:c r="L183" s="27"/>
      <x:c r="M183" s="27"/>
      <x:c r="N183" s="27"/>
      <x:c r="O183" s="28"/>
      <x:c r="P183" s="28"/>
      <x:c r="Q183" s="34" t="str">
        <x:f>IF(O183="","",O183+IF(P183="",0,P183))</x:f>
      </x:c>
    </x:row>
    <x:row r="184">
      <x:c r="A184" s="32" t="str">
        <x:f>IF(D184="","",ROW()-4)</x:f>
      </x:c>
      <x:c r="B184" s="26"/>
      <x:c r="C184" s="27" t="str">
        <x:f>IF(B184="","",TEXT(B184,"mmmm yyyy"))</x:f>
      </x:c>
      <x:c r="D184" s="27"/>
      <x:c r="E184" s="27"/>
      <x:c r="F184" s="27"/>
      <x:c r="G184" s="27"/>
      <x:c r="H184" s="27"/>
      <x:c r="I184" s="27"/>
      <x:c r="J184" s="27"/>
      <x:c r="K184" s="27"/>
      <x:c r="L184" s="27"/>
      <x:c r="M184" s="27"/>
      <x:c r="N184" s="27"/>
      <x:c r="O184" s="28"/>
      <x:c r="P184" s="28"/>
      <x:c r="Q184" s="34" t="str">
        <x:f>IF(O184="","",O184+IF(P184="",0,P184))</x:f>
      </x:c>
    </x:row>
    <x:row r="185">
      <x:c r="A185" s="32" t="str">
        <x:f>IF(D185="","",ROW()-4)</x:f>
      </x:c>
      <x:c r="B185" s="26"/>
      <x:c r="C185" s="27" t="str">
        <x:f>IF(B185="","",TEXT(B185,"mmmm yyyy"))</x:f>
      </x:c>
      <x:c r="D185" s="27"/>
      <x:c r="E185" s="27"/>
      <x:c r="F185" s="27"/>
      <x:c r="G185" s="27"/>
      <x:c r="H185" s="27"/>
      <x:c r="I185" s="27"/>
      <x:c r="J185" s="27"/>
      <x:c r="K185" s="27"/>
      <x:c r="L185" s="27"/>
      <x:c r="M185" s="27"/>
      <x:c r="N185" s="27"/>
      <x:c r="O185" s="28"/>
      <x:c r="P185" s="28"/>
      <x:c r="Q185" s="34" t="str">
        <x:f>IF(O185="","",O185+IF(P185="",0,P185))</x:f>
      </x:c>
    </x:row>
    <x:row r="186">
      <x:c r="A186" s="32" t="str">
        <x:f>IF(D186="","",ROW()-4)</x:f>
      </x:c>
      <x:c r="B186" s="26"/>
      <x:c r="C186" s="27" t="str">
        <x:f>IF(B186="","",TEXT(B186,"mmmm yyyy"))</x:f>
      </x:c>
      <x:c r="D186" s="27"/>
      <x:c r="E186" s="27"/>
      <x:c r="F186" s="27"/>
      <x:c r="G186" s="27"/>
      <x:c r="H186" s="27"/>
      <x:c r="I186" s="27"/>
      <x:c r="J186" s="27"/>
      <x:c r="K186" s="27"/>
      <x:c r="L186" s="27"/>
      <x:c r="M186" s="27"/>
      <x:c r="N186" s="27"/>
      <x:c r="O186" s="28"/>
      <x:c r="P186" s="28"/>
      <x:c r="Q186" s="34" t="str">
        <x:f>IF(O186="","",O186+IF(P186="",0,P186))</x:f>
      </x:c>
    </x:row>
    <x:row r="187">
      <x:c r="A187" s="32" t="str">
        <x:f>IF(D187="","",ROW()-4)</x:f>
      </x:c>
      <x:c r="B187" s="26"/>
      <x:c r="C187" s="27" t="str">
        <x:f>IF(B187="","",TEXT(B187,"mmmm yyyy"))</x:f>
      </x:c>
      <x:c r="D187" s="27"/>
      <x:c r="E187" s="27"/>
      <x:c r="F187" s="27"/>
      <x:c r="G187" s="27"/>
      <x:c r="H187" s="27"/>
      <x:c r="I187" s="27"/>
      <x:c r="J187" s="27"/>
      <x:c r="K187" s="27"/>
      <x:c r="L187" s="27"/>
      <x:c r="M187" s="27"/>
      <x:c r="N187" s="27"/>
      <x:c r="O187" s="28"/>
      <x:c r="P187" s="28"/>
      <x:c r="Q187" s="34" t="str">
        <x:f>IF(O187="","",O187+IF(P187="",0,P187))</x:f>
      </x:c>
    </x:row>
    <x:row r="188">
      <x:c r="A188" s="32" t="str">
        <x:f>IF(D188="","",ROW()-4)</x:f>
      </x:c>
      <x:c r="B188" s="26"/>
      <x:c r="C188" s="27" t="str">
        <x:f>IF(B188="","",TEXT(B188,"mmmm yyyy"))</x:f>
      </x:c>
      <x:c r="D188" s="27"/>
      <x:c r="E188" s="27"/>
      <x:c r="F188" s="27"/>
      <x:c r="G188" s="27"/>
      <x:c r="H188" s="27"/>
      <x:c r="I188" s="27"/>
      <x:c r="J188" s="27"/>
      <x:c r="K188" s="27"/>
      <x:c r="L188" s="27"/>
      <x:c r="M188" s="27"/>
      <x:c r="N188" s="27"/>
      <x:c r="O188" s="28"/>
      <x:c r="P188" s="28"/>
      <x:c r="Q188" s="34" t="str">
        <x:f>IF(O188="","",O188+IF(P188="",0,P188))</x:f>
      </x:c>
    </x:row>
    <x:row r="189">
      <x:c r="A189" s="32" t="str">
        <x:f>IF(D189="","",ROW()-4)</x:f>
      </x:c>
      <x:c r="B189" s="26"/>
      <x:c r="C189" s="27" t="str">
        <x:f>IF(B189="","",TEXT(B189,"mmmm yyyy"))</x:f>
      </x:c>
      <x:c r="D189" s="27"/>
      <x:c r="E189" s="27"/>
      <x:c r="F189" s="27"/>
      <x:c r="G189" s="27"/>
      <x:c r="H189" s="27"/>
      <x:c r="I189" s="27"/>
      <x:c r="J189" s="27"/>
      <x:c r="K189" s="27"/>
      <x:c r="L189" s="27"/>
      <x:c r="M189" s="27"/>
      <x:c r="N189" s="27"/>
      <x:c r="O189" s="28"/>
      <x:c r="P189" s="28"/>
      <x:c r="Q189" s="34" t="str">
        <x:f>IF(O189="","",O189+IF(P189="",0,P189))</x:f>
      </x:c>
    </x:row>
    <x:row r="190">
      <x:c r="A190" s="32" t="str">
        <x:f>IF(D190="","",ROW()-4)</x:f>
      </x:c>
      <x:c r="B190" s="26"/>
      <x:c r="C190" s="27" t="str">
        <x:f>IF(B190="","",TEXT(B190,"mmmm yyyy"))</x:f>
      </x:c>
      <x:c r="D190" s="27"/>
      <x:c r="E190" s="27"/>
      <x:c r="F190" s="27"/>
      <x:c r="G190" s="27"/>
      <x:c r="H190" s="27"/>
      <x:c r="I190" s="27"/>
      <x:c r="J190" s="27"/>
      <x:c r="K190" s="27"/>
      <x:c r="L190" s="27"/>
      <x:c r="M190" s="27"/>
      <x:c r="N190" s="27"/>
      <x:c r="O190" s="28"/>
      <x:c r="P190" s="28"/>
      <x:c r="Q190" s="34" t="str">
        <x:f>IF(O190="","",O190+IF(P190="",0,P190))</x:f>
      </x:c>
    </x:row>
    <x:row r="191">
      <x:c r="A191" s="32" t="str">
        <x:f>IF(D191="","",ROW()-4)</x:f>
      </x:c>
      <x:c r="B191" s="26"/>
      <x:c r="C191" s="27" t="str">
        <x:f>IF(B191="","",TEXT(B191,"mmmm yyyy"))</x:f>
      </x:c>
      <x:c r="D191" s="27"/>
      <x:c r="E191" s="27"/>
      <x:c r="F191" s="27"/>
      <x:c r="G191" s="27"/>
      <x:c r="H191" s="27"/>
      <x:c r="I191" s="27"/>
      <x:c r="J191" s="27"/>
      <x:c r="K191" s="27"/>
      <x:c r="L191" s="27"/>
      <x:c r="M191" s="27"/>
      <x:c r="N191" s="27"/>
      <x:c r="O191" s="28"/>
      <x:c r="P191" s="28"/>
      <x:c r="Q191" s="34" t="str">
        <x:f>IF(O191="","",O191+IF(P191="",0,P191))</x:f>
      </x:c>
    </x:row>
    <x:row r="192">
      <x:c r="A192" s="32" t="str">
        <x:f>IF(D192="","",ROW()-4)</x:f>
      </x:c>
      <x:c r="B192" s="26"/>
      <x:c r="C192" s="27" t="str">
        <x:f>IF(B192="","",TEXT(B192,"mmmm yyyy"))</x:f>
      </x:c>
      <x:c r="D192" s="27"/>
      <x:c r="E192" s="27"/>
      <x:c r="F192" s="27"/>
      <x:c r="G192" s="27"/>
      <x:c r="H192" s="27"/>
      <x:c r="I192" s="27"/>
      <x:c r="J192" s="27"/>
      <x:c r="K192" s="27"/>
      <x:c r="L192" s="27"/>
      <x:c r="M192" s="27"/>
      <x:c r="N192" s="27"/>
      <x:c r="O192" s="28"/>
      <x:c r="P192" s="28"/>
      <x:c r="Q192" s="34" t="str">
        <x:f>IF(O192="","",O192+IF(P192="",0,P192))</x:f>
      </x:c>
    </x:row>
    <x:row r="193">
      <x:c r="A193" s="32" t="str">
        <x:f>IF(D193="","",ROW()-4)</x:f>
      </x:c>
      <x:c r="B193" s="26"/>
      <x:c r="C193" s="27" t="str">
        <x:f>IF(B193="","",TEXT(B193,"mmmm yyyy"))</x:f>
      </x:c>
      <x:c r="D193" s="27"/>
      <x:c r="E193" s="27"/>
      <x:c r="F193" s="27"/>
      <x:c r="G193" s="27"/>
      <x:c r="H193" s="27"/>
      <x:c r="I193" s="27"/>
      <x:c r="J193" s="27"/>
      <x:c r="K193" s="27"/>
      <x:c r="L193" s="27"/>
      <x:c r="M193" s="27"/>
      <x:c r="N193" s="27"/>
      <x:c r="O193" s="28"/>
      <x:c r="P193" s="28"/>
      <x:c r="Q193" s="34" t="str">
        <x:f>IF(O193="","",O193+IF(P193="",0,P193))</x:f>
      </x:c>
    </x:row>
    <x:row r="194">
      <x:c r="A194" s="32" t="str">
        <x:f>IF(D194="","",ROW()-4)</x:f>
      </x:c>
      <x:c r="B194" s="26"/>
      <x:c r="C194" s="27" t="str">
        <x:f>IF(B194="","",TEXT(B194,"mmmm yyyy"))</x:f>
      </x:c>
      <x:c r="D194" s="27"/>
      <x:c r="E194" s="27"/>
      <x:c r="F194" s="27"/>
      <x:c r="G194" s="27"/>
      <x:c r="H194" s="27"/>
      <x:c r="I194" s="27"/>
      <x:c r="J194" s="27"/>
      <x:c r="K194" s="27"/>
      <x:c r="L194" s="27"/>
      <x:c r="M194" s="27"/>
      <x:c r="N194" s="27"/>
      <x:c r="O194" s="28"/>
      <x:c r="P194" s="28"/>
      <x:c r="Q194" s="34" t="str">
        <x:f>IF(O194="","",O194+IF(P194="",0,P194))</x:f>
      </x:c>
    </x:row>
    <x:row r="195">
      <x:c r="A195" s="32" t="str">
        <x:f>IF(D195="","",ROW()-4)</x:f>
      </x:c>
      <x:c r="B195" s="26"/>
      <x:c r="C195" s="27" t="str">
        <x:f>IF(B195="","",TEXT(B195,"mmmm yyyy"))</x:f>
      </x:c>
      <x:c r="D195" s="27"/>
      <x:c r="E195" s="27"/>
      <x:c r="F195" s="27"/>
      <x:c r="G195" s="27"/>
      <x:c r="H195" s="27"/>
      <x:c r="I195" s="27"/>
      <x:c r="J195" s="27"/>
      <x:c r="K195" s="27"/>
      <x:c r="L195" s="27"/>
      <x:c r="M195" s="27"/>
      <x:c r="N195" s="27"/>
      <x:c r="O195" s="28"/>
      <x:c r="P195" s="28"/>
      <x:c r="Q195" s="34" t="str">
        <x:f>IF(O195="","",O195+IF(P195="",0,P195))</x:f>
      </x:c>
    </x:row>
    <x:row r="196">
      <x:c r="A196" s="32" t="str">
        <x:f>IF(D196="","",ROW()-4)</x:f>
      </x:c>
      <x:c r="B196" s="26"/>
      <x:c r="C196" s="27" t="str">
        <x:f>IF(B196="","",TEXT(B196,"mmmm yyyy"))</x:f>
      </x:c>
      <x:c r="D196" s="27"/>
      <x:c r="E196" s="27"/>
      <x:c r="F196" s="27"/>
      <x:c r="G196" s="27"/>
      <x:c r="H196" s="27"/>
      <x:c r="I196" s="27"/>
      <x:c r="J196" s="27"/>
      <x:c r="K196" s="27"/>
      <x:c r="L196" s="27"/>
      <x:c r="M196" s="27"/>
      <x:c r="N196" s="27"/>
      <x:c r="O196" s="28"/>
      <x:c r="P196" s="28"/>
      <x:c r="Q196" s="34" t="str">
        <x:f>IF(O196="","",O196+IF(P196="",0,P196))</x:f>
      </x:c>
    </x:row>
    <x:row r="197">
      <x:c r="A197" s="32" t="str">
        <x:f>IF(D197="","",ROW()-4)</x:f>
      </x:c>
      <x:c r="B197" s="26"/>
      <x:c r="C197" s="27" t="str">
        <x:f>IF(B197="","",TEXT(B197,"mmmm yyyy"))</x:f>
      </x:c>
      <x:c r="D197" s="27"/>
      <x:c r="E197" s="27"/>
      <x:c r="F197" s="27"/>
      <x:c r="G197" s="27"/>
      <x:c r="H197" s="27"/>
      <x:c r="I197" s="27"/>
      <x:c r="J197" s="27"/>
      <x:c r="K197" s="27"/>
      <x:c r="L197" s="27"/>
      <x:c r="M197" s="27"/>
      <x:c r="N197" s="27"/>
      <x:c r="O197" s="28"/>
      <x:c r="P197" s="28"/>
      <x:c r="Q197" s="34" t="str">
        <x:f>IF(O197="","",O197+IF(P197="",0,P197))</x:f>
      </x:c>
    </x:row>
    <x:row r="198">
      <x:c r="A198" s="32" t="str">
        <x:f>IF(D198="","",ROW()-4)</x:f>
      </x:c>
      <x:c r="B198" s="26"/>
      <x:c r="C198" s="27" t="str">
        <x:f>IF(B198="","",TEXT(B198,"mmmm yyyy"))</x:f>
      </x:c>
      <x:c r="D198" s="27"/>
      <x:c r="E198" s="27"/>
      <x:c r="F198" s="27"/>
      <x:c r="G198" s="27"/>
      <x:c r="H198" s="27"/>
      <x:c r="I198" s="27"/>
      <x:c r="J198" s="27"/>
      <x:c r="K198" s="27"/>
      <x:c r="L198" s="27"/>
      <x:c r="M198" s="27"/>
      <x:c r="N198" s="27"/>
      <x:c r="O198" s="28"/>
      <x:c r="P198" s="28"/>
      <x:c r="Q198" s="34" t="str">
        <x:f>IF(O198="","",O198+IF(P198="",0,P198))</x:f>
      </x:c>
    </x:row>
    <x:row r="199">
      <x:c r="A199" s="32" t="str">
        <x:f>IF(D199="","",ROW()-4)</x:f>
      </x:c>
      <x:c r="B199" s="26"/>
      <x:c r="C199" s="27" t="str">
        <x:f>IF(B199="","",TEXT(B199,"mmmm yyyy"))</x:f>
      </x:c>
      <x:c r="D199" s="27"/>
      <x:c r="E199" s="27"/>
      <x:c r="F199" s="27"/>
      <x:c r="G199" s="27"/>
      <x:c r="H199" s="27"/>
      <x:c r="I199" s="27"/>
      <x:c r="J199" s="27"/>
      <x:c r="K199" s="27"/>
      <x:c r="L199" s="27"/>
      <x:c r="M199" s="27"/>
      <x:c r="N199" s="27"/>
      <x:c r="O199" s="28"/>
      <x:c r="P199" s="28"/>
      <x:c r="Q199" s="34" t="str">
        <x:f>IF(O199="","",O199+IF(P199="",0,P199))</x:f>
      </x:c>
    </x:row>
    <x:row r="200">
      <x:c r="A200" s="32" t="str">
        <x:f>IF(D200="","",ROW()-4)</x:f>
      </x:c>
      <x:c r="B200" s="26"/>
      <x:c r="C200" s="27" t="str">
        <x:f>IF(B200="","",TEXT(B200,"mmmm yyyy"))</x:f>
      </x:c>
      <x:c r="D200" s="27"/>
      <x:c r="E200" s="27"/>
      <x:c r="F200" s="27"/>
      <x:c r="G200" s="27"/>
      <x:c r="H200" s="27"/>
      <x:c r="I200" s="27"/>
      <x:c r="J200" s="27"/>
      <x:c r="K200" s="27"/>
      <x:c r="L200" s="27"/>
      <x:c r="M200" s="27"/>
      <x:c r="N200" s="27"/>
      <x:c r="O200" s="28"/>
      <x:c r="P200" s="28"/>
      <x:c r="Q200" s="34" t="str">
        <x:f>IF(O200="","",O200+IF(P200="",0,P200))</x:f>
      </x:c>
    </x:row>
    <x:row r="201">
      <x:c r="A201" s="32" t="str">
        <x:f>IF(D201="","",ROW()-4)</x:f>
      </x:c>
      <x:c r="B201" s="26"/>
      <x:c r="C201" s="27" t="str">
        <x:f>IF(B201="","",TEXT(B201,"mmmm yyyy"))</x:f>
      </x:c>
      <x:c r="D201" s="27"/>
      <x:c r="E201" s="27"/>
      <x:c r="F201" s="27"/>
      <x:c r="G201" s="27"/>
      <x:c r="H201" s="27"/>
      <x:c r="I201" s="27"/>
      <x:c r="J201" s="27"/>
      <x:c r="K201" s="27"/>
      <x:c r="L201" s="27"/>
      <x:c r="M201" s="27"/>
      <x:c r="N201" s="27"/>
      <x:c r="O201" s="28"/>
      <x:c r="P201" s="28"/>
      <x:c r="Q201" s="34" t="str">
        <x:f>IF(O201="","",O201+IF(P201="",0,P201))</x:f>
      </x:c>
    </x:row>
    <x:row r="202">
      <x:c r="A202" s="32" t="str">
        <x:f>IF(D202="","",ROW()-4)</x:f>
      </x:c>
      <x:c r="B202" s="26"/>
      <x:c r="C202" s="27" t="str">
        <x:f>IF(B202="","",TEXT(B202,"mmmm yyyy"))</x:f>
      </x:c>
      <x:c r="D202" s="27"/>
      <x:c r="E202" s="27"/>
      <x:c r="F202" s="27"/>
      <x:c r="G202" s="27"/>
      <x:c r="H202" s="27"/>
      <x:c r="I202" s="27"/>
      <x:c r="J202" s="27"/>
      <x:c r="K202" s="27"/>
      <x:c r="L202" s="27"/>
      <x:c r="M202" s="27"/>
      <x:c r="N202" s="27"/>
      <x:c r="O202" s="28"/>
      <x:c r="P202" s="28"/>
      <x:c r="Q202" s="34" t="str">
        <x:f>IF(O202="","",O202+IF(P202="",0,P202))</x:f>
      </x:c>
    </x:row>
    <x:row r="203">
      <x:c r="A203" s="32" t="str">
        <x:f>IF(D203="","",ROW()-4)</x:f>
      </x:c>
      <x:c r="B203" s="26"/>
      <x:c r="C203" s="27" t="str">
        <x:f>IF(B203="","",TEXT(B203,"mmmm yyyy"))</x:f>
      </x:c>
      <x:c r="D203" s="27"/>
      <x:c r="E203" s="27"/>
      <x:c r="F203" s="27"/>
      <x:c r="G203" s="27"/>
      <x:c r="H203" s="27"/>
      <x:c r="I203" s="27"/>
      <x:c r="J203" s="27"/>
      <x:c r="K203" s="27"/>
      <x:c r="L203" s="27"/>
      <x:c r="M203" s="27"/>
      <x:c r="N203" s="27"/>
      <x:c r="O203" s="28"/>
      <x:c r="P203" s="28"/>
      <x:c r="Q203" s="34" t="str">
        <x:f>IF(O203="","",O203+IF(P203="",0,P203))</x:f>
      </x:c>
    </x:row>
    <x:row r="204">
      <x:c r="A204" s="32" t="str">
        <x:f>IF(D204="","",ROW()-4)</x:f>
      </x:c>
      <x:c r="B204" s="26"/>
      <x:c r="C204" s="27" t="str">
        <x:f>IF(B204="","",TEXT(B204,"mmmm yyyy"))</x:f>
      </x:c>
      <x:c r="D204" s="27"/>
      <x:c r="E204" s="27"/>
      <x:c r="F204" s="27"/>
      <x:c r="G204" s="27"/>
      <x:c r="H204" s="27"/>
      <x:c r="I204" s="27"/>
      <x:c r="J204" s="27"/>
      <x:c r="K204" s="27"/>
      <x:c r="L204" s="27"/>
      <x:c r="M204" s="27"/>
      <x:c r="N204" s="27"/>
      <x:c r="O204" s="28"/>
      <x:c r="P204" s="28"/>
      <x:c r="Q204" s="34" t="str">
        <x:f>IF(O204="","",O204+IF(P204="",0,P204))</x:f>
      </x:c>
    </x:row>
  </x:sheetData>
  <x:mergeCells>
    <x:mergeCell ref="A1:Q1"/>
    <x:mergeCell ref="A2:Q2"/>
  </x:mergeCells>
  <x:dataValidations count="4">
    <x:dataValidation type="list" sqref="K5:K204">
      <x:formula1>"Benzin,Dizel,Benzin + LPG,Elektrik,Hibrit"</x:formula1>
    </x:dataValidation>
    <x:dataValidation type="list" sqref="L5:L204">
      <x:formula1>"Otomatik,Manuel"</x:formula1>
    </x:dataValidation>
    <x:dataValidation type="list" sqref="M5:M204">
      <x:formula1>"NAKİT,TAKAS,İHALE,ŞİRKET ARACI"</x:formula1>
    </x:dataValidation>
    <x:dataValidation type="list" sqref="N5:N204">
      <x:formula1>PARAMETRE!$B$2:$B$21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929a1ac3a6c43e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36" t="str">
        <x:v>ALIM TÜRLERİ</x:v>
      </x:c>
      <x:c r="B1" s="36" t="str">
        <x:v>EKSPERTİZ / ALIM PERSONELİ</x:v>
      </x:c>
      <x:c r="C1" s="36" t="str">
        <x:v>DURUM</x:v>
      </x:c>
    </x:row>
    <x:row r="2">
      <x:c r="A2" t="str">
        <x:v>NAKİT</x:v>
      </x:c>
      <x:c r="B2" s="27" t="str">
        <x:v>ONUR İPEK</x:v>
      </x:c>
      <x:c r="C2" t="str">
        <x:v>AKTİF</x:v>
      </x:c>
    </x:row>
    <x:row r="3">
      <x:c r="A3" t="str">
        <x:v>TAKAS</x:v>
      </x:c>
      <x:c r="B3" s="27" t="str">
        <x:v>HASAN SÜRMELİ</x:v>
      </x:c>
      <x:c r="C3" t="str">
        <x:v>AKTİF</x:v>
      </x:c>
    </x:row>
    <x:row r="4">
      <x:c r="A4" t="str">
        <x:v>İHALE</x:v>
      </x:c>
      <x:c r="B4" s="27" t="str">
        <x:v>EMRE URBAYAR</x:v>
      </x:c>
      <x:c r="C4" t="str">
        <x:v>AKTİF</x:v>
      </x:c>
    </x:row>
    <x:row r="5">
      <x:c r="A5" t="str">
        <x:v>ŞİRKET ARACI</x:v>
      </x:c>
      <x:c r="B5" s="27" t="str">
        <x:v>MUSTAFA BALKAN</x:v>
      </x:c>
      <x:c r="C5" t="str">
        <x:v>AKTİF</x:v>
      </x:c>
    </x:row>
    <x:row r="6">
      <x:c r="B6" s="27" t="str">
        <x:v>MUSTAFA TEKİN</x:v>
      </x:c>
      <x:c r="C6" t="str">
        <x:v>AKTİF</x:v>
      </x:c>
    </x:row>
    <x:row r="7">
      <x:c r="B7" s="27" t="str">
        <x:v>GÖKMEN GENÇCELEP</x:v>
      </x:c>
      <x:c r="C7" t="str">
        <x:v>AKTİF</x:v>
      </x:c>
    </x:row>
    <x:row r="8">
      <x:c r="B8" s="27" t="str">
        <x:v>ÇAĞRI ÇİDEM</x:v>
      </x:c>
      <x:c r="C8" t="str">
        <x:v>AKTİF</x:v>
      </x:c>
    </x:row>
    <x:row r="9">
      <x:c r="B9" s="27" t="str">
        <x:v>SEVDA GENÇ</x:v>
      </x:c>
      <x:c r="C9" t="str">
        <x:v>AKTİF</x:v>
      </x:c>
    </x:row>
    <x:row r="10">
      <x:c r="B10" s="27" t="str">
        <x:v>HATİCE DOĞAN</x:v>
      </x:c>
      <x:c r="C10" t="str">
        <x:v>AKTİF</x:v>
      </x:c>
    </x:row>
    <x:row r="11">
      <x:c r="B11" s="27" t="str">
        <x:v>MÜGE KENARLI</x:v>
      </x:c>
      <x:c r="C11" t="str">
        <x:v>AKTİF</x:v>
      </x:c>
    </x:row>
    <x:row r="12">
      <x:c r="B12" s="27"/>
      <x:c r="C12" t="str">
        <x:v>AKTİF</x:v>
      </x:c>
    </x:row>
    <x:row r="13">
      <x:c r="B13" s="27"/>
      <x:c r="C13" t="str">
        <x:v>AKTİF</x:v>
      </x:c>
    </x:row>
    <x:row r="14">
      <x:c r="B14" s="27"/>
      <x:c r="C14" t="str">
        <x:v>AKTİF</x:v>
      </x:c>
    </x:row>
    <x:row r="15">
      <x:c r="B15" s="27"/>
      <x:c r="C15" t="str">
        <x:v>AKTİF</x:v>
      </x:c>
    </x:row>
    <x:row r="16">
      <x:c r="B16" s="27"/>
      <x:c r="C16" t="str">
        <x:v>AKTİF</x:v>
      </x:c>
    </x:row>
    <x:row r="17">
      <x:c r="B17" s="27"/>
      <x:c r="C17" t="str">
        <x:v>AKTİF</x:v>
      </x:c>
    </x:row>
    <x:row r="18">
      <x:c r="B18" s="27"/>
      <x:c r="C18" t="str">
        <x:v>AKTİF</x:v>
      </x:c>
    </x:row>
    <x:row r="19">
      <x:c r="B19" s="27"/>
      <x:c r="C19" t="str">
        <x:v>AKTİF</x:v>
      </x:c>
    </x:row>
    <x:row r="20">
      <x:c r="B20" s="27"/>
      <x:c r="C20" t="str">
        <x:v>AKTİF</x:v>
      </x:c>
    </x:row>
    <x:row r="21">
      <x:c r="B21" s="27"/>
      <x:c r="C21" t="str">
        <x:v>AKTİF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1.1299991607666" hidden="0" customWidth="1"/>
    <x:col min="2" max="2" width="5.630000114440918" hidden="0" customWidth="1"/>
    <x:col min="4" max="4" width="28" hidden="0" customWidth="1"/>
    <x:col min="5" max="5" width="10" hidden="0" customWidth="1"/>
    <x:col min="6" max="6" width="11.25" hidden="0" customWidth="1"/>
    <x:col min="7" max="7" width="7.130000114440918" hidden="0" customWidth="1"/>
    <x:col min="8" max="8" width="7.75" hidden="0" customWidth="1"/>
  </x:cols>
  <x:sheetData>
    <x:row r="1" ht="30" customHeight="1">
      <x:c r="A1" s="4" t="str">
        <x:v>AYLIK ALIM YÖNETİM ÖZETİ</x:v>
      </x:c>
      <x:c r="B1" s="4"/>
      <x:c r="C1" s="4"/>
      <x:c r="D1" s="4"/>
      <x:c r="E1" s="4"/>
      <x:c r="F1" s="4"/>
      <x:c r="G1" s="4"/>
      <x:c r="H1" s="4"/>
    </x:row>
    <x:row r="3">
      <x:c r="A3" s="13" t="str">
        <x:v>KPI</x:v>
      </x:c>
      <x:c r="B3" s="13" t="str">
        <x:v>DEĞER</x:v>
      </x:c>
      <x:c r="D3" s="14" t="str">
        <x:v>ALINAN KİŞİ / EKSPERTİZ PERSONELİ</x:v>
      </x:c>
      <x:c r="E3" s="14" t="str">
        <x:v>ARAÇ ADEDİ</x:v>
      </x:c>
      <x:c r="F3" s="14" t="str">
        <x:v>ALIŞ TOPLAMI</x:v>
      </x:c>
      <x:c r="G3" s="14" t="str">
        <x:v>MASRAF</x:v>
      </x:c>
      <x:c r="H3" s="14" t="str">
        <x:v>ORT. ALIŞ</x:v>
      </x:c>
    </x:row>
    <x:row r="4">
      <x:c r="A4" t="str">
        <x:v>Toplam Alınan Araç</x:v>
      </x:c>
      <x:c r="B4" t="n">
        <x:f>COUNTIF('AYLIK ALIM TAKİBİ'!D5:D204,"&lt;&gt;")</x:f>
        <x:v>0</x:v>
      </x:c>
      <x:c r="D4" t="str">
        <x:v>ONUR İPEK</x:v>
      </x:c>
      <x:c r="E4" t="n">
        <x:f>IF(D4="","",COUNTIF('AYLIK ALIM TAKİBİ'!N$5:N$204,D4))</x:f>
        <x:v>0</x:v>
      </x:c>
      <x:c r="F4" s="24" t="n">
        <x:f>IF(D4="","",SUMIF('AYLIK ALIM TAKİBİ'!N$5:N$204,D4,'AYLIK ALIM TAKİBİ'!O$5:O$204))</x:f>
        <x:v>0</x:v>
      </x:c>
      <x:c r="G4" s="24" t="n">
        <x:f>IF(D4="","",SUMIF('AYLIK ALIM TAKİBİ'!N$5:N$204,D4,'AYLIK ALIM TAKİBİ'!P$5:P$204))</x:f>
        <x:v>0</x:v>
      </x:c>
      <x:c r="H4" s="24" t="n">
        <x:f>IFERROR(F4/E4,0)</x:f>
        <x:v>0</x:v>
      </x:c>
    </x:row>
    <x:row r="5">
      <x:c r="A5" t="str">
        <x:v>Toplam Alış Bedeli</x:v>
      </x:c>
      <x:c r="B5" s="24" t="n">
        <x:f>SUM('AYLIK ALIM TAKİBİ'!O5:O204)</x:f>
        <x:v>0</x:v>
      </x:c>
      <x:c r="D5" t="str">
        <x:v>HASAN SÜRMELİ</x:v>
      </x:c>
      <x:c r="E5" t="n">
        <x:f>IF(D5="","",COUNTIF('AYLIK ALIM TAKİBİ'!N$5:N$204,D5))</x:f>
        <x:v>0</x:v>
      </x:c>
      <x:c r="F5" s="24" t="n">
        <x:f>IF(D5="","",SUMIF('AYLIK ALIM TAKİBİ'!N$5:N$204,D5,'AYLIK ALIM TAKİBİ'!O$5:O$204))</x:f>
        <x:v>0</x:v>
      </x:c>
      <x:c r="G5" s="24" t="n">
        <x:f>IF(D5="","",SUMIF('AYLIK ALIM TAKİBİ'!N$5:N$204,D5,'AYLIK ALIM TAKİBİ'!P$5:P$204))</x:f>
        <x:v>0</x:v>
      </x:c>
      <x:c r="H5" s="24" t="n">
        <x:f>IFERROR(F5/E5,0)</x:f>
        <x:v>0</x:v>
      </x:c>
    </x:row>
    <x:row r="6">
      <x:c r="A6" t="str">
        <x:v>Toplam Masraf</x:v>
      </x:c>
      <x:c r="B6" s="24" t="n">
        <x:f>SUM('AYLIK ALIM TAKİBİ'!P5:P204)</x:f>
        <x:v>0</x:v>
      </x:c>
      <x:c r="D6" t="str">
        <x:v>EMRE URBAYAR</x:v>
      </x:c>
      <x:c r="E6" t="n">
        <x:f>IF(D6="","",COUNTIF('AYLIK ALIM TAKİBİ'!N$5:N$204,D6))</x:f>
        <x:v>0</x:v>
      </x:c>
      <x:c r="F6" s="24" t="n">
        <x:f>IF(D6="","",SUMIF('AYLIK ALIM TAKİBİ'!N$5:N$204,D6,'AYLIK ALIM TAKİBİ'!O$5:O$204))</x:f>
        <x:v>0</x:v>
      </x:c>
      <x:c r="G6" s="24" t="n">
        <x:f>IF(D6="","",SUMIF('AYLIK ALIM TAKİBİ'!N$5:N$204,D6,'AYLIK ALIM TAKİBİ'!P$5:P$204))</x:f>
        <x:v>0</x:v>
      </x:c>
      <x:c r="H6" s="24" t="n">
        <x:f>IFERROR(F6/E6,0)</x:f>
        <x:v>0</x:v>
      </x:c>
    </x:row>
    <x:row r="7">
      <x:c r="A7" t="str">
        <x:v>Toplam Alış Maliyeti</x:v>
      </x:c>
      <x:c r="B7" s="24" t="n">
        <x:f>SUM('AYLIK ALIM TAKİBİ'!Q5:Q204)</x:f>
        <x:v>0</x:v>
      </x:c>
      <x:c r="D7" t="str">
        <x:v>MUSTAFA BALKAN</x:v>
      </x:c>
      <x:c r="E7" t="n">
        <x:f>IF(D7="","",COUNTIF('AYLIK ALIM TAKİBİ'!N$5:N$204,D7))</x:f>
        <x:v>0</x:v>
      </x:c>
      <x:c r="F7" s="24" t="n">
        <x:f>IF(D7="","",SUMIF('AYLIK ALIM TAKİBİ'!N$5:N$204,D7,'AYLIK ALIM TAKİBİ'!O$5:O$204))</x:f>
        <x:v>0</x:v>
      </x:c>
      <x:c r="G7" s="24" t="n">
        <x:f>IF(D7="","",SUMIF('AYLIK ALIM TAKİBİ'!N$5:N$204,D7,'AYLIK ALIM TAKİBİ'!P$5:P$204))</x:f>
        <x:v>0</x:v>
      </x:c>
      <x:c r="H7" s="24" t="n">
        <x:f>IFERROR(F7/E7,0)</x:f>
        <x:v>0</x:v>
      </x:c>
    </x:row>
    <x:row r="8">
      <x:c r="D8" t="str">
        <x:v>MUSTAFA TEKİN</x:v>
      </x:c>
      <x:c r="E8" t="n">
        <x:f>IF(D8="","",COUNTIF('AYLIK ALIM TAKİBİ'!N$5:N$204,D8))</x:f>
        <x:v>0</x:v>
      </x:c>
      <x:c r="F8" s="24" t="n">
        <x:f>IF(D8="","",SUMIF('AYLIK ALIM TAKİBİ'!N$5:N$204,D8,'AYLIK ALIM TAKİBİ'!O$5:O$204))</x:f>
        <x:v>0</x:v>
      </x:c>
      <x:c r="G8" s="24" t="n">
        <x:f>IF(D8="","",SUMIF('AYLIK ALIM TAKİBİ'!N$5:N$204,D8,'AYLIK ALIM TAKİBİ'!P$5:P$204))</x:f>
        <x:v>0</x:v>
      </x:c>
      <x:c r="H8" s="24" t="n">
        <x:f>IFERROR(F8/E8,0)</x:f>
        <x:v>0</x:v>
      </x:c>
    </x:row>
    <x:row r="9">
      <x:c r="D9" t="str">
        <x:v>GÖKMEN GENÇCELEP</x:v>
      </x:c>
      <x:c r="E9" t="n">
        <x:f>IF(D9="","",COUNTIF('AYLIK ALIM TAKİBİ'!N$5:N$204,D9))</x:f>
        <x:v>0</x:v>
      </x:c>
      <x:c r="F9" s="24" t="n">
        <x:f>IF(D9="","",SUMIF('AYLIK ALIM TAKİBİ'!N$5:N$204,D9,'AYLIK ALIM TAKİBİ'!O$5:O$204))</x:f>
        <x:v>0</x:v>
      </x:c>
      <x:c r="G9" s="24" t="n">
        <x:f>IF(D9="","",SUMIF('AYLIK ALIM TAKİBİ'!N$5:N$204,D9,'AYLIK ALIM TAKİBİ'!P$5:P$204))</x:f>
        <x:v>0</x:v>
      </x:c>
      <x:c r="H9" s="24" t="n">
        <x:f>IFERROR(F9/E9,0)</x:f>
        <x:v>0</x:v>
      </x:c>
    </x:row>
    <x:row r="10">
      <x:c r="A10" s="13" t="str">
        <x:v>ALIM TÜRÜ</x:v>
      </x:c>
      <x:c r="B10" s="13" t="str">
        <x:v>ADET</x:v>
      </x:c>
      <x:c r="D10" t="str">
        <x:v>ÇAĞRI ÇİDEM</x:v>
      </x:c>
      <x:c r="E10" t="n">
        <x:f>IF(D10="","",COUNTIF('AYLIK ALIM TAKİBİ'!N$5:N$204,D10))</x:f>
        <x:v>0</x:v>
      </x:c>
      <x:c r="F10" s="24" t="n">
        <x:f>IF(D10="","",SUMIF('AYLIK ALIM TAKİBİ'!N$5:N$204,D10,'AYLIK ALIM TAKİBİ'!O$5:O$204))</x:f>
        <x:v>0</x:v>
      </x:c>
      <x:c r="G10" s="24" t="n">
        <x:f>IF(D10="","",SUMIF('AYLIK ALIM TAKİBİ'!N$5:N$204,D10,'AYLIK ALIM TAKİBİ'!P$5:P$204))</x:f>
        <x:v>0</x:v>
      </x:c>
      <x:c r="H10" s="24" t="n">
        <x:f>IFERROR(F10/E10,0)</x:f>
        <x:v>0</x:v>
      </x:c>
    </x:row>
    <x:row r="11">
      <x:c r="A11" t="str">
        <x:v>NAKİT</x:v>
      </x:c>
      <x:c r="B11" t="n">
        <x:f>COUNTIF('AYLIK ALIM TAKİBİ'!M5:M204,A11)</x:f>
        <x:v>0</x:v>
      </x:c>
      <x:c r="D11" t="str">
        <x:v>SEVDA GENÇ</x:v>
      </x:c>
      <x:c r="E11" t="n">
        <x:f>IF(D11="","",COUNTIF('AYLIK ALIM TAKİBİ'!N$5:N$204,D11))</x:f>
        <x:v>0</x:v>
      </x:c>
      <x:c r="F11" s="24" t="n">
        <x:f>IF(D11="","",SUMIF('AYLIK ALIM TAKİBİ'!N$5:N$204,D11,'AYLIK ALIM TAKİBİ'!O$5:O$204))</x:f>
        <x:v>0</x:v>
      </x:c>
      <x:c r="G11" s="24" t="n">
        <x:f>IF(D11="","",SUMIF('AYLIK ALIM TAKİBİ'!N$5:N$204,D11,'AYLIK ALIM TAKİBİ'!P$5:P$204))</x:f>
        <x:v>0</x:v>
      </x:c>
      <x:c r="H11" s="24" t="n">
        <x:f>IFERROR(F11/E11,0)</x:f>
        <x:v>0</x:v>
      </x:c>
    </x:row>
    <x:row r="12">
      <x:c r="A12" t="str">
        <x:v>TAKAS</x:v>
      </x:c>
      <x:c r="B12" t="n">
        <x:f>COUNTIF('AYLIK ALIM TAKİBİ'!M5:M204,A12)</x:f>
        <x:v>0</x:v>
      </x:c>
      <x:c r="D12" t="str">
        <x:v>HATİCE DOĞAN</x:v>
      </x:c>
      <x:c r="E12" t="n">
        <x:f>IF(D12="","",COUNTIF('AYLIK ALIM TAKİBİ'!N$5:N$204,D12))</x:f>
        <x:v>0</x:v>
      </x:c>
      <x:c r="F12" s="24" t="n">
        <x:f>IF(D12="","",SUMIF('AYLIK ALIM TAKİBİ'!N$5:N$204,D12,'AYLIK ALIM TAKİBİ'!O$5:O$204))</x:f>
        <x:v>0</x:v>
      </x:c>
      <x:c r="G12" s="24" t="n">
        <x:f>IF(D12="","",SUMIF('AYLIK ALIM TAKİBİ'!N$5:N$204,D12,'AYLIK ALIM TAKİBİ'!P$5:P$204))</x:f>
        <x:v>0</x:v>
      </x:c>
      <x:c r="H12" s="24" t="n">
        <x:f>IFERROR(F12/E12,0)</x:f>
        <x:v>0</x:v>
      </x:c>
    </x:row>
    <x:row r="13">
      <x:c r="A13" t="str">
        <x:v>İHALE</x:v>
      </x:c>
      <x:c r="B13" t="n">
        <x:f>COUNTIF('AYLIK ALIM TAKİBİ'!M5:M204,A13)</x:f>
        <x:v>0</x:v>
      </x:c>
      <x:c r="D13" t="str">
        <x:v>MÜGE KENARLI</x:v>
      </x:c>
      <x:c r="E13" t="n">
        <x:f>IF(D13="","",COUNTIF('AYLIK ALIM TAKİBİ'!N$5:N$204,D13))</x:f>
        <x:v>0</x:v>
      </x:c>
      <x:c r="F13" s="24" t="n">
        <x:f>IF(D13="","",SUMIF('AYLIK ALIM TAKİBİ'!N$5:N$204,D13,'AYLIK ALIM TAKİBİ'!O$5:O$204))</x:f>
        <x:v>0</x:v>
      </x:c>
      <x:c r="G13" s="24" t="n">
        <x:f>IF(D13="","",SUMIF('AYLIK ALIM TAKİBİ'!N$5:N$204,D13,'AYLIK ALIM TAKİBİ'!P$5:P$204))</x:f>
        <x:v>0</x:v>
      </x:c>
      <x:c r="H13" s="24" t="n">
        <x:f>IFERROR(F13/E13,0)</x:f>
        <x:v>0</x:v>
      </x:c>
    </x:row>
    <x:row r="14">
      <x:c r="A14" t="str">
        <x:v>ŞİRKET ARACI</x:v>
      </x:c>
      <x:c r="B14" t="n">
        <x:f>COUNTIF('AYLIK ALIM TAKİBİ'!M5:M204,A14)</x:f>
        <x:v>0</x:v>
      </x:c>
      <x:c r="D14"/>
      <x:c r="E14" t="str">
        <x:f>IF(D14="","",COUNTIF('AYLIK ALIM TAKİBİ'!N$5:N$204,D14))</x:f>
      </x:c>
      <x:c r="F14" s="24" t="str">
        <x:f>IF(D14="","",SUMIF('AYLIK ALIM TAKİBİ'!N$5:N$204,D14,'AYLIK ALIM TAKİBİ'!O$5:O$204))</x:f>
      </x:c>
      <x:c r="G14" s="24" t="str">
        <x:f>IF(D14="","",SUMIF('AYLIK ALIM TAKİBİ'!N$5:N$204,D14,'AYLIK ALIM TAKİBİ'!P$5:P$204))</x:f>
      </x:c>
      <x:c r="H14" s="24" t="n">
        <x:f>IFERROR(F14/E14,0)</x:f>
        <x:v>0</x:v>
      </x:c>
    </x:row>
    <x:row r="15">
      <x:c r="D15"/>
      <x:c r="E15" t="str">
        <x:f>IF(D15="","",COUNTIF('AYLIK ALIM TAKİBİ'!N$5:N$204,D15))</x:f>
      </x:c>
      <x:c r="F15" s="24" t="str">
        <x:f>IF(D15="","",SUMIF('AYLIK ALIM TAKİBİ'!N$5:N$204,D15,'AYLIK ALIM TAKİBİ'!O$5:O$204))</x:f>
      </x:c>
      <x:c r="G15" s="24" t="str">
        <x:f>IF(D15="","",SUMIF('AYLIK ALIM TAKİBİ'!N$5:N$204,D15,'AYLIK ALIM TAKİBİ'!P$5:P$204))</x:f>
      </x:c>
      <x:c r="H15" s="24" t="n">
        <x:f>IFERROR(F15/E15,0)</x:f>
        <x:v>0</x:v>
      </x:c>
    </x:row>
    <x:row r="16">
      <x:c r="D16"/>
      <x:c r="E16" t="str">
        <x:f>IF(D16="","",COUNTIF('AYLIK ALIM TAKİBİ'!N$5:N$204,D16))</x:f>
      </x:c>
      <x:c r="F16" s="24" t="str">
        <x:f>IF(D16="","",SUMIF('AYLIK ALIM TAKİBİ'!N$5:N$204,D16,'AYLIK ALIM TAKİBİ'!O$5:O$204))</x:f>
      </x:c>
      <x:c r="G16" s="24" t="str">
        <x:f>IF(D16="","",SUMIF('AYLIK ALIM TAKİBİ'!N$5:N$204,D16,'AYLIK ALIM TAKİBİ'!P$5:P$204))</x:f>
      </x:c>
      <x:c r="H16" s="24" t="n">
        <x:f>IFERROR(F16/E16,0)</x:f>
        <x:v>0</x:v>
      </x:c>
    </x:row>
    <x:row r="17">
      <x:c r="D17"/>
      <x:c r="E17" t="str">
        <x:f>IF(D17="","",COUNTIF('AYLIK ALIM TAKİBİ'!N$5:N$204,D17))</x:f>
      </x:c>
      <x:c r="F17" s="24" t="str">
        <x:f>IF(D17="","",SUMIF('AYLIK ALIM TAKİBİ'!N$5:N$204,D17,'AYLIK ALIM TAKİBİ'!O$5:O$204))</x:f>
      </x:c>
      <x:c r="G17" s="24" t="str">
        <x:f>IF(D17="","",SUMIF('AYLIK ALIM TAKİBİ'!N$5:N$204,D17,'AYLIK ALIM TAKİBİ'!P$5:P$204))</x:f>
      </x:c>
      <x:c r="H17" s="24" t="n">
        <x:f>IFERROR(F17/E17,0)</x:f>
        <x:v>0</x:v>
      </x:c>
    </x:row>
    <x:row r="18">
      <x:c r="D18"/>
      <x:c r="E18" t="str">
        <x:f>IF(D18="","",COUNTIF('AYLIK ALIM TAKİBİ'!N$5:N$204,D18))</x:f>
      </x:c>
      <x:c r="F18" s="24" t="str">
        <x:f>IF(D18="","",SUMIF('AYLIK ALIM TAKİBİ'!N$5:N$204,D18,'AYLIK ALIM TAKİBİ'!O$5:O$204))</x:f>
      </x:c>
      <x:c r="G18" s="24" t="str">
        <x:f>IF(D18="","",SUMIF('AYLIK ALIM TAKİBİ'!N$5:N$204,D18,'AYLIK ALIM TAKİBİ'!P$5:P$204))</x:f>
      </x:c>
      <x:c r="H18" s="24" t="n">
        <x:f>IFERROR(F18/E18,0)</x:f>
        <x:v>0</x:v>
      </x:c>
    </x:row>
    <x:row r="19">
      <x:c r="D19"/>
      <x:c r="E19" t="str">
        <x:f>IF(D19="","",COUNTIF('AYLIK ALIM TAKİBİ'!N$5:N$204,D19))</x:f>
      </x:c>
      <x:c r="F19" s="24" t="str">
        <x:f>IF(D19="","",SUMIF('AYLIK ALIM TAKİBİ'!N$5:N$204,D19,'AYLIK ALIM TAKİBİ'!O$5:O$204))</x:f>
      </x:c>
      <x:c r="G19" s="24" t="str">
        <x:f>IF(D19="","",SUMIF('AYLIK ALIM TAKİBİ'!N$5:N$204,D19,'AYLIK ALIM TAKİBİ'!P$5:P$204))</x:f>
      </x:c>
      <x:c r="H19" s="24" t="n">
        <x:f>IFERROR(F19/E19,0)</x:f>
        <x:v>0</x:v>
      </x:c>
    </x:row>
    <x:row r="20">
      <x:c r="D20"/>
      <x:c r="E20" t="str">
        <x:f>IF(D20="","",COUNTIF('AYLIK ALIM TAKİBİ'!N$5:N$204,D20))</x:f>
      </x:c>
      <x:c r="F20" s="24" t="str">
        <x:f>IF(D20="","",SUMIF('AYLIK ALIM TAKİBİ'!N$5:N$204,D20,'AYLIK ALIM TAKİBİ'!O$5:O$204))</x:f>
      </x:c>
      <x:c r="G20" s="24" t="str">
        <x:f>IF(D20="","",SUMIF('AYLIK ALIM TAKİBİ'!N$5:N$204,D20,'AYLIK ALIM TAKİBİ'!P$5:P$204))</x:f>
      </x:c>
      <x:c r="H20" s="24" t="n">
        <x:f>IFERROR(F20/E20,0)</x:f>
        <x:v>0</x:v>
      </x:c>
    </x:row>
    <x:row r="21">
      <x:c r="D21"/>
      <x:c r="E21" t="str">
        <x:f>IF(D21="","",COUNTIF('AYLIK ALIM TAKİBİ'!N$5:N$204,D21))</x:f>
      </x:c>
      <x:c r="F21" s="24" t="str">
        <x:f>IF(D21="","",SUMIF('AYLIK ALIM TAKİBİ'!N$5:N$204,D21,'AYLIK ALIM TAKİBİ'!O$5:O$204))</x:f>
      </x:c>
      <x:c r="G21" s="24" t="str">
        <x:f>IF(D21="","",SUMIF('AYLIK ALIM TAKİBİ'!N$5:N$204,D21,'AYLIK ALIM TAKİBİ'!P$5:P$204))</x:f>
      </x:c>
      <x:c r="H21" s="24" t="n">
        <x:f>IFERROR(F21/E21,0)</x:f>
        <x:v>0</x:v>
      </x:c>
    </x:row>
    <x:row r="22">
      <x:c r="D22"/>
      <x:c r="E22" t="str">
        <x:f>IF(D22="","",COUNTIF('AYLIK ALIM TAKİBİ'!N$5:N$204,D22))</x:f>
      </x:c>
      <x:c r="F22" s="24" t="str">
        <x:f>IF(D22="","",SUMIF('AYLIK ALIM TAKİBİ'!N$5:N$204,D22,'AYLIK ALIM TAKİBİ'!O$5:O$204))</x:f>
      </x:c>
      <x:c r="G22" s="24" t="str">
        <x:f>IF(D22="","",SUMIF('AYLIK ALIM TAKİBİ'!N$5:N$204,D22,'AYLIK ALIM TAKİBİ'!P$5:P$204))</x:f>
      </x:c>
      <x:c r="H22" s="24" t="n">
        <x:f>IFERROR(F22/E22,0)</x:f>
        <x:v>0</x:v>
      </x:c>
    </x:row>
    <x:row r="23">
      <x:c r="D23"/>
      <x:c r="E23" t="str">
        <x:f>IF(D23="","",COUNTIF('AYLIK ALIM TAKİBİ'!N$5:N$204,D23))</x:f>
      </x:c>
      <x:c r="F23" s="24" t="str">
        <x:f>IF(D23="","",SUMIF('AYLIK ALIM TAKİBİ'!N$5:N$204,D23,'AYLIK ALIM TAKİBİ'!O$5:O$204))</x:f>
      </x:c>
      <x:c r="G23" s="24" t="str">
        <x:f>IF(D23="","",SUMIF('AYLIK ALIM TAKİBİ'!N$5:N$204,D23,'AYLIK ALIM TAKİBİ'!P$5:P$204))</x:f>
      </x:c>
      <x:c r="H23" s="24" t="n">
        <x:f>IFERROR(F23/E23,0)</x:f>
        <x:v>0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7d6d4085bd124617"/>
</x:worksheet>
</file>

<file path=xl/worksheets/sheet4.xml><?xml version="1.0" encoding="utf-8"?>
<x:worksheet xmlns:x="http://schemas.openxmlformats.org/spreadsheetml/2006/main">
  <x:sheetFormatPr defaultRowHeight="15"/>
  <x:cols>
    <x:col min="1" max="1" width="42.380001068115234" hidden="0" customWidth="1"/>
    <x:col min="2" max="2" width="14.630000114440918" hidden="0" customWidth="1"/>
    <x:col min="3" max="3" width="8" hidden="0" customWidth="1"/>
    <x:col min="4" max="4" width="12.5" hidden="0" customWidth="1"/>
    <x:col min="5" max="5" width="11.25" hidden="0" customWidth="1"/>
    <x:col min="6" max="6" width="20.75" hidden="0" customWidth="1"/>
  </x:cols>
  <x:sheetData>
    <x:row r="1">
      <x:c r="A1" s="39" t="str">
        <x:v>PANEL BAĞLANTI / AKTARIM KURALLARI</x:v>
      </x:c>
      <x:c r="B1" s="39"/>
      <x:c r="C1" s="39"/>
      <x:c r="D1" s="39"/>
      <x:c r="E1" s="39"/>
      <x:c r="F1" s="39"/>
    </x:row>
    <x:row r="3">
      <x:c r="A3" s="14" t="str">
        <x:v>ALAN</x:v>
      </x:c>
      <x:c r="B3" s="14" t="str">
        <x:v>PANEL ALANI</x:v>
      </x:c>
      <x:c r="C3" s="14" t="str">
        <x:v>ZORUNLU</x:v>
      </x:c>
      <x:c r="D3" s="14" t="str">
        <x:v>KAYNAK</x:v>
      </x:c>
      <x:c r="E3" s="14" t="str">
        <x:v>KURAL</x:v>
      </x:c>
      <x:c r="F3" s="14" t="str">
        <x:v>NOT</x:v>
      </x:c>
    </x:row>
    <x:row r="4">
      <x:c r="A4" s="42" t="str">
        <x:v>Alım Tarihi</x:v>
      </x:c>
      <x:c r="B4" s="42" t="str">
        <x:v>purchase_date</x:v>
      </x:c>
      <x:c r="C4" s="42" t="str">
        <x:v>EVET</x:v>
      </x:c>
      <x:c r="D4" s="42" t="str">
        <x:v>Aylık Alım Takibi</x:v>
      </x:c>
      <x:c r="E4" s="42" t="str">
        <x:v>Tarih</x:v>
      </x:c>
      <x:c r="F4" s="42" t="str">
        <x:v>Ay otomatik türetilir</x:v>
      </x:c>
    </x:row>
    <x:row r="5">
      <x:c r="A5" s="42" t="str">
        <x:v>Plaka</x:v>
      </x:c>
      <x:c r="B5" s="42" t="str">
        <x:v>plate</x:v>
      </x:c>
      <x:c r="C5" s="42" t="str">
        <x:v>EVET</x:v>
      </x:c>
      <x:c r="D5" s="42" t="str">
        <x:v>Aylık Alım Takibi</x:v>
      </x:c>
      <x:c r="E5" s="42" t="str">
        <x:v>Tekil kayıt</x:v>
      </x:c>
      <x:c r="F5" s="42" t="str">
        <x:v>Aynı plaka tekrarında uyarı</x:v>
      </x:c>
    </x:row>
    <x:row r="6">
      <x:c r="A6" s="42" t="str">
        <x:v>Araç Bilgileri</x:v>
      </x:c>
      <x:c r="B6" s="42" t="str">
        <x:v>vehicle fields</x:v>
      </x:c>
      <x:c r="C6" s="42" t="str">
        <x:v>EVET</x:v>
      </x:c>
      <x:c r="D6" s="42" t="str">
        <x:v>Aylık Alım Takibi</x:v>
      </x:c>
      <x:c r="E6" s="42" t="str">
        <x:v>Düzenlenebilir</x:v>
      </x:c>
      <x:c r="F6" s="42" t="str">
        <x:v>Marka/model/versiyon vb.</x:v>
      </x:c>
    </x:row>
    <x:row r="7">
      <x:c r="A7" s="42" t="str">
        <x:v>Alım Türü</x:v>
      </x:c>
      <x:c r="B7" s="42" t="str">
        <x:v>purchase_type</x:v>
      </x:c>
      <x:c r="C7" s="42" t="str">
        <x:v>EVET</x:v>
      </x:c>
      <x:c r="D7" s="42" t="str">
        <x:v>Parametreler</x:v>
      </x:c>
      <x:c r="E7" s="42" t="str">
        <x:v>Aktif seçenek</x:v>
      </x:c>
      <x:c r="F7" s="42" t="str">
        <x:v>Okunamazsa seçim zorunlu</x:v>
      </x:c>
    </x:row>
    <x:row r="8">
      <x:c r="A8" s="42" t="str">
        <x:v>Alınan Kişi</x:v>
      </x:c>
      <x:c r="B8" s="42" t="str">
        <x:v>acquisition_person</x:v>
      </x:c>
      <x:c r="C8" s="42" t="str">
        <x:v>EVET</x:v>
      </x:c>
      <x:c r="D8" s="42" t="str">
        <x:v>Ekspertiz Takip</x:v>
      </x:c>
      <x:c r="E8" s="42" t="str">
        <x:v>Aktif kişi</x:v>
      </x:c>
      <x:c r="F8" s="42" t="str">
        <x:v>Panel listesinden seçilir</x:v>
      </x:c>
    </x:row>
    <x:row r="9">
      <x:c r="A9" s="42" t="str">
        <x:v>Alış Fiyatı</x:v>
      </x:c>
      <x:c r="B9" s="42" t="str">
        <x:v>purchase_price</x:v>
      </x:c>
      <x:c r="C9" s="42" t="str">
        <x:v>EVET</x:v>
      </x:c>
      <x:c r="D9" s="42" t="str">
        <x:v>Aylık Alım Takibi</x:v>
      </x:c>
      <x:c r="E9" s="42" t="str">
        <x:v>Sayısal</x:v>
      </x:c>
      <x:c r="F9" s="42" t="str">
        <x:v>TL biçimi</x:v>
      </x:c>
    </x:row>
    <x:row r="10">
      <x:c r="A10" s="42" t="str">
        <x:v>Masraf</x:v>
      </x:c>
      <x:c r="B10" s="42" t="str">
        <x:v>expense</x:v>
      </x:c>
      <x:c r="C10" s="42" t="str">
        <x:v>HAYIR</x:v>
      </x:c>
      <x:c r="D10" s="42" t="str">
        <x:v>Aylık Alım Takibi</x:v>
      </x:c>
      <x:c r="E10" s="42" t="str">
        <x:v>Sayısal</x:v>
      </x:c>
      <x:c r="F10" s="42" t="str">
        <x:v>0 olabilir</x:v>
      </x:c>
    </x:row>
  </x:sheetData>
  <x:mergeCells>
    <x:mergeCell ref="A1:F1"/>
  </x:mergeCells>
  <x:pageMargins left="0.7" right="0.7" top="0.75" bottom="0.75" header="0.3" footer="0.3"/>
</x:worksheet>
</file>