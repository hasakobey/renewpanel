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NUR\Desktop\"/>
    </mc:Choice>
  </mc:AlternateContent>
  <bookViews>
    <workbookView xWindow="0" yWindow="0" windowWidth="23016" windowHeight="9060" activeTab="2"/>
  </bookViews>
  <sheets>
    <sheet name="AYARLAR" sheetId="1" r:id="rId1"/>
    <sheet name="ARAÇ VERİ GİRİŞİ" sheetId="2" r:id="rId2"/>
    <sheet name="EXPERTİZ TAKİP" sheetId="3" r:id="rId3"/>
    <sheet name="DANIŞMAN PERFORMANS" sheetId="4" r:id="rId4"/>
    <sheet name="DASHBOARD" sheetId="5" r:id="rId5"/>
    <sheet name="GİDER AYARLARI" sheetId="6" r:id="rId6"/>
    <sheet name="ALIM AYARLARI" sheetId="7" r:id="rId7"/>
    <sheet name="SATIŞ AYARLARI" sheetId="8" r:id="rId8"/>
    <sheet name="DANIŞMAN AYARLARI" sheetId="9" r:id="rId9"/>
    <sheet name="EXTRA STOK BİLGİSİ" sheetId="10" r:id="rId10"/>
  </sheets>
  <calcPr calcId="162913"/>
</workbook>
</file>

<file path=xl/calcChain.xml><?xml version="1.0" encoding="utf-8"?>
<calcChain xmlns="http://schemas.openxmlformats.org/spreadsheetml/2006/main">
  <c r="R306" i="10" l="1"/>
  <c r="S306" i="10" s="1"/>
  <c r="P306" i="10"/>
  <c r="J306" i="10"/>
  <c r="Q306" i="10" s="1"/>
  <c r="A306" i="10"/>
  <c r="R305" i="10"/>
  <c r="S305" i="10" s="1"/>
  <c r="P305" i="10"/>
  <c r="J305" i="10"/>
  <c r="Q305" i="10" s="1"/>
  <c r="A305" i="10"/>
  <c r="S304" i="10"/>
  <c r="R304" i="10"/>
  <c r="P304" i="10"/>
  <c r="J304" i="10"/>
  <c r="Q304" i="10" s="1"/>
  <c r="A304" i="10"/>
  <c r="R303" i="10"/>
  <c r="S303" i="10" s="1"/>
  <c r="P303" i="10"/>
  <c r="J303" i="10"/>
  <c r="Q303" i="10" s="1"/>
  <c r="A303" i="10"/>
  <c r="R302" i="10"/>
  <c r="S302" i="10" s="1"/>
  <c r="P302" i="10"/>
  <c r="J302" i="10"/>
  <c r="Q302" i="10" s="1"/>
  <c r="A302" i="10"/>
  <c r="S301" i="10"/>
  <c r="R301" i="10"/>
  <c r="P301" i="10"/>
  <c r="J301" i="10"/>
  <c r="Q301" i="10" s="1"/>
  <c r="A301" i="10"/>
  <c r="S300" i="10"/>
  <c r="R300" i="10"/>
  <c r="P300" i="10"/>
  <c r="J300" i="10"/>
  <c r="Q300" i="10" s="1"/>
  <c r="A300" i="10"/>
  <c r="S299" i="10"/>
  <c r="R299" i="10"/>
  <c r="P299" i="10"/>
  <c r="J299" i="10"/>
  <c r="Q299" i="10" s="1"/>
  <c r="A299" i="10"/>
  <c r="R298" i="10"/>
  <c r="S298" i="10" s="1"/>
  <c r="P298" i="10"/>
  <c r="J298" i="10"/>
  <c r="Q298" i="10" s="1"/>
  <c r="A298" i="10"/>
  <c r="S297" i="10"/>
  <c r="R297" i="10"/>
  <c r="P297" i="10"/>
  <c r="J297" i="10"/>
  <c r="Q297" i="10" s="1"/>
  <c r="A297" i="10"/>
  <c r="S296" i="10"/>
  <c r="R296" i="10"/>
  <c r="P296" i="10"/>
  <c r="J296" i="10"/>
  <c r="Q296" i="10" s="1"/>
  <c r="A296" i="10"/>
  <c r="S295" i="10"/>
  <c r="R295" i="10"/>
  <c r="P295" i="10"/>
  <c r="J295" i="10"/>
  <c r="Q295" i="10" s="1"/>
  <c r="A295" i="10"/>
  <c r="R294" i="10"/>
  <c r="S294" i="10" s="1"/>
  <c r="P294" i="10"/>
  <c r="J294" i="10"/>
  <c r="Q294" i="10" s="1"/>
  <c r="A294" i="10"/>
  <c r="S293" i="10"/>
  <c r="R293" i="10"/>
  <c r="P293" i="10"/>
  <c r="J293" i="10"/>
  <c r="Q293" i="10" s="1"/>
  <c r="A293" i="10"/>
  <c r="S292" i="10"/>
  <c r="R292" i="10"/>
  <c r="P292" i="10"/>
  <c r="J292" i="10"/>
  <c r="Q292" i="10" s="1"/>
  <c r="A292" i="10"/>
  <c r="S291" i="10"/>
  <c r="R291" i="10"/>
  <c r="P291" i="10"/>
  <c r="J291" i="10"/>
  <c r="Q291" i="10" s="1"/>
  <c r="A291" i="10"/>
  <c r="R290" i="10"/>
  <c r="S290" i="10" s="1"/>
  <c r="P290" i="10"/>
  <c r="J290" i="10"/>
  <c r="Q290" i="10" s="1"/>
  <c r="A290" i="10"/>
  <c r="S289" i="10"/>
  <c r="R289" i="10"/>
  <c r="P289" i="10"/>
  <c r="J289" i="10"/>
  <c r="Q289" i="10" s="1"/>
  <c r="A289" i="10"/>
  <c r="S288" i="10"/>
  <c r="R288" i="10"/>
  <c r="P288" i="10"/>
  <c r="J288" i="10"/>
  <c r="Q288" i="10" s="1"/>
  <c r="A288" i="10"/>
  <c r="S287" i="10"/>
  <c r="R287" i="10"/>
  <c r="P287" i="10"/>
  <c r="J287" i="10"/>
  <c r="Q287" i="10" s="1"/>
  <c r="A287" i="10"/>
  <c r="R286" i="10"/>
  <c r="S286" i="10" s="1"/>
  <c r="P286" i="10"/>
  <c r="J286" i="10"/>
  <c r="Q286" i="10" s="1"/>
  <c r="A286" i="10"/>
  <c r="S285" i="10"/>
  <c r="R285" i="10"/>
  <c r="P285" i="10"/>
  <c r="J285" i="10"/>
  <c r="Q285" i="10" s="1"/>
  <c r="A285" i="10"/>
  <c r="S284" i="10"/>
  <c r="R284" i="10"/>
  <c r="P284" i="10"/>
  <c r="J284" i="10"/>
  <c r="Q284" i="10" s="1"/>
  <c r="A284" i="10"/>
  <c r="S283" i="10"/>
  <c r="R283" i="10"/>
  <c r="P283" i="10"/>
  <c r="J283" i="10"/>
  <c r="Q283" i="10" s="1"/>
  <c r="A283" i="10"/>
  <c r="R282" i="10"/>
  <c r="S282" i="10" s="1"/>
  <c r="P282" i="10"/>
  <c r="J282" i="10"/>
  <c r="Q282" i="10" s="1"/>
  <c r="A282" i="10"/>
  <c r="S281" i="10"/>
  <c r="R281" i="10"/>
  <c r="P281" i="10"/>
  <c r="J281" i="10"/>
  <c r="Q281" i="10" s="1"/>
  <c r="A281" i="10"/>
  <c r="S280" i="10"/>
  <c r="R280" i="10"/>
  <c r="P280" i="10"/>
  <c r="J280" i="10"/>
  <c r="Q280" i="10" s="1"/>
  <c r="A280" i="10"/>
  <c r="S279" i="10"/>
  <c r="R279" i="10"/>
  <c r="P279" i="10"/>
  <c r="J279" i="10"/>
  <c r="Q279" i="10" s="1"/>
  <c r="A279" i="10"/>
  <c r="R278" i="10"/>
  <c r="S278" i="10" s="1"/>
  <c r="P278" i="10"/>
  <c r="J278" i="10"/>
  <c r="Q278" i="10" s="1"/>
  <c r="A278" i="10"/>
  <c r="S277" i="10"/>
  <c r="R277" i="10"/>
  <c r="P277" i="10"/>
  <c r="J277" i="10"/>
  <c r="Q277" i="10" s="1"/>
  <c r="A277" i="10"/>
  <c r="S276" i="10"/>
  <c r="R276" i="10"/>
  <c r="P276" i="10"/>
  <c r="J276" i="10"/>
  <c r="Q276" i="10" s="1"/>
  <c r="A276" i="10"/>
  <c r="S275" i="10"/>
  <c r="R275" i="10"/>
  <c r="P275" i="10"/>
  <c r="J275" i="10"/>
  <c r="Q275" i="10" s="1"/>
  <c r="A275" i="10"/>
  <c r="R274" i="10"/>
  <c r="S274" i="10" s="1"/>
  <c r="P274" i="10"/>
  <c r="J274" i="10"/>
  <c r="Q274" i="10" s="1"/>
  <c r="A274" i="10"/>
  <c r="S273" i="10"/>
  <c r="R273" i="10"/>
  <c r="P273" i="10"/>
  <c r="J273" i="10"/>
  <c r="Q273" i="10" s="1"/>
  <c r="A273" i="10"/>
  <c r="S272" i="10"/>
  <c r="R272" i="10"/>
  <c r="P272" i="10"/>
  <c r="J272" i="10"/>
  <c r="Q272" i="10" s="1"/>
  <c r="A272" i="10"/>
  <c r="S271" i="10"/>
  <c r="R271" i="10"/>
  <c r="P271" i="10"/>
  <c r="J271" i="10"/>
  <c r="Q271" i="10" s="1"/>
  <c r="A271" i="10"/>
  <c r="R270" i="10"/>
  <c r="S270" i="10" s="1"/>
  <c r="P270" i="10"/>
  <c r="J270" i="10"/>
  <c r="Q270" i="10" s="1"/>
  <c r="A270" i="10"/>
  <c r="S269" i="10"/>
  <c r="R269" i="10"/>
  <c r="P269" i="10"/>
  <c r="J269" i="10"/>
  <c r="Q269" i="10" s="1"/>
  <c r="A269" i="10"/>
  <c r="S268" i="10"/>
  <c r="R268" i="10"/>
  <c r="P268" i="10"/>
  <c r="J268" i="10"/>
  <c r="Q268" i="10" s="1"/>
  <c r="A268" i="10"/>
  <c r="S267" i="10"/>
  <c r="R267" i="10"/>
  <c r="P267" i="10"/>
  <c r="J267" i="10"/>
  <c r="Q267" i="10" s="1"/>
  <c r="A267" i="10"/>
  <c r="R266" i="10"/>
  <c r="S266" i="10" s="1"/>
  <c r="P266" i="10"/>
  <c r="J266" i="10"/>
  <c r="Q266" i="10" s="1"/>
  <c r="A266" i="10"/>
  <c r="S265" i="10"/>
  <c r="R265" i="10"/>
  <c r="P265" i="10"/>
  <c r="J265" i="10"/>
  <c r="Q265" i="10" s="1"/>
  <c r="A265" i="10"/>
  <c r="S264" i="10"/>
  <c r="R264" i="10"/>
  <c r="P264" i="10"/>
  <c r="J264" i="10"/>
  <c r="Q264" i="10" s="1"/>
  <c r="A264" i="10"/>
  <c r="S263" i="10"/>
  <c r="R263" i="10"/>
  <c r="P263" i="10"/>
  <c r="J263" i="10"/>
  <c r="Q263" i="10" s="1"/>
  <c r="A263" i="10"/>
  <c r="R262" i="10"/>
  <c r="S262" i="10" s="1"/>
  <c r="P262" i="10"/>
  <c r="J262" i="10"/>
  <c r="Q262" i="10" s="1"/>
  <c r="A262" i="10"/>
  <c r="S261" i="10"/>
  <c r="R261" i="10"/>
  <c r="P261" i="10"/>
  <c r="J261" i="10"/>
  <c r="Q261" i="10" s="1"/>
  <c r="A261" i="10"/>
  <c r="S260" i="10"/>
  <c r="R260" i="10"/>
  <c r="P260" i="10"/>
  <c r="J260" i="10"/>
  <c r="Q260" i="10" s="1"/>
  <c r="A260" i="10"/>
  <c r="S259" i="10"/>
  <c r="R259" i="10"/>
  <c r="P259" i="10"/>
  <c r="J259" i="10"/>
  <c r="Q259" i="10" s="1"/>
  <c r="A259" i="10"/>
  <c r="R258" i="10"/>
  <c r="S258" i="10" s="1"/>
  <c r="P258" i="10"/>
  <c r="J258" i="10"/>
  <c r="Q258" i="10" s="1"/>
  <c r="A258" i="10"/>
  <c r="S257" i="10"/>
  <c r="R257" i="10"/>
  <c r="P257" i="10"/>
  <c r="J257" i="10"/>
  <c r="Q257" i="10" s="1"/>
  <c r="A257" i="10"/>
  <c r="S256" i="10"/>
  <c r="R256" i="10"/>
  <c r="P256" i="10"/>
  <c r="J256" i="10"/>
  <c r="Q256" i="10" s="1"/>
  <c r="A256" i="10"/>
  <c r="S255" i="10"/>
  <c r="R255" i="10"/>
  <c r="P255" i="10"/>
  <c r="J255" i="10"/>
  <c r="Q255" i="10" s="1"/>
  <c r="A255" i="10"/>
  <c r="R254" i="10"/>
  <c r="S254" i="10" s="1"/>
  <c r="P254" i="10"/>
  <c r="J254" i="10"/>
  <c r="Q254" i="10" s="1"/>
  <c r="A254" i="10"/>
  <c r="S253" i="10"/>
  <c r="R253" i="10"/>
  <c r="P253" i="10"/>
  <c r="J253" i="10"/>
  <c r="Q253" i="10" s="1"/>
  <c r="A253" i="10"/>
  <c r="S252" i="10"/>
  <c r="R252" i="10"/>
  <c r="P252" i="10"/>
  <c r="J252" i="10"/>
  <c r="Q252" i="10" s="1"/>
  <c r="A252" i="10"/>
  <c r="S251" i="10"/>
  <c r="R251" i="10"/>
  <c r="P251" i="10"/>
  <c r="J251" i="10"/>
  <c r="Q251" i="10" s="1"/>
  <c r="A251" i="10"/>
  <c r="R250" i="10"/>
  <c r="S250" i="10" s="1"/>
  <c r="P250" i="10"/>
  <c r="J250" i="10"/>
  <c r="Q250" i="10" s="1"/>
  <c r="A250" i="10"/>
  <c r="S249" i="10"/>
  <c r="R249" i="10"/>
  <c r="P249" i="10"/>
  <c r="J249" i="10"/>
  <c r="Q249" i="10" s="1"/>
  <c r="A249" i="10"/>
  <c r="S248" i="10"/>
  <c r="R248" i="10"/>
  <c r="P248" i="10"/>
  <c r="J248" i="10"/>
  <c r="Q248" i="10" s="1"/>
  <c r="A248" i="10"/>
  <c r="S247" i="10"/>
  <c r="R247" i="10"/>
  <c r="P247" i="10"/>
  <c r="J247" i="10"/>
  <c r="Q247" i="10" s="1"/>
  <c r="A247" i="10"/>
  <c r="R246" i="10"/>
  <c r="S246" i="10" s="1"/>
  <c r="P246" i="10"/>
  <c r="J246" i="10"/>
  <c r="Q246" i="10" s="1"/>
  <c r="A246" i="10"/>
  <c r="S245" i="10"/>
  <c r="R245" i="10"/>
  <c r="P245" i="10"/>
  <c r="J245" i="10"/>
  <c r="Q245" i="10" s="1"/>
  <c r="A245" i="10"/>
  <c r="S244" i="10"/>
  <c r="R244" i="10"/>
  <c r="P244" i="10"/>
  <c r="J244" i="10"/>
  <c r="Q244" i="10" s="1"/>
  <c r="A244" i="10"/>
  <c r="S243" i="10"/>
  <c r="R243" i="10"/>
  <c r="P243" i="10"/>
  <c r="J243" i="10"/>
  <c r="Q243" i="10" s="1"/>
  <c r="A243" i="10"/>
  <c r="R242" i="10"/>
  <c r="S242" i="10" s="1"/>
  <c r="P242" i="10"/>
  <c r="J242" i="10"/>
  <c r="Q242" i="10" s="1"/>
  <c r="A242" i="10"/>
  <c r="S241" i="10"/>
  <c r="R241" i="10"/>
  <c r="P241" i="10"/>
  <c r="J241" i="10"/>
  <c r="Q241" i="10" s="1"/>
  <c r="A241" i="10"/>
  <c r="S240" i="10"/>
  <c r="R240" i="10"/>
  <c r="P240" i="10"/>
  <c r="J240" i="10"/>
  <c r="Q240" i="10" s="1"/>
  <c r="A240" i="10"/>
  <c r="S239" i="10"/>
  <c r="R239" i="10"/>
  <c r="P239" i="10"/>
  <c r="J239" i="10"/>
  <c r="Q239" i="10" s="1"/>
  <c r="A239" i="10"/>
  <c r="R238" i="10"/>
  <c r="S238" i="10" s="1"/>
  <c r="P238" i="10"/>
  <c r="J238" i="10"/>
  <c r="Q238" i="10" s="1"/>
  <c r="A238" i="10"/>
  <c r="S237" i="10"/>
  <c r="R237" i="10"/>
  <c r="P237" i="10"/>
  <c r="J237" i="10"/>
  <c r="Q237" i="10" s="1"/>
  <c r="A237" i="10"/>
  <c r="S236" i="10"/>
  <c r="R236" i="10"/>
  <c r="P236" i="10"/>
  <c r="J236" i="10"/>
  <c r="Q236" i="10" s="1"/>
  <c r="A236" i="10"/>
  <c r="S235" i="10"/>
  <c r="R235" i="10"/>
  <c r="P235" i="10"/>
  <c r="J235" i="10"/>
  <c r="Q235" i="10" s="1"/>
  <c r="A235" i="10"/>
  <c r="R234" i="10"/>
  <c r="S234" i="10" s="1"/>
  <c r="P234" i="10"/>
  <c r="J234" i="10"/>
  <c r="Q234" i="10" s="1"/>
  <c r="A234" i="10"/>
  <c r="S233" i="10"/>
  <c r="R233" i="10"/>
  <c r="P233" i="10"/>
  <c r="J233" i="10"/>
  <c r="Q233" i="10" s="1"/>
  <c r="A233" i="10"/>
  <c r="S232" i="10"/>
  <c r="R232" i="10"/>
  <c r="P232" i="10"/>
  <c r="J232" i="10"/>
  <c r="Q232" i="10" s="1"/>
  <c r="A232" i="10"/>
  <c r="S231" i="10"/>
  <c r="R231" i="10"/>
  <c r="P231" i="10"/>
  <c r="J231" i="10"/>
  <c r="Q231" i="10" s="1"/>
  <c r="A231" i="10"/>
  <c r="R230" i="10"/>
  <c r="S230" i="10" s="1"/>
  <c r="P230" i="10"/>
  <c r="J230" i="10"/>
  <c r="Q230" i="10" s="1"/>
  <c r="A230" i="10"/>
  <c r="S229" i="10"/>
  <c r="R229" i="10"/>
  <c r="P229" i="10"/>
  <c r="J229" i="10"/>
  <c r="Q229" i="10" s="1"/>
  <c r="A229" i="10"/>
  <c r="S228" i="10"/>
  <c r="R228" i="10"/>
  <c r="P228" i="10"/>
  <c r="J228" i="10"/>
  <c r="Q228" i="10" s="1"/>
  <c r="A228" i="10"/>
  <c r="S227" i="10"/>
  <c r="R227" i="10"/>
  <c r="P227" i="10"/>
  <c r="J227" i="10"/>
  <c r="Q227" i="10" s="1"/>
  <c r="A227" i="10"/>
  <c r="R226" i="10"/>
  <c r="S226" i="10" s="1"/>
  <c r="P226" i="10"/>
  <c r="J226" i="10"/>
  <c r="Q226" i="10" s="1"/>
  <c r="A226" i="10"/>
  <c r="S225" i="10"/>
  <c r="R225" i="10"/>
  <c r="P225" i="10"/>
  <c r="J225" i="10"/>
  <c r="Q225" i="10" s="1"/>
  <c r="A225" i="10"/>
  <c r="S224" i="10"/>
  <c r="R224" i="10"/>
  <c r="P224" i="10"/>
  <c r="J224" i="10"/>
  <c r="Q224" i="10" s="1"/>
  <c r="A224" i="10"/>
  <c r="S223" i="10"/>
  <c r="R223" i="10"/>
  <c r="P223" i="10"/>
  <c r="J223" i="10"/>
  <c r="Q223" i="10" s="1"/>
  <c r="A223" i="10"/>
  <c r="R222" i="10"/>
  <c r="S222" i="10" s="1"/>
  <c r="P222" i="10"/>
  <c r="J222" i="10"/>
  <c r="Q222" i="10" s="1"/>
  <c r="A222" i="10"/>
  <c r="S221" i="10"/>
  <c r="R221" i="10"/>
  <c r="P221" i="10"/>
  <c r="J221" i="10"/>
  <c r="Q221" i="10" s="1"/>
  <c r="A221" i="10"/>
  <c r="S220" i="10"/>
  <c r="R220" i="10"/>
  <c r="P220" i="10"/>
  <c r="J220" i="10"/>
  <c r="Q220" i="10" s="1"/>
  <c r="A220" i="10"/>
  <c r="S219" i="10"/>
  <c r="R219" i="10"/>
  <c r="P219" i="10"/>
  <c r="J219" i="10"/>
  <c r="Q219" i="10" s="1"/>
  <c r="A219" i="10"/>
  <c r="R218" i="10"/>
  <c r="S218" i="10" s="1"/>
  <c r="P218" i="10"/>
  <c r="J218" i="10"/>
  <c r="Q218" i="10" s="1"/>
  <c r="A218" i="10"/>
  <c r="S217" i="10"/>
  <c r="R217" i="10"/>
  <c r="P217" i="10"/>
  <c r="J217" i="10"/>
  <c r="Q217" i="10" s="1"/>
  <c r="A217" i="10"/>
  <c r="S216" i="10"/>
  <c r="R216" i="10"/>
  <c r="P216" i="10"/>
  <c r="J216" i="10"/>
  <c r="Q216" i="10" s="1"/>
  <c r="A216" i="10"/>
  <c r="S215" i="10"/>
  <c r="R215" i="10"/>
  <c r="P215" i="10"/>
  <c r="J215" i="10"/>
  <c r="Q215" i="10" s="1"/>
  <c r="A215" i="10"/>
  <c r="R214" i="10"/>
  <c r="S214" i="10" s="1"/>
  <c r="P214" i="10"/>
  <c r="J214" i="10"/>
  <c r="Q214" i="10" s="1"/>
  <c r="A214" i="10"/>
  <c r="S213" i="10"/>
  <c r="R213" i="10"/>
  <c r="P213" i="10"/>
  <c r="J213" i="10"/>
  <c r="Q213" i="10" s="1"/>
  <c r="A213" i="10"/>
  <c r="S212" i="10"/>
  <c r="R212" i="10"/>
  <c r="P212" i="10"/>
  <c r="J212" i="10"/>
  <c r="Q212" i="10" s="1"/>
  <c r="A212" i="10"/>
  <c r="S211" i="10"/>
  <c r="R211" i="10"/>
  <c r="P211" i="10"/>
  <c r="J211" i="10"/>
  <c r="Q211" i="10" s="1"/>
  <c r="A211" i="10"/>
  <c r="R210" i="10"/>
  <c r="S210" i="10" s="1"/>
  <c r="P210" i="10"/>
  <c r="J210" i="10"/>
  <c r="Q210" i="10" s="1"/>
  <c r="A210" i="10"/>
  <c r="S209" i="10"/>
  <c r="R209" i="10"/>
  <c r="P209" i="10"/>
  <c r="J209" i="10"/>
  <c r="Q209" i="10" s="1"/>
  <c r="A209" i="10"/>
  <c r="S208" i="10"/>
  <c r="R208" i="10"/>
  <c r="P208" i="10"/>
  <c r="J208" i="10"/>
  <c r="Q208" i="10" s="1"/>
  <c r="A208" i="10"/>
  <c r="S207" i="10"/>
  <c r="R207" i="10"/>
  <c r="P207" i="10"/>
  <c r="J207" i="10"/>
  <c r="Q207" i="10" s="1"/>
  <c r="A207" i="10"/>
  <c r="R206" i="10"/>
  <c r="S206" i="10" s="1"/>
  <c r="P206" i="10"/>
  <c r="J206" i="10"/>
  <c r="Q206" i="10" s="1"/>
  <c r="A206" i="10"/>
  <c r="S205" i="10"/>
  <c r="R205" i="10"/>
  <c r="P205" i="10"/>
  <c r="J205" i="10"/>
  <c r="Q205" i="10" s="1"/>
  <c r="A205" i="10"/>
  <c r="S204" i="10"/>
  <c r="R204" i="10"/>
  <c r="P204" i="10"/>
  <c r="J204" i="10"/>
  <c r="Q204" i="10" s="1"/>
  <c r="A204" i="10"/>
  <c r="S203" i="10"/>
  <c r="R203" i="10"/>
  <c r="P203" i="10"/>
  <c r="J203" i="10"/>
  <c r="Q203" i="10" s="1"/>
  <c r="A203" i="10"/>
  <c r="R202" i="10"/>
  <c r="S202" i="10" s="1"/>
  <c r="P202" i="10"/>
  <c r="J202" i="10"/>
  <c r="Q202" i="10" s="1"/>
  <c r="A202" i="10"/>
  <c r="S201" i="10"/>
  <c r="R201" i="10"/>
  <c r="P201" i="10"/>
  <c r="J201" i="10"/>
  <c r="Q201" i="10" s="1"/>
  <c r="A201" i="10"/>
  <c r="S200" i="10"/>
  <c r="R200" i="10"/>
  <c r="P200" i="10"/>
  <c r="J200" i="10"/>
  <c r="Q200" i="10" s="1"/>
  <c r="A200" i="10"/>
  <c r="S199" i="10"/>
  <c r="R199" i="10"/>
  <c r="P199" i="10"/>
  <c r="J199" i="10"/>
  <c r="Q199" i="10" s="1"/>
  <c r="A199" i="10"/>
  <c r="R198" i="10"/>
  <c r="S198" i="10" s="1"/>
  <c r="P198" i="10"/>
  <c r="J198" i="10"/>
  <c r="Q198" i="10" s="1"/>
  <c r="A198" i="10"/>
  <c r="S197" i="10"/>
  <c r="R197" i="10"/>
  <c r="P197" i="10"/>
  <c r="J197" i="10"/>
  <c r="Q197" i="10" s="1"/>
  <c r="A197" i="10"/>
  <c r="S196" i="10"/>
  <c r="R196" i="10"/>
  <c r="P196" i="10"/>
  <c r="J196" i="10"/>
  <c r="Q196" i="10" s="1"/>
  <c r="A196" i="10"/>
  <c r="S195" i="10"/>
  <c r="R195" i="10"/>
  <c r="P195" i="10"/>
  <c r="J195" i="10"/>
  <c r="Q195" i="10" s="1"/>
  <c r="A195" i="10"/>
  <c r="R194" i="10"/>
  <c r="S194" i="10" s="1"/>
  <c r="P194" i="10"/>
  <c r="J194" i="10"/>
  <c r="Q194" i="10" s="1"/>
  <c r="A194" i="10"/>
  <c r="S193" i="10"/>
  <c r="R193" i="10"/>
  <c r="P193" i="10"/>
  <c r="J193" i="10"/>
  <c r="Q193" i="10" s="1"/>
  <c r="A193" i="10"/>
  <c r="S192" i="10"/>
  <c r="R192" i="10"/>
  <c r="P192" i="10"/>
  <c r="J192" i="10"/>
  <c r="Q192" i="10" s="1"/>
  <c r="A192" i="10"/>
  <c r="S191" i="10"/>
  <c r="R191" i="10"/>
  <c r="P191" i="10"/>
  <c r="J191" i="10"/>
  <c r="Q191" i="10" s="1"/>
  <c r="A191" i="10"/>
  <c r="R190" i="10"/>
  <c r="S190" i="10" s="1"/>
  <c r="P190" i="10"/>
  <c r="J190" i="10"/>
  <c r="Q190" i="10" s="1"/>
  <c r="A190" i="10"/>
  <c r="S189" i="10"/>
  <c r="R189" i="10"/>
  <c r="P189" i="10"/>
  <c r="J189" i="10"/>
  <c r="Q189" i="10" s="1"/>
  <c r="A189" i="10"/>
  <c r="S188" i="10"/>
  <c r="R188" i="10"/>
  <c r="P188" i="10"/>
  <c r="J188" i="10"/>
  <c r="Q188" i="10" s="1"/>
  <c r="A188" i="10"/>
  <c r="S187" i="10"/>
  <c r="R187" i="10"/>
  <c r="P187" i="10"/>
  <c r="J187" i="10"/>
  <c r="Q187" i="10" s="1"/>
  <c r="A187" i="10"/>
  <c r="R186" i="10"/>
  <c r="S186" i="10" s="1"/>
  <c r="P186" i="10"/>
  <c r="J186" i="10"/>
  <c r="Q186" i="10" s="1"/>
  <c r="A186" i="10"/>
  <c r="S185" i="10"/>
  <c r="R185" i="10"/>
  <c r="P185" i="10"/>
  <c r="J185" i="10"/>
  <c r="Q185" i="10" s="1"/>
  <c r="A185" i="10"/>
  <c r="S184" i="10"/>
  <c r="R184" i="10"/>
  <c r="P184" i="10"/>
  <c r="J184" i="10"/>
  <c r="Q184" i="10" s="1"/>
  <c r="A184" i="10"/>
  <c r="S183" i="10"/>
  <c r="R183" i="10"/>
  <c r="P183" i="10"/>
  <c r="J183" i="10"/>
  <c r="Q183" i="10" s="1"/>
  <c r="A183" i="10"/>
  <c r="R182" i="10"/>
  <c r="S182" i="10" s="1"/>
  <c r="P182" i="10"/>
  <c r="J182" i="10"/>
  <c r="Q182" i="10" s="1"/>
  <c r="A182" i="10"/>
  <c r="S181" i="10"/>
  <c r="R181" i="10"/>
  <c r="P181" i="10"/>
  <c r="J181" i="10"/>
  <c r="Q181" i="10" s="1"/>
  <c r="A181" i="10"/>
  <c r="S180" i="10"/>
  <c r="R180" i="10"/>
  <c r="P180" i="10"/>
  <c r="J180" i="10"/>
  <c r="Q180" i="10" s="1"/>
  <c r="A180" i="10"/>
  <c r="S179" i="10"/>
  <c r="R179" i="10"/>
  <c r="P179" i="10"/>
  <c r="J179" i="10"/>
  <c r="Q179" i="10" s="1"/>
  <c r="A179" i="10"/>
  <c r="R178" i="10"/>
  <c r="S178" i="10" s="1"/>
  <c r="P178" i="10"/>
  <c r="J178" i="10"/>
  <c r="Q178" i="10" s="1"/>
  <c r="A178" i="10"/>
  <c r="S177" i="10"/>
  <c r="R177" i="10"/>
  <c r="P177" i="10"/>
  <c r="J177" i="10"/>
  <c r="Q177" i="10" s="1"/>
  <c r="A177" i="10"/>
  <c r="S176" i="10"/>
  <c r="R176" i="10"/>
  <c r="P176" i="10"/>
  <c r="J176" i="10"/>
  <c r="Q176" i="10" s="1"/>
  <c r="A176" i="10"/>
  <c r="S175" i="10"/>
  <c r="R175" i="10"/>
  <c r="P175" i="10"/>
  <c r="J175" i="10"/>
  <c r="Q175" i="10" s="1"/>
  <c r="A175" i="10"/>
  <c r="R174" i="10"/>
  <c r="S174" i="10" s="1"/>
  <c r="P174" i="10"/>
  <c r="J174" i="10"/>
  <c r="Q174" i="10" s="1"/>
  <c r="A174" i="10"/>
  <c r="S173" i="10"/>
  <c r="R173" i="10"/>
  <c r="P173" i="10"/>
  <c r="J173" i="10"/>
  <c r="Q173" i="10" s="1"/>
  <c r="A173" i="10"/>
  <c r="S172" i="10"/>
  <c r="R172" i="10"/>
  <c r="P172" i="10"/>
  <c r="J172" i="10"/>
  <c r="Q172" i="10" s="1"/>
  <c r="A172" i="10"/>
  <c r="S171" i="10"/>
  <c r="R171" i="10"/>
  <c r="P171" i="10"/>
  <c r="J171" i="10"/>
  <c r="Q171" i="10" s="1"/>
  <c r="A171" i="10"/>
  <c r="R170" i="10"/>
  <c r="S170" i="10" s="1"/>
  <c r="P170" i="10"/>
  <c r="J170" i="10"/>
  <c r="Q170" i="10" s="1"/>
  <c r="A170" i="10"/>
  <c r="S169" i="10"/>
  <c r="R169" i="10"/>
  <c r="P169" i="10"/>
  <c r="J169" i="10"/>
  <c r="Q169" i="10" s="1"/>
  <c r="A169" i="10"/>
  <c r="R168" i="10"/>
  <c r="S168" i="10" s="1"/>
  <c r="P168" i="10"/>
  <c r="J168" i="10"/>
  <c r="Q168" i="10" s="1"/>
  <c r="A168" i="10"/>
  <c r="S167" i="10"/>
  <c r="R167" i="10"/>
  <c r="P167" i="10"/>
  <c r="J167" i="10"/>
  <c r="Q167" i="10" s="1"/>
  <c r="A167" i="10"/>
  <c r="R166" i="10"/>
  <c r="S166" i="10" s="1"/>
  <c r="P166" i="10"/>
  <c r="J166" i="10"/>
  <c r="Q166" i="10" s="1"/>
  <c r="A166" i="10"/>
  <c r="S165" i="10"/>
  <c r="R165" i="10"/>
  <c r="P165" i="10"/>
  <c r="J165" i="10"/>
  <c r="Q165" i="10" s="1"/>
  <c r="A165" i="10"/>
  <c r="S164" i="10"/>
  <c r="R164" i="10"/>
  <c r="P164" i="10"/>
  <c r="J164" i="10"/>
  <c r="Q164" i="10" s="1"/>
  <c r="A164" i="10"/>
  <c r="S163" i="10"/>
  <c r="R163" i="10"/>
  <c r="P163" i="10"/>
  <c r="J163" i="10"/>
  <c r="Q163" i="10" s="1"/>
  <c r="A163" i="10"/>
  <c r="R162" i="10"/>
  <c r="S162" i="10" s="1"/>
  <c r="P162" i="10"/>
  <c r="J162" i="10"/>
  <c r="Q162" i="10" s="1"/>
  <c r="A162" i="10"/>
  <c r="S161" i="10"/>
  <c r="R161" i="10"/>
  <c r="P161" i="10"/>
  <c r="J161" i="10"/>
  <c r="Q161" i="10" s="1"/>
  <c r="A161" i="10"/>
  <c r="S160" i="10"/>
  <c r="R160" i="10"/>
  <c r="P160" i="10"/>
  <c r="J160" i="10"/>
  <c r="Q160" i="10" s="1"/>
  <c r="A160" i="10"/>
  <c r="S159" i="10"/>
  <c r="R159" i="10"/>
  <c r="P159" i="10"/>
  <c r="J159" i="10"/>
  <c r="Q159" i="10" s="1"/>
  <c r="A159" i="10"/>
  <c r="R158" i="10"/>
  <c r="S158" i="10" s="1"/>
  <c r="P158" i="10"/>
  <c r="J158" i="10"/>
  <c r="Q158" i="10" s="1"/>
  <c r="A158" i="10"/>
  <c r="R157" i="10"/>
  <c r="S157" i="10" s="1"/>
  <c r="P157" i="10"/>
  <c r="J157" i="10"/>
  <c r="Q157" i="10" s="1"/>
  <c r="A157" i="10"/>
  <c r="S156" i="10"/>
  <c r="R156" i="10"/>
  <c r="P156" i="10"/>
  <c r="J156" i="10"/>
  <c r="Q156" i="10" s="1"/>
  <c r="A156" i="10"/>
  <c r="S155" i="10"/>
  <c r="R155" i="10"/>
  <c r="P155" i="10"/>
  <c r="J155" i="10"/>
  <c r="Q155" i="10" s="1"/>
  <c r="A155" i="10"/>
  <c r="R154" i="10"/>
  <c r="S154" i="10" s="1"/>
  <c r="P154" i="10"/>
  <c r="J154" i="10"/>
  <c r="Q154" i="10" s="1"/>
  <c r="A154" i="10"/>
  <c r="R153" i="10"/>
  <c r="S153" i="10" s="1"/>
  <c r="P153" i="10"/>
  <c r="J153" i="10"/>
  <c r="Q153" i="10" s="1"/>
  <c r="A153" i="10"/>
  <c r="S152" i="10"/>
  <c r="R152" i="10"/>
  <c r="P152" i="10"/>
  <c r="J152" i="10"/>
  <c r="Q152" i="10" s="1"/>
  <c r="A152" i="10"/>
  <c r="S151" i="10"/>
  <c r="R151" i="10"/>
  <c r="P151" i="10"/>
  <c r="J151" i="10"/>
  <c r="Q151" i="10" s="1"/>
  <c r="A151" i="10"/>
  <c r="R150" i="10"/>
  <c r="S150" i="10" s="1"/>
  <c r="P150" i="10"/>
  <c r="J150" i="10"/>
  <c r="Q150" i="10" s="1"/>
  <c r="A150" i="10"/>
  <c r="R149" i="10"/>
  <c r="S149" i="10" s="1"/>
  <c r="P149" i="10"/>
  <c r="J149" i="10"/>
  <c r="Q149" i="10" s="1"/>
  <c r="A149" i="10"/>
  <c r="S148" i="10"/>
  <c r="R148" i="10"/>
  <c r="P148" i="10"/>
  <c r="J148" i="10"/>
  <c r="Q148" i="10" s="1"/>
  <c r="A148" i="10"/>
  <c r="S147" i="10"/>
  <c r="R147" i="10"/>
  <c r="P147" i="10"/>
  <c r="J147" i="10"/>
  <c r="Q147" i="10" s="1"/>
  <c r="A147" i="10"/>
  <c r="R146" i="10"/>
  <c r="S146" i="10" s="1"/>
  <c r="P146" i="10"/>
  <c r="J146" i="10"/>
  <c r="Q146" i="10" s="1"/>
  <c r="A146" i="10"/>
  <c r="R145" i="10"/>
  <c r="S145" i="10" s="1"/>
  <c r="P145" i="10"/>
  <c r="J145" i="10"/>
  <c r="Q145" i="10" s="1"/>
  <c r="A145" i="10"/>
  <c r="S144" i="10"/>
  <c r="R144" i="10"/>
  <c r="P144" i="10"/>
  <c r="J144" i="10"/>
  <c r="Q144" i="10" s="1"/>
  <c r="A144" i="10"/>
  <c r="S143" i="10"/>
  <c r="R143" i="10"/>
  <c r="P143" i="10"/>
  <c r="J143" i="10"/>
  <c r="Q143" i="10" s="1"/>
  <c r="A143" i="10"/>
  <c r="R142" i="10"/>
  <c r="S142" i="10" s="1"/>
  <c r="P142" i="10"/>
  <c r="J142" i="10"/>
  <c r="Q142" i="10" s="1"/>
  <c r="A142" i="10"/>
  <c r="R141" i="10"/>
  <c r="S141" i="10" s="1"/>
  <c r="P141" i="10"/>
  <c r="J141" i="10"/>
  <c r="Q141" i="10" s="1"/>
  <c r="A141" i="10"/>
  <c r="S140" i="10"/>
  <c r="R140" i="10"/>
  <c r="P140" i="10"/>
  <c r="J140" i="10"/>
  <c r="Q140" i="10" s="1"/>
  <c r="A140" i="10"/>
  <c r="S139" i="10"/>
  <c r="R139" i="10"/>
  <c r="P139" i="10"/>
  <c r="J139" i="10"/>
  <c r="Q139" i="10" s="1"/>
  <c r="A139" i="10"/>
  <c r="R138" i="10"/>
  <c r="S138" i="10" s="1"/>
  <c r="P138" i="10"/>
  <c r="J138" i="10"/>
  <c r="Q138" i="10" s="1"/>
  <c r="A138" i="10"/>
  <c r="R137" i="10"/>
  <c r="S137" i="10" s="1"/>
  <c r="P137" i="10"/>
  <c r="J137" i="10"/>
  <c r="Q137" i="10" s="1"/>
  <c r="A137" i="10"/>
  <c r="R136" i="10"/>
  <c r="S136" i="10" s="1"/>
  <c r="P136" i="10"/>
  <c r="J136" i="10"/>
  <c r="Q136" i="10" s="1"/>
  <c r="A136" i="10"/>
  <c r="R135" i="10"/>
  <c r="S135" i="10" s="1"/>
  <c r="P135" i="10"/>
  <c r="J135" i="10"/>
  <c r="Q135" i="10" s="1"/>
  <c r="A135" i="10"/>
  <c r="R134" i="10"/>
  <c r="S134" i="10" s="1"/>
  <c r="P134" i="10"/>
  <c r="J134" i="10"/>
  <c r="Q134" i="10" s="1"/>
  <c r="A134" i="10"/>
  <c r="R133" i="10"/>
  <c r="S133" i="10" s="1"/>
  <c r="P133" i="10"/>
  <c r="J133" i="10"/>
  <c r="Q133" i="10" s="1"/>
  <c r="A133" i="10"/>
  <c r="R132" i="10"/>
  <c r="S132" i="10" s="1"/>
  <c r="P132" i="10"/>
  <c r="J132" i="10"/>
  <c r="Q132" i="10" s="1"/>
  <c r="A132" i="10"/>
  <c r="R131" i="10"/>
  <c r="S131" i="10" s="1"/>
  <c r="P131" i="10"/>
  <c r="J131" i="10"/>
  <c r="Q131" i="10" s="1"/>
  <c r="A131" i="10"/>
  <c r="R130" i="10"/>
  <c r="S130" i="10" s="1"/>
  <c r="P130" i="10"/>
  <c r="J130" i="10"/>
  <c r="Q130" i="10" s="1"/>
  <c r="A130" i="10"/>
  <c r="R129" i="10"/>
  <c r="S129" i="10" s="1"/>
  <c r="P129" i="10"/>
  <c r="J129" i="10"/>
  <c r="Q129" i="10" s="1"/>
  <c r="A129" i="10"/>
  <c r="R128" i="10"/>
  <c r="S128" i="10" s="1"/>
  <c r="P128" i="10"/>
  <c r="J128" i="10"/>
  <c r="Q128" i="10" s="1"/>
  <c r="A128" i="10"/>
  <c r="R127" i="10"/>
  <c r="S127" i="10" s="1"/>
  <c r="P127" i="10"/>
  <c r="J127" i="10"/>
  <c r="Q127" i="10" s="1"/>
  <c r="A127" i="10"/>
  <c r="R126" i="10"/>
  <c r="S126" i="10" s="1"/>
  <c r="P126" i="10"/>
  <c r="J126" i="10"/>
  <c r="Q126" i="10" s="1"/>
  <c r="A126" i="10"/>
  <c r="R125" i="10"/>
  <c r="S125" i="10" s="1"/>
  <c r="P125" i="10"/>
  <c r="J125" i="10"/>
  <c r="Q125" i="10" s="1"/>
  <c r="A125" i="10"/>
  <c r="R124" i="10"/>
  <c r="S124" i="10" s="1"/>
  <c r="P124" i="10"/>
  <c r="J124" i="10"/>
  <c r="Q124" i="10" s="1"/>
  <c r="A124" i="10"/>
  <c r="R123" i="10"/>
  <c r="S123" i="10" s="1"/>
  <c r="P123" i="10"/>
  <c r="J123" i="10"/>
  <c r="Q123" i="10" s="1"/>
  <c r="A123" i="10"/>
  <c r="S122" i="10"/>
  <c r="R122" i="10"/>
  <c r="P122" i="10"/>
  <c r="J122" i="10"/>
  <c r="Q122" i="10" s="1"/>
  <c r="A122" i="10"/>
  <c r="R121" i="10"/>
  <c r="S121" i="10" s="1"/>
  <c r="P121" i="10"/>
  <c r="J121" i="10"/>
  <c r="Q121" i="10" s="1"/>
  <c r="A121" i="10"/>
  <c r="R120" i="10"/>
  <c r="S120" i="10" s="1"/>
  <c r="P120" i="10"/>
  <c r="J120" i="10"/>
  <c r="Q120" i="10" s="1"/>
  <c r="A120" i="10"/>
  <c r="R119" i="10"/>
  <c r="S119" i="10" s="1"/>
  <c r="P119" i="10"/>
  <c r="J119" i="10"/>
  <c r="Q119" i="10" s="1"/>
  <c r="A119" i="10"/>
  <c r="S118" i="10"/>
  <c r="R118" i="10"/>
  <c r="P118" i="10"/>
  <c r="J118" i="10"/>
  <c r="Q118" i="10" s="1"/>
  <c r="A118" i="10"/>
  <c r="R117" i="10"/>
  <c r="S117" i="10" s="1"/>
  <c r="P117" i="10"/>
  <c r="J117" i="10"/>
  <c r="Q117" i="10" s="1"/>
  <c r="A117" i="10"/>
  <c r="R116" i="10"/>
  <c r="S116" i="10" s="1"/>
  <c r="P116" i="10"/>
  <c r="J116" i="10"/>
  <c r="Q116" i="10" s="1"/>
  <c r="A116" i="10"/>
  <c r="R115" i="10"/>
  <c r="S115" i="10" s="1"/>
  <c r="P115" i="10"/>
  <c r="J115" i="10"/>
  <c r="Q115" i="10" s="1"/>
  <c r="A115" i="10"/>
  <c r="S114" i="10"/>
  <c r="R114" i="10"/>
  <c r="P114" i="10"/>
  <c r="J114" i="10"/>
  <c r="Q114" i="10" s="1"/>
  <c r="A114" i="10"/>
  <c r="R113" i="10"/>
  <c r="S113" i="10" s="1"/>
  <c r="P113" i="10"/>
  <c r="J113" i="10"/>
  <c r="Q113" i="10" s="1"/>
  <c r="A113" i="10"/>
  <c r="R112" i="10"/>
  <c r="S112" i="10" s="1"/>
  <c r="P112" i="10"/>
  <c r="J112" i="10"/>
  <c r="Q112" i="10" s="1"/>
  <c r="A112" i="10"/>
  <c r="R111" i="10"/>
  <c r="S111" i="10" s="1"/>
  <c r="P111" i="10"/>
  <c r="J111" i="10"/>
  <c r="Q111" i="10" s="1"/>
  <c r="A111" i="10"/>
  <c r="S110" i="10"/>
  <c r="R110" i="10"/>
  <c r="P110" i="10"/>
  <c r="J110" i="10"/>
  <c r="Q110" i="10" s="1"/>
  <c r="A110" i="10"/>
  <c r="R109" i="10"/>
  <c r="S109" i="10" s="1"/>
  <c r="P109" i="10"/>
  <c r="J109" i="10"/>
  <c r="Q109" i="10" s="1"/>
  <c r="A109" i="10"/>
  <c r="R108" i="10"/>
  <c r="S108" i="10" s="1"/>
  <c r="P108" i="10"/>
  <c r="J108" i="10"/>
  <c r="Q108" i="10" s="1"/>
  <c r="A108" i="10"/>
  <c r="R107" i="10"/>
  <c r="S107" i="10" s="1"/>
  <c r="P107" i="10"/>
  <c r="J107" i="10"/>
  <c r="Q107" i="10" s="1"/>
  <c r="A107" i="10"/>
  <c r="S106" i="10"/>
  <c r="R106" i="10"/>
  <c r="P106" i="10"/>
  <c r="J106" i="10"/>
  <c r="Q106" i="10" s="1"/>
  <c r="A106" i="10"/>
  <c r="R105" i="10"/>
  <c r="S105" i="10" s="1"/>
  <c r="P105" i="10"/>
  <c r="J105" i="10"/>
  <c r="Q105" i="10" s="1"/>
  <c r="A105" i="10"/>
  <c r="R104" i="10"/>
  <c r="S104" i="10" s="1"/>
  <c r="P104" i="10"/>
  <c r="J104" i="10"/>
  <c r="Q104" i="10" s="1"/>
  <c r="A104" i="10"/>
  <c r="R103" i="10"/>
  <c r="S103" i="10" s="1"/>
  <c r="P103" i="10"/>
  <c r="J103" i="10"/>
  <c r="Q103" i="10" s="1"/>
  <c r="A103" i="10"/>
  <c r="S102" i="10"/>
  <c r="R102" i="10"/>
  <c r="P102" i="10"/>
  <c r="J102" i="10"/>
  <c r="Q102" i="10" s="1"/>
  <c r="A102" i="10"/>
  <c r="R101" i="10"/>
  <c r="S101" i="10" s="1"/>
  <c r="P101" i="10"/>
  <c r="J101" i="10"/>
  <c r="Q101" i="10" s="1"/>
  <c r="A101" i="10"/>
  <c r="R100" i="10"/>
  <c r="S100" i="10" s="1"/>
  <c r="P100" i="10"/>
  <c r="J100" i="10"/>
  <c r="Q100" i="10" s="1"/>
  <c r="A100" i="10"/>
  <c r="R99" i="10"/>
  <c r="S99" i="10" s="1"/>
  <c r="P99" i="10"/>
  <c r="J99" i="10"/>
  <c r="Q99" i="10" s="1"/>
  <c r="A99" i="10"/>
  <c r="S98" i="10"/>
  <c r="R98" i="10"/>
  <c r="P98" i="10"/>
  <c r="J98" i="10"/>
  <c r="Q98" i="10" s="1"/>
  <c r="A98" i="10"/>
  <c r="R97" i="10"/>
  <c r="S97" i="10" s="1"/>
  <c r="P97" i="10"/>
  <c r="J97" i="10"/>
  <c r="Q97" i="10" s="1"/>
  <c r="A97" i="10"/>
  <c r="R96" i="10"/>
  <c r="S96" i="10" s="1"/>
  <c r="P96" i="10"/>
  <c r="J96" i="10"/>
  <c r="Q96" i="10" s="1"/>
  <c r="A96" i="10"/>
  <c r="R95" i="10"/>
  <c r="S95" i="10" s="1"/>
  <c r="P95" i="10"/>
  <c r="J95" i="10"/>
  <c r="Q95" i="10" s="1"/>
  <c r="A95" i="10"/>
  <c r="S94" i="10"/>
  <c r="R94" i="10"/>
  <c r="P94" i="10"/>
  <c r="J94" i="10"/>
  <c r="Q94" i="10" s="1"/>
  <c r="A94" i="10"/>
  <c r="R93" i="10"/>
  <c r="S93" i="10" s="1"/>
  <c r="P93" i="10"/>
  <c r="J93" i="10"/>
  <c r="Q93" i="10" s="1"/>
  <c r="A93" i="10"/>
  <c r="R92" i="10"/>
  <c r="S92" i="10" s="1"/>
  <c r="P92" i="10"/>
  <c r="J92" i="10"/>
  <c r="Q92" i="10" s="1"/>
  <c r="A92" i="10"/>
  <c r="R91" i="10"/>
  <c r="S91" i="10" s="1"/>
  <c r="P91" i="10"/>
  <c r="J91" i="10"/>
  <c r="Q91" i="10" s="1"/>
  <c r="A91" i="10"/>
  <c r="S90" i="10"/>
  <c r="R90" i="10"/>
  <c r="P90" i="10"/>
  <c r="J90" i="10"/>
  <c r="Q90" i="10" s="1"/>
  <c r="A90" i="10"/>
  <c r="R89" i="10"/>
  <c r="S89" i="10" s="1"/>
  <c r="P89" i="10"/>
  <c r="J89" i="10"/>
  <c r="Q89" i="10" s="1"/>
  <c r="A89" i="10"/>
  <c r="R88" i="10"/>
  <c r="S88" i="10" s="1"/>
  <c r="P88" i="10"/>
  <c r="J88" i="10"/>
  <c r="Q88" i="10" s="1"/>
  <c r="A88" i="10"/>
  <c r="R87" i="10"/>
  <c r="S87" i="10" s="1"/>
  <c r="P87" i="10"/>
  <c r="J87" i="10"/>
  <c r="Q87" i="10" s="1"/>
  <c r="A87" i="10"/>
  <c r="S86" i="10"/>
  <c r="R86" i="10"/>
  <c r="P86" i="10"/>
  <c r="J86" i="10"/>
  <c r="Q86" i="10" s="1"/>
  <c r="A86" i="10"/>
  <c r="R85" i="10"/>
  <c r="S85" i="10" s="1"/>
  <c r="P85" i="10"/>
  <c r="J85" i="10"/>
  <c r="Q85" i="10" s="1"/>
  <c r="A85" i="10"/>
  <c r="R84" i="10"/>
  <c r="S84" i="10" s="1"/>
  <c r="P84" i="10"/>
  <c r="J84" i="10"/>
  <c r="Q84" i="10" s="1"/>
  <c r="A84" i="10"/>
  <c r="R83" i="10"/>
  <c r="S83" i="10" s="1"/>
  <c r="P83" i="10"/>
  <c r="J83" i="10"/>
  <c r="Q83" i="10" s="1"/>
  <c r="A83" i="10"/>
  <c r="S82" i="10"/>
  <c r="R82" i="10"/>
  <c r="P82" i="10"/>
  <c r="J82" i="10"/>
  <c r="Q82" i="10" s="1"/>
  <c r="A82" i="10"/>
  <c r="R81" i="10"/>
  <c r="S81" i="10" s="1"/>
  <c r="P81" i="10"/>
  <c r="J81" i="10"/>
  <c r="Q81" i="10" s="1"/>
  <c r="A81" i="10"/>
  <c r="R80" i="10"/>
  <c r="S80" i="10" s="1"/>
  <c r="P80" i="10"/>
  <c r="J80" i="10"/>
  <c r="Q80" i="10" s="1"/>
  <c r="A80" i="10"/>
  <c r="R79" i="10"/>
  <c r="S79" i="10" s="1"/>
  <c r="P79" i="10"/>
  <c r="J79" i="10"/>
  <c r="Q79" i="10" s="1"/>
  <c r="A79" i="10"/>
  <c r="S78" i="10"/>
  <c r="R78" i="10"/>
  <c r="P78" i="10"/>
  <c r="J78" i="10"/>
  <c r="Q78" i="10" s="1"/>
  <c r="A78" i="10"/>
  <c r="R77" i="10"/>
  <c r="S77" i="10" s="1"/>
  <c r="P77" i="10"/>
  <c r="J77" i="10"/>
  <c r="Q77" i="10" s="1"/>
  <c r="A77" i="10"/>
  <c r="R76" i="10"/>
  <c r="S76" i="10" s="1"/>
  <c r="P76" i="10"/>
  <c r="J76" i="10"/>
  <c r="Q76" i="10" s="1"/>
  <c r="A76" i="10"/>
  <c r="R75" i="10"/>
  <c r="S75" i="10" s="1"/>
  <c r="P75" i="10"/>
  <c r="J75" i="10"/>
  <c r="Q75" i="10" s="1"/>
  <c r="A75" i="10"/>
  <c r="S74" i="10"/>
  <c r="R74" i="10"/>
  <c r="P74" i="10"/>
  <c r="J74" i="10"/>
  <c r="Q74" i="10" s="1"/>
  <c r="A74" i="10"/>
  <c r="R73" i="10"/>
  <c r="S73" i="10" s="1"/>
  <c r="P73" i="10"/>
  <c r="J73" i="10"/>
  <c r="Q73" i="10" s="1"/>
  <c r="A73" i="10"/>
  <c r="R72" i="10"/>
  <c r="S72" i="10" s="1"/>
  <c r="P72" i="10"/>
  <c r="J72" i="10"/>
  <c r="Q72" i="10" s="1"/>
  <c r="A72" i="10"/>
  <c r="R71" i="10"/>
  <c r="S71" i="10" s="1"/>
  <c r="P71" i="10"/>
  <c r="J71" i="10"/>
  <c r="Q71" i="10" s="1"/>
  <c r="A71" i="10"/>
  <c r="S70" i="10"/>
  <c r="R70" i="10"/>
  <c r="P70" i="10"/>
  <c r="J70" i="10"/>
  <c r="Q70" i="10" s="1"/>
  <c r="A70" i="10"/>
  <c r="R69" i="10"/>
  <c r="S69" i="10" s="1"/>
  <c r="P69" i="10"/>
  <c r="J69" i="10"/>
  <c r="Q69" i="10" s="1"/>
  <c r="A69" i="10"/>
  <c r="R68" i="10"/>
  <c r="S68" i="10" s="1"/>
  <c r="P68" i="10"/>
  <c r="J68" i="10"/>
  <c r="Q68" i="10" s="1"/>
  <c r="A68" i="10"/>
  <c r="R67" i="10"/>
  <c r="S67" i="10" s="1"/>
  <c r="P67" i="10"/>
  <c r="J67" i="10"/>
  <c r="Q67" i="10" s="1"/>
  <c r="A67" i="10"/>
  <c r="S66" i="10"/>
  <c r="R66" i="10"/>
  <c r="P66" i="10"/>
  <c r="J66" i="10"/>
  <c r="Q66" i="10" s="1"/>
  <c r="A66" i="10"/>
  <c r="R65" i="10"/>
  <c r="S65" i="10" s="1"/>
  <c r="P65" i="10"/>
  <c r="J65" i="10"/>
  <c r="Q65" i="10" s="1"/>
  <c r="A65" i="10"/>
  <c r="R64" i="10"/>
  <c r="S64" i="10" s="1"/>
  <c r="P64" i="10"/>
  <c r="J64" i="10"/>
  <c r="Q64" i="10" s="1"/>
  <c r="A64" i="10"/>
  <c r="R63" i="10"/>
  <c r="S63" i="10" s="1"/>
  <c r="P63" i="10"/>
  <c r="J63" i="10"/>
  <c r="Q63" i="10" s="1"/>
  <c r="A63" i="10"/>
  <c r="S62" i="10"/>
  <c r="R62" i="10"/>
  <c r="P62" i="10"/>
  <c r="J62" i="10"/>
  <c r="Q62" i="10" s="1"/>
  <c r="A62" i="10"/>
  <c r="R61" i="10"/>
  <c r="S61" i="10" s="1"/>
  <c r="P61" i="10"/>
  <c r="J61" i="10"/>
  <c r="Q61" i="10" s="1"/>
  <c r="A61" i="10"/>
  <c r="R60" i="10"/>
  <c r="S60" i="10" s="1"/>
  <c r="P60" i="10"/>
  <c r="J60" i="10"/>
  <c r="Q60" i="10" s="1"/>
  <c r="A60" i="10"/>
  <c r="R59" i="10"/>
  <c r="S59" i="10" s="1"/>
  <c r="P59" i="10"/>
  <c r="J59" i="10"/>
  <c r="Q59" i="10" s="1"/>
  <c r="A59" i="10"/>
  <c r="S58" i="10"/>
  <c r="R58" i="10"/>
  <c r="P58" i="10"/>
  <c r="J58" i="10"/>
  <c r="Q58" i="10" s="1"/>
  <c r="A58" i="10"/>
  <c r="R57" i="10"/>
  <c r="S57" i="10" s="1"/>
  <c r="P57" i="10"/>
  <c r="J57" i="10"/>
  <c r="Q57" i="10" s="1"/>
  <c r="A57" i="10"/>
  <c r="R56" i="10"/>
  <c r="S56" i="10" s="1"/>
  <c r="P56" i="10"/>
  <c r="J56" i="10"/>
  <c r="Q56" i="10" s="1"/>
  <c r="A56" i="10"/>
  <c r="R55" i="10"/>
  <c r="S55" i="10" s="1"/>
  <c r="P55" i="10"/>
  <c r="J55" i="10"/>
  <c r="Q55" i="10" s="1"/>
  <c r="A55" i="10"/>
  <c r="S54" i="10"/>
  <c r="R54" i="10"/>
  <c r="P54" i="10"/>
  <c r="J54" i="10"/>
  <c r="Q54" i="10" s="1"/>
  <c r="A54" i="10"/>
  <c r="R53" i="10"/>
  <c r="S53" i="10" s="1"/>
  <c r="P53" i="10"/>
  <c r="J53" i="10"/>
  <c r="Q53" i="10" s="1"/>
  <c r="A53" i="10"/>
  <c r="R52" i="10"/>
  <c r="S52" i="10" s="1"/>
  <c r="P52" i="10"/>
  <c r="J52" i="10"/>
  <c r="Q52" i="10" s="1"/>
  <c r="A52" i="10"/>
  <c r="R51" i="10"/>
  <c r="S51" i="10" s="1"/>
  <c r="P51" i="10"/>
  <c r="J51" i="10"/>
  <c r="Q51" i="10" s="1"/>
  <c r="A51" i="10"/>
  <c r="S50" i="10"/>
  <c r="R50" i="10"/>
  <c r="P50" i="10"/>
  <c r="J50" i="10"/>
  <c r="Q50" i="10" s="1"/>
  <c r="A50" i="10"/>
  <c r="R49" i="10"/>
  <c r="S49" i="10" s="1"/>
  <c r="P49" i="10"/>
  <c r="J49" i="10"/>
  <c r="Q49" i="10" s="1"/>
  <c r="A49" i="10"/>
  <c r="R48" i="10"/>
  <c r="S48" i="10" s="1"/>
  <c r="P48" i="10"/>
  <c r="J48" i="10"/>
  <c r="Q48" i="10" s="1"/>
  <c r="A48" i="10"/>
  <c r="R47" i="10"/>
  <c r="S47" i="10" s="1"/>
  <c r="P47" i="10"/>
  <c r="J47" i="10"/>
  <c r="Q47" i="10" s="1"/>
  <c r="A47" i="10"/>
  <c r="S46" i="10"/>
  <c r="R46" i="10"/>
  <c r="P46" i="10"/>
  <c r="J46" i="10"/>
  <c r="Q46" i="10" s="1"/>
  <c r="A46" i="10"/>
  <c r="R45" i="10"/>
  <c r="S45" i="10" s="1"/>
  <c r="P45" i="10"/>
  <c r="J45" i="10"/>
  <c r="Q45" i="10" s="1"/>
  <c r="A45" i="10"/>
  <c r="R44" i="10"/>
  <c r="S44" i="10" s="1"/>
  <c r="P44" i="10"/>
  <c r="J44" i="10"/>
  <c r="Q44" i="10" s="1"/>
  <c r="A44" i="10"/>
  <c r="R43" i="10"/>
  <c r="S43" i="10" s="1"/>
  <c r="P43" i="10"/>
  <c r="J43" i="10"/>
  <c r="Q43" i="10" s="1"/>
  <c r="A43" i="10"/>
  <c r="S42" i="10"/>
  <c r="R42" i="10"/>
  <c r="P42" i="10"/>
  <c r="J42" i="10"/>
  <c r="Q42" i="10" s="1"/>
  <c r="A42" i="10"/>
  <c r="R41" i="10"/>
  <c r="S41" i="10" s="1"/>
  <c r="P41" i="10"/>
  <c r="J41" i="10"/>
  <c r="Q41" i="10" s="1"/>
  <c r="A41" i="10"/>
  <c r="R40" i="10"/>
  <c r="S40" i="10" s="1"/>
  <c r="P40" i="10"/>
  <c r="J40" i="10"/>
  <c r="Q40" i="10" s="1"/>
  <c r="A40" i="10"/>
  <c r="R39" i="10"/>
  <c r="S39" i="10" s="1"/>
  <c r="P39" i="10"/>
  <c r="J39" i="10"/>
  <c r="Q39" i="10" s="1"/>
  <c r="A39" i="10"/>
  <c r="S38" i="10"/>
  <c r="R38" i="10"/>
  <c r="P38" i="10"/>
  <c r="J38" i="10"/>
  <c r="Q38" i="10" s="1"/>
  <c r="A38" i="10"/>
  <c r="R37" i="10"/>
  <c r="S37" i="10" s="1"/>
  <c r="P37" i="10"/>
  <c r="J37" i="10"/>
  <c r="Q37" i="10" s="1"/>
  <c r="A37" i="10"/>
  <c r="R36" i="10"/>
  <c r="S36" i="10" s="1"/>
  <c r="P36" i="10"/>
  <c r="J36" i="10"/>
  <c r="Q36" i="10" s="1"/>
  <c r="A36" i="10"/>
  <c r="R35" i="10"/>
  <c r="S35" i="10" s="1"/>
  <c r="P35" i="10"/>
  <c r="J35" i="10"/>
  <c r="Q35" i="10" s="1"/>
  <c r="A35" i="10"/>
  <c r="S34" i="10"/>
  <c r="R34" i="10"/>
  <c r="P34" i="10"/>
  <c r="J34" i="10"/>
  <c r="Q34" i="10" s="1"/>
  <c r="A34" i="10"/>
  <c r="R33" i="10"/>
  <c r="S33" i="10" s="1"/>
  <c r="P33" i="10"/>
  <c r="J33" i="10"/>
  <c r="Q33" i="10" s="1"/>
  <c r="A33" i="10"/>
  <c r="R32" i="10"/>
  <c r="S32" i="10" s="1"/>
  <c r="P32" i="10"/>
  <c r="J32" i="10"/>
  <c r="Q32" i="10" s="1"/>
  <c r="A32" i="10"/>
  <c r="R31" i="10"/>
  <c r="S31" i="10" s="1"/>
  <c r="P31" i="10"/>
  <c r="J31" i="10"/>
  <c r="Q31" i="10" s="1"/>
  <c r="A31" i="10"/>
  <c r="S30" i="10"/>
  <c r="R30" i="10"/>
  <c r="P30" i="10"/>
  <c r="J30" i="10"/>
  <c r="Q30" i="10" s="1"/>
  <c r="A30" i="10"/>
  <c r="R29" i="10"/>
  <c r="S29" i="10" s="1"/>
  <c r="P29" i="10"/>
  <c r="J29" i="10"/>
  <c r="Q29" i="10" s="1"/>
  <c r="A29" i="10"/>
  <c r="R28" i="10"/>
  <c r="S28" i="10" s="1"/>
  <c r="P28" i="10"/>
  <c r="J28" i="10"/>
  <c r="Q28" i="10" s="1"/>
  <c r="A28" i="10"/>
  <c r="R27" i="10"/>
  <c r="S27" i="10" s="1"/>
  <c r="P27" i="10"/>
  <c r="J27" i="10"/>
  <c r="Q27" i="10" s="1"/>
  <c r="A27" i="10"/>
  <c r="S26" i="10"/>
  <c r="R26" i="10"/>
  <c r="P26" i="10"/>
  <c r="J26" i="10"/>
  <c r="Q26" i="10" s="1"/>
  <c r="A26" i="10"/>
  <c r="R25" i="10"/>
  <c r="S25" i="10" s="1"/>
  <c r="P25" i="10"/>
  <c r="J25" i="10"/>
  <c r="Q25" i="10" s="1"/>
  <c r="A25" i="10"/>
  <c r="R24" i="10"/>
  <c r="S24" i="10" s="1"/>
  <c r="P24" i="10"/>
  <c r="J24" i="10"/>
  <c r="Q24" i="10" s="1"/>
  <c r="A24" i="10"/>
  <c r="R23" i="10"/>
  <c r="S23" i="10" s="1"/>
  <c r="P23" i="10"/>
  <c r="J23" i="10"/>
  <c r="Q23" i="10" s="1"/>
  <c r="A23" i="10"/>
  <c r="S22" i="10"/>
  <c r="R22" i="10"/>
  <c r="P22" i="10"/>
  <c r="J22" i="10"/>
  <c r="Q22" i="10" s="1"/>
  <c r="A22" i="10"/>
  <c r="R21" i="10"/>
  <c r="S21" i="10" s="1"/>
  <c r="P21" i="10"/>
  <c r="J21" i="10"/>
  <c r="Q21" i="10" s="1"/>
  <c r="A21" i="10"/>
  <c r="R20" i="10"/>
  <c r="S20" i="10" s="1"/>
  <c r="P20" i="10"/>
  <c r="J20" i="10"/>
  <c r="Q20" i="10" s="1"/>
  <c r="A20" i="10"/>
  <c r="R19" i="10"/>
  <c r="S19" i="10" s="1"/>
  <c r="P19" i="10"/>
  <c r="J19" i="10"/>
  <c r="Q19" i="10" s="1"/>
  <c r="A19" i="10"/>
  <c r="S18" i="10"/>
  <c r="R18" i="10"/>
  <c r="P18" i="10"/>
  <c r="J18" i="10"/>
  <c r="Q18" i="10" s="1"/>
  <c r="A18" i="10"/>
  <c r="R17" i="10"/>
  <c r="S17" i="10" s="1"/>
  <c r="P17" i="10"/>
  <c r="J17" i="10"/>
  <c r="Q17" i="10" s="1"/>
  <c r="A17" i="10"/>
  <c r="R16" i="10"/>
  <c r="S16" i="10" s="1"/>
  <c r="P16" i="10"/>
  <c r="J16" i="10"/>
  <c r="Q16" i="10" s="1"/>
  <c r="A16" i="10"/>
  <c r="R15" i="10"/>
  <c r="S15" i="10" s="1"/>
  <c r="P15" i="10"/>
  <c r="J15" i="10"/>
  <c r="Q15" i="10" s="1"/>
  <c r="A15" i="10"/>
  <c r="S14" i="10"/>
  <c r="R14" i="10"/>
  <c r="P14" i="10"/>
  <c r="J14" i="10"/>
  <c r="Q14" i="10" s="1"/>
  <c r="A14" i="10"/>
  <c r="R13" i="10"/>
  <c r="S13" i="10" s="1"/>
  <c r="P13" i="10"/>
  <c r="J13" i="10"/>
  <c r="Q13" i="10" s="1"/>
  <c r="A13" i="10"/>
  <c r="R12" i="10"/>
  <c r="S12" i="10" s="1"/>
  <c r="P12" i="10"/>
  <c r="J12" i="10"/>
  <c r="Q12" i="10" s="1"/>
  <c r="A12" i="10"/>
  <c r="R11" i="10"/>
  <c r="S11" i="10" s="1"/>
  <c r="P11" i="10"/>
  <c r="J11" i="10"/>
  <c r="Q11" i="10" s="1"/>
  <c r="A11" i="10"/>
  <c r="S10" i="10"/>
  <c r="R10" i="10"/>
  <c r="P10" i="10"/>
  <c r="J10" i="10"/>
  <c r="Q10" i="10" s="1"/>
  <c r="A10" i="10"/>
  <c r="P9" i="10"/>
  <c r="J9" i="10"/>
  <c r="Q9" i="10" s="1"/>
  <c r="R9" i="10" s="1"/>
  <c r="S9" i="10" s="1"/>
  <c r="P8" i="10"/>
  <c r="J8" i="10"/>
  <c r="Q8" i="10" s="1"/>
  <c r="P7" i="10"/>
  <c r="J7" i="10"/>
  <c r="Q7" i="10" s="1"/>
  <c r="C4" i="10"/>
  <c r="A4" i="10"/>
  <c r="B10" i="6"/>
  <c r="H7" i="5"/>
  <c r="E7" i="5"/>
  <c r="B7" i="5"/>
  <c r="H6" i="5"/>
  <c r="E6" i="5"/>
  <c r="H5" i="5"/>
  <c r="E5" i="5"/>
  <c r="H4" i="5"/>
  <c r="E4" i="5"/>
  <c r="B4" i="5"/>
  <c r="P5" i="4"/>
  <c r="O5" i="4"/>
  <c r="L5" i="4"/>
  <c r="J5" i="4"/>
  <c r="C5" i="4"/>
  <c r="F12" i="5" s="1"/>
  <c r="P4" i="4"/>
  <c r="P7" i="4" s="1"/>
  <c r="O4" i="4"/>
  <c r="O7" i="4" s="1"/>
  <c r="L4" i="4"/>
  <c r="J4" i="4"/>
  <c r="J7" i="4" s="1"/>
  <c r="C4" i="4"/>
  <c r="F11" i="5" s="1"/>
  <c r="B21" i="3"/>
  <c r="C15" i="3"/>
  <c r="K5" i="5" s="1"/>
  <c r="B15" i="3"/>
  <c r="K4" i="5" s="1"/>
  <c r="F13" i="3"/>
  <c r="E13" i="3"/>
  <c r="D13" i="3"/>
  <c r="E12" i="3"/>
  <c r="F12" i="3" s="1"/>
  <c r="D12" i="3"/>
  <c r="E11" i="3"/>
  <c r="F11" i="3" s="1"/>
  <c r="D11" i="3"/>
  <c r="E10" i="3"/>
  <c r="F10" i="3" s="1"/>
  <c r="D10" i="3"/>
  <c r="E9" i="3"/>
  <c r="F9" i="3" s="1"/>
  <c r="D9" i="3"/>
  <c r="E8" i="3"/>
  <c r="F8" i="3" s="1"/>
  <c r="D8" i="3"/>
  <c r="F7" i="3"/>
  <c r="E7" i="3"/>
  <c r="D7" i="3"/>
  <c r="F6" i="3"/>
  <c r="E6" i="3"/>
  <c r="D6" i="3"/>
  <c r="E5" i="3"/>
  <c r="F5" i="3" s="1"/>
  <c r="D5" i="3"/>
  <c r="F4" i="3"/>
  <c r="E4" i="3"/>
  <c r="D4" i="3"/>
  <c r="AD303" i="2"/>
  <c r="AC303" i="2"/>
  <c r="X303" i="2"/>
  <c r="V303" i="2"/>
  <c r="W303" i="2" s="1"/>
  <c r="U303" i="2"/>
  <c r="Q303" i="2"/>
  <c r="P303" i="2"/>
  <c r="M303" i="2"/>
  <c r="L303" i="2"/>
  <c r="K303" i="2"/>
  <c r="J303" i="2"/>
  <c r="I303" i="2"/>
  <c r="O303" i="2" s="1"/>
  <c r="A303" i="2"/>
  <c r="AD302" i="2"/>
  <c r="AC302" i="2"/>
  <c r="X302" i="2"/>
  <c r="V302" i="2"/>
  <c r="W302" i="2" s="1"/>
  <c r="U302" i="2"/>
  <c r="Q302" i="2"/>
  <c r="P302" i="2"/>
  <c r="M302" i="2"/>
  <c r="L302" i="2"/>
  <c r="K302" i="2"/>
  <c r="J302" i="2"/>
  <c r="I302" i="2"/>
  <c r="O302" i="2" s="1"/>
  <c r="A302" i="2"/>
  <c r="AD301" i="2"/>
  <c r="AC301" i="2"/>
  <c r="X301" i="2"/>
  <c r="V301" i="2"/>
  <c r="W301" i="2" s="1"/>
  <c r="U301" i="2"/>
  <c r="Q301" i="2"/>
  <c r="P301" i="2"/>
  <c r="M301" i="2"/>
  <c r="L301" i="2"/>
  <c r="K301" i="2"/>
  <c r="J301" i="2"/>
  <c r="I301" i="2"/>
  <c r="O301" i="2" s="1"/>
  <c r="A301" i="2"/>
  <c r="AD300" i="2"/>
  <c r="AC300" i="2"/>
  <c r="X300" i="2"/>
  <c r="V300" i="2"/>
  <c r="W300" i="2" s="1"/>
  <c r="U300" i="2"/>
  <c r="Q300" i="2"/>
  <c r="P300" i="2"/>
  <c r="M300" i="2"/>
  <c r="L300" i="2"/>
  <c r="K300" i="2"/>
  <c r="J300" i="2"/>
  <c r="I300" i="2"/>
  <c r="O300" i="2" s="1"/>
  <c r="A300" i="2"/>
  <c r="AD299" i="2"/>
  <c r="AC299" i="2"/>
  <c r="X299" i="2"/>
  <c r="W299" i="2"/>
  <c r="V299" i="2"/>
  <c r="U299" i="2"/>
  <c r="Q299" i="2"/>
  <c r="P299" i="2"/>
  <c r="M299" i="2"/>
  <c r="L299" i="2"/>
  <c r="K299" i="2"/>
  <c r="J299" i="2"/>
  <c r="I299" i="2"/>
  <c r="O299" i="2" s="1"/>
  <c r="A299" i="2"/>
  <c r="AD298" i="2"/>
  <c r="AC298" i="2"/>
  <c r="X298" i="2"/>
  <c r="V298" i="2"/>
  <c r="W298" i="2" s="1"/>
  <c r="U298" i="2"/>
  <c r="Q298" i="2"/>
  <c r="P298" i="2"/>
  <c r="M298" i="2"/>
  <c r="L298" i="2"/>
  <c r="K298" i="2"/>
  <c r="J298" i="2"/>
  <c r="I298" i="2"/>
  <c r="O298" i="2" s="1"/>
  <c r="A298" i="2"/>
  <c r="AD297" i="2"/>
  <c r="AC297" i="2"/>
  <c r="X297" i="2"/>
  <c r="V297" i="2"/>
  <c r="W297" i="2" s="1"/>
  <c r="U297" i="2"/>
  <c r="Q297" i="2"/>
  <c r="P297" i="2"/>
  <c r="M297" i="2"/>
  <c r="L297" i="2"/>
  <c r="K297" i="2"/>
  <c r="J297" i="2"/>
  <c r="I297" i="2"/>
  <c r="O297" i="2" s="1"/>
  <c r="A297" i="2"/>
  <c r="AD296" i="2"/>
  <c r="AC296" i="2"/>
  <c r="X296" i="2"/>
  <c r="V296" i="2"/>
  <c r="W296" i="2" s="1"/>
  <c r="U296" i="2"/>
  <c r="Q296" i="2"/>
  <c r="P296" i="2"/>
  <c r="M296" i="2"/>
  <c r="L296" i="2"/>
  <c r="K296" i="2"/>
  <c r="J296" i="2"/>
  <c r="I296" i="2"/>
  <c r="O296" i="2" s="1"/>
  <c r="A296" i="2"/>
  <c r="AD295" i="2"/>
  <c r="AC295" i="2"/>
  <c r="X295" i="2"/>
  <c r="W295" i="2"/>
  <c r="V295" i="2"/>
  <c r="U295" i="2"/>
  <c r="Q295" i="2"/>
  <c r="P295" i="2"/>
  <c r="M295" i="2"/>
  <c r="L295" i="2"/>
  <c r="K295" i="2"/>
  <c r="J295" i="2"/>
  <c r="I295" i="2"/>
  <c r="O295" i="2" s="1"/>
  <c r="A295" i="2"/>
  <c r="AD294" i="2"/>
  <c r="AC294" i="2"/>
  <c r="X294" i="2"/>
  <c r="V294" i="2"/>
  <c r="W294" i="2" s="1"/>
  <c r="U294" i="2"/>
  <c r="Q294" i="2"/>
  <c r="P294" i="2"/>
  <c r="M294" i="2"/>
  <c r="L294" i="2"/>
  <c r="K294" i="2"/>
  <c r="J294" i="2"/>
  <c r="I294" i="2"/>
  <c r="O294" i="2" s="1"/>
  <c r="A294" i="2"/>
  <c r="AD293" i="2"/>
  <c r="AC293" i="2"/>
  <c r="X293" i="2"/>
  <c r="V293" i="2"/>
  <c r="W293" i="2" s="1"/>
  <c r="U293" i="2"/>
  <c r="Q293" i="2"/>
  <c r="P293" i="2"/>
  <c r="M293" i="2"/>
  <c r="L293" i="2"/>
  <c r="K293" i="2"/>
  <c r="J293" i="2"/>
  <c r="I293" i="2"/>
  <c r="O293" i="2" s="1"/>
  <c r="A293" i="2"/>
  <c r="AD292" i="2"/>
  <c r="AC292" i="2"/>
  <c r="X292" i="2"/>
  <c r="V292" i="2"/>
  <c r="W292" i="2" s="1"/>
  <c r="U292" i="2"/>
  <c r="Q292" i="2"/>
  <c r="P292" i="2"/>
  <c r="M292" i="2"/>
  <c r="L292" i="2"/>
  <c r="K292" i="2"/>
  <c r="J292" i="2"/>
  <c r="I292" i="2"/>
  <c r="O292" i="2" s="1"/>
  <c r="A292" i="2"/>
  <c r="AD291" i="2"/>
  <c r="AC291" i="2"/>
  <c r="X291" i="2"/>
  <c r="W291" i="2"/>
  <c r="V291" i="2"/>
  <c r="U291" i="2"/>
  <c r="Q291" i="2"/>
  <c r="P291" i="2"/>
  <c r="M291" i="2"/>
  <c r="L291" i="2"/>
  <c r="K291" i="2"/>
  <c r="J291" i="2"/>
  <c r="I291" i="2"/>
  <c r="O291" i="2" s="1"/>
  <c r="A291" i="2"/>
  <c r="AD290" i="2"/>
  <c r="AC290" i="2"/>
  <c r="X290" i="2"/>
  <c r="V290" i="2"/>
  <c r="W290" i="2" s="1"/>
  <c r="U290" i="2"/>
  <c r="Q290" i="2"/>
  <c r="P290" i="2"/>
  <c r="M290" i="2"/>
  <c r="L290" i="2"/>
  <c r="K290" i="2"/>
  <c r="J290" i="2"/>
  <c r="I290" i="2"/>
  <c r="O290" i="2" s="1"/>
  <c r="A290" i="2"/>
  <c r="AD289" i="2"/>
  <c r="AC289" i="2"/>
  <c r="X289" i="2"/>
  <c r="W289" i="2"/>
  <c r="V289" i="2"/>
  <c r="U289" i="2"/>
  <c r="Q289" i="2"/>
  <c r="P289" i="2"/>
  <c r="M289" i="2"/>
  <c r="L289" i="2"/>
  <c r="K289" i="2"/>
  <c r="J289" i="2"/>
  <c r="I289" i="2"/>
  <c r="O289" i="2" s="1"/>
  <c r="A289" i="2"/>
  <c r="AD288" i="2"/>
  <c r="AC288" i="2"/>
  <c r="X288" i="2"/>
  <c r="V288" i="2"/>
  <c r="W288" i="2" s="1"/>
  <c r="U288" i="2"/>
  <c r="Q288" i="2"/>
  <c r="P288" i="2"/>
  <c r="M288" i="2"/>
  <c r="L288" i="2"/>
  <c r="K288" i="2"/>
  <c r="J288" i="2"/>
  <c r="I288" i="2"/>
  <c r="O288" i="2" s="1"/>
  <c r="A288" i="2"/>
  <c r="AD287" i="2"/>
  <c r="AC287" i="2"/>
  <c r="X287" i="2"/>
  <c r="W287" i="2"/>
  <c r="V287" i="2"/>
  <c r="U287" i="2"/>
  <c r="Q287" i="2"/>
  <c r="P287" i="2"/>
  <c r="M287" i="2"/>
  <c r="L287" i="2"/>
  <c r="K287" i="2"/>
  <c r="J287" i="2"/>
  <c r="I287" i="2"/>
  <c r="O287" i="2" s="1"/>
  <c r="A287" i="2"/>
  <c r="AD286" i="2"/>
  <c r="AC286" i="2"/>
  <c r="X286" i="2"/>
  <c r="V286" i="2"/>
  <c r="W286" i="2" s="1"/>
  <c r="U286" i="2"/>
  <c r="Q286" i="2"/>
  <c r="P286" i="2"/>
  <c r="M286" i="2"/>
  <c r="L286" i="2"/>
  <c r="K286" i="2"/>
  <c r="J286" i="2"/>
  <c r="I286" i="2"/>
  <c r="O286" i="2" s="1"/>
  <c r="A286" i="2"/>
  <c r="AD285" i="2"/>
  <c r="AC285" i="2"/>
  <c r="X285" i="2"/>
  <c r="V285" i="2"/>
  <c r="W285" i="2" s="1"/>
  <c r="U285" i="2"/>
  <c r="Q285" i="2"/>
  <c r="P285" i="2"/>
  <c r="M285" i="2"/>
  <c r="L285" i="2"/>
  <c r="K285" i="2"/>
  <c r="J285" i="2"/>
  <c r="I285" i="2"/>
  <c r="O285" i="2" s="1"/>
  <c r="A285" i="2"/>
  <c r="AD284" i="2"/>
  <c r="AC284" i="2"/>
  <c r="X284" i="2"/>
  <c r="W284" i="2"/>
  <c r="V284" i="2"/>
  <c r="U284" i="2"/>
  <c r="Q284" i="2"/>
  <c r="P284" i="2"/>
  <c r="M284" i="2"/>
  <c r="L284" i="2"/>
  <c r="K284" i="2"/>
  <c r="J284" i="2"/>
  <c r="I284" i="2"/>
  <c r="O284" i="2" s="1"/>
  <c r="A284" i="2"/>
  <c r="AD283" i="2"/>
  <c r="AC283" i="2"/>
  <c r="X283" i="2"/>
  <c r="V283" i="2"/>
  <c r="W283" i="2" s="1"/>
  <c r="U283" i="2"/>
  <c r="Q283" i="2"/>
  <c r="P283" i="2"/>
  <c r="M283" i="2"/>
  <c r="L283" i="2"/>
  <c r="K283" i="2"/>
  <c r="J283" i="2"/>
  <c r="I283" i="2"/>
  <c r="O283" i="2" s="1"/>
  <c r="A283" i="2"/>
  <c r="AD282" i="2"/>
  <c r="AC282" i="2"/>
  <c r="X282" i="2"/>
  <c r="V282" i="2"/>
  <c r="W282" i="2" s="1"/>
  <c r="U282" i="2"/>
  <c r="Q282" i="2"/>
  <c r="P282" i="2"/>
  <c r="M282" i="2"/>
  <c r="L282" i="2"/>
  <c r="K282" i="2"/>
  <c r="J282" i="2"/>
  <c r="I282" i="2"/>
  <c r="O282" i="2" s="1"/>
  <c r="A282" i="2"/>
  <c r="AD281" i="2"/>
  <c r="AC281" i="2"/>
  <c r="X281" i="2"/>
  <c r="W281" i="2"/>
  <c r="V281" i="2"/>
  <c r="U281" i="2"/>
  <c r="Q281" i="2"/>
  <c r="P281" i="2"/>
  <c r="M281" i="2"/>
  <c r="L281" i="2"/>
  <c r="K281" i="2"/>
  <c r="J281" i="2"/>
  <c r="I281" i="2"/>
  <c r="O281" i="2" s="1"/>
  <c r="A281" i="2"/>
  <c r="AD280" i="2"/>
  <c r="AC280" i="2"/>
  <c r="X280" i="2"/>
  <c r="V280" i="2"/>
  <c r="W280" i="2" s="1"/>
  <c r="U280" i="2"/>
  <c r="Q280" i="2"/>
  <c r="P280" i="2"/>
  <c r="M280" i="2"/>
  <c r="L280" i="2"/>
  <c r="K280" i="2"/>
  <c r="J280" i="2"/>
  <c r="I280" i="2"/>
  <c r="O280" i="2" s="1"/>
  <c r="A280" i="2"/>
  <c r="AD279" i="2"/>
  <c r="AC279" i="2"/>
  <c r="X279" i="2"/>
  <c r="W279" i="2"/>
  <c r="V279" i="2"/>
  <c r="U279" i="2"/>
  <c r="Q279" i="2"/>
  <c r="P279" i="2"/>
  <c r="M279" i="2"/>
  <c r="L279" i="2"/>
  <c r="K279" i="2"/>
  <c r="J279" i="2"/>
  <c r="I279" i="2"/>
  <c r="O279" i="2" s="1"/>
  <c r="A279" i="2"/>
  <c r="AD278" i="2"/>
  <c r="AC278" i="2"/>
  <c r="X278" i="2"/>
  <c r="V278" i="2"/>
  <c r="W278" i="2" s="1"/>
  <c r="U278" i="2"/>
  <c r="Q278" i="2"/>
  <c r="P278" i="2"/>
  <c r="M278" i="2"/>
  <c r="L278" i="2"/>
  <c r="K278" i="2"/>
  <c r="J278" i="2"/>
  <c r="I278" i="2"/>
  <c r="O278" i="2" s="1"/>
  <c r="A278" i="2"/>
  <c r="AD277" i="2"/>
  <c r="AC277" i="2"/>
  <c r="X277" i="2"/>
  <c r="V277" i="2"/>
  <c r="W277" i="2" s="1"/>
  <c r="U277" i="2"/>
  <c r="Q277" i="2"/>
  <c r="P277" i="2"/>
  <c r="M277" i="2"/>
  <c r="L277" i="2"/>
  <c r="K277" i="2"/>
  <c r="J277" i="2"/>
  <c r="I277" i="2"/>
  <c r="O277" i="2" s="1"/>
  <c r="A277" i="2"/>
  <c r="AD276" i="2"/>
  <c r="AC276" i="2"/>
  <c r="X276" i="2"/>
  <c r="W276" i="2"/>
  <c r="V276" i="2"/>
  <c r="U276" i="2"/>
  <c r="Q276" i="2"/>
  <c r="P276" i="2"/>
  <c r="M276" i="2"/>
  <c r="L276" i="2"/>
  <c r="K276" i="2"/>
  <c r="J276" i="2"/>
  <c r="I276" i="2"/>
  <c r="O276" i="2" s="1"/>
  <c r="A276" i="2"/>
  <c r="AD275" i="2"/>
  <c r="AC275" i="2"/>
  <c r="X275" i="2"/>
  <c r="W275" i="2"/>
  <c r="V275" i="2"/>
  <c r="U275" i="2"/>
  <c r="Q275" i="2"/>
  <c r="P275" i="2"/>
  <c r="M275" i="2"/>
  <c r="L275" i="2"/>
  <c r="K275" i="2"/>
  <c r="J275" i="2"/>
  <c r="I275" i="2"/>
  <c r="O275" i="2" s="1"/>
  <c r="A275" i="2"/>
  <c r="AD274" i="2"/>
  <c r="AC274" i="2"/>
  <c r="X274" i="2"/>
  <c r="V274" i="2"/>
  <c r="W274" i="2" s="1"/>
  <c r="U274" i="2"/>
  <c r="Q274" i="2"/>
  <c r="P274" i="2"/>
  <c r="M274" i="2"/>
  <c r="L274" i="2"/>
  <c r="K274" i="2"/>
  <c r="J274" i="2"/>
  <c r="I274" i="2"/>
  <c r="O274" i="2" s="1"/>
  <c r="A274" i="2"/>
  <c r="AD273" i="2"/>
  <c r="AC273" i="2"/>
  <c r="X273" i="2"/>
  <c r="W273" i="2"/>
  <c r="V273" i="2"/>
  <c r="U273" i="2"/>
  <c r="Q273" i="2"/>
  <c r="P273" i="2"/>
  <c r="M273" i="2"/>
  <c r="L273" i="2"/>
  <c r="K273" i="2"/>
  <c r="J273" i="2"/>
  <c r="I273" i="2"/>
  <c r="O273" i="2" s="1"/>
  <c r="A273" i="2"/>
  <c r="AD272" i="2"/>
  <c r="AC272" i="2"/>
  <c r="X272" i="2"/>
  <c r="V272" i="2"/>
  <c r="W272" i="2" s="1"/>
  <c r="U272" i="2"/>
  <c r="Q272" i="2"/>
  <c r="P272" i="2"/>
  <c r="M272" i="2"/>
  <c r="L272" i="2"/>
  <c r="K272" i="2"/>
  <c r="J272" i="2"/>
  <c r="I272" i="2"/>
  <c r="O272" i="2" s="1"/>
  <c r="A272" i="2"/>
  <c r="AD271" i="2"/>
  <c r="AC271" i="2"/>
  <c r="X271" i="2"/>
  <c r="W271" i="2"/>
  <c r="V271" i="2"/>
  <c r="U271" i="2"/>
  <c r="Q271" i="2"/>
  <c r="P271" i="2"/>
  <c r="M271" i="2"/>
  <c r="L271" i="2"/>
  <c r="K271" i="2"/>
  <c r="J271" i="2"/>
  <c r="I271" i="2"/>
  <c r="O271" i="2" s="1"/>
  <c r="A271" i="2"/>
  <c r="AD270" i="2"/>
  <c r="AC270" i="2"/>
  <c r="X270" i="2"/>
  <c r="V270" i="2"/>
  <c r="W270" i="2" s="1"/>
  <c r="U270" i="2"/>
  <c r="Q270" i="2"/>
  <c r="P270" i="2"/>
  <c r="M270" i="2"/>
  <c r="L270" i="2"/>
  <c r="K270" i="2"/>
  <c r="J270" i="2"/>
  <c r="I270" i="2"/>
  <c r="O270" i="2" s="1"/>
  <c r="A270" i="2"/>
  <c r="AD269" i="2"/>
  <c r="AC269" i="2"/>
  <c r="X269" i="2"/>
  <c r="V269" i="2"/>
  <c r="W269" i="2" s="1"/>
  <c r="U269" i="2"/>
  <c r="Q269" i="2"/>
  <c r="P269" i="2"/>
  <c r="M269" i="2"/>
  <c r="L269" i="2"/>
  <c r="K269" i="2"/>
  <c r="J269" i="2"/>
  <c r="I269" i="2"/>
  <c r="O269" i="2" s="1"/>
  <c r="A269" i="2"/>
  <c r="AD268" i="2"/>
  <c r="AC268" i="2"/>
  <c r="X268" i="2"/>
  <c r="W268" i="2"/>
  <c r="V268" i="2"/>
  <c r="U268" i="2"/>
  <c r="Q268" i="2"/>
  <c r="P268" i="2"/>
  <c r="M268" i="2"/>
  <c r="L268" i="2"/>
  <c r="K268" i="2"/>
  <c r="J268" i="2"/>
  <c r="I268" i="2"/>
  <c r="O268" i="2" s="1"/>
  <c r="A268" i="2"/>
  <c r="AD267" i="2"/>
  <c r="AC267" i="2"/>
  <c r="X267" i="2"/>
  <c r="W267" i="2"/>
  <c r="V267" i="2"/>
  <c r="U267" i="2"/>
  <c r="Q267" i="2"/>
  <c r="P267" i="2"/>
  <c r="M267" i="2"/>
  <c r="L267" i="2"/>
  <c r="K267" i="2"/>
  <c r="J267" i="2"/>
  <c r="I267" i="2"/>
  <c r="O267" i="2" s="1"/>
  <c r="A267" i="2"/>
  <c r="AD266" i="2"/>
  <c r="AC266" i="2"/>
  <c r="X266" i="2"/>
  <c r="V266" i="2"/>
  <c r="W266" i="2" s="1"/>
  <c r="U266" i="2"/>
  <c r="Q266" i="2"/>
  <c r="P266" i="2"/>
  <c r="M266" i="2"/>
  <c r="L266" i="2"/>
  <c r="K266" i="2"/>
  <c r="J266" i="2"/>
  <c r="I266" i="2"/>
  <c r="O266" i="2" s="1"/>
  <c r="A266" i="2"/>
  <c r="AD265" i="2"/>
  <c r="AC265" i="2"/>
  <c r="X265" i="2"/>
  <c r="W265" i="2"/>
  <c r="V265" i="2"/>
  <c r="U265" i="2"/>
  <c r="Q265" i="2"/>
  <c r="P265" i="2"/>
  <c r="M265" i="2"/>
  <c r="L265" i="2"/>
  <c r="K265" i="2"/>
  <c r="J265" i="2"/>
  <c r="I265" i="2"/>
  <c r="O265" i="2" s="1"/>
  <c r="A265" i="2"/>
  <c r="AD264" i="2"/>
  <c r="AC264" i="2"/>
  <c r="X264" i="2"/>
  <c r="V264" i="2"/>
  <c r="W264" i="2" s="1"/>
  <c r="U264" i="2"/>
  <c r="Q264" i="2"/>
  <c r="P264" i="2"/>
  <c r="M264" i="2"/>
  <c r="L264" i="2"/>
  <c r="K264" i="2"/>
  <c r="J264" i="2"/>
  <c r="I264" i="2"/>
  <c r="O264" i="2" s="1"/>
  <c r="A264" i="2"/>
  <c r="AD263" i="2"/>
  <c r="AC263" i="2"/>
  <c r="X263" i="2"/>
  <c r="W263" i="2"/>
  <c r="V263" i="2"/>
  <c r="U263" i="2"/>
  <c r="Q263" i="2"/>
  <c r="P263" i="2"/>
  <c r="M263" i="2"/>
  <c r="L263" i="2"/>
  <c r="K263" i="2"/>
  <c r="J263" i="2"/>
  <c r="I263" i="2"/>
  <c r="O263" i="2" s="1"/>
  <c r="A263" i="2"/>
  <c r="AD262" i="2"/>
  <c r="AC262" i="2"/>
  <c r="X262" i="2"/>
  <c r="V262" i="2"/>
  <c r="W262" i="2" s="1"/>
  <c r="U262" i="2"/>
  <c r="Q262" i="2"/>
  <c r="P262" i="2"/>
  <c r="M262" i="2"/>
  <c r="L262" i="2"/>
  <c r="K262" i="2"/>
  <c r="J262" i="2"/>
  <c r="I262" i="2"/>
  <c r="O262" i="2" s="1"/>
  <c r="A262" i="2"/>
  <c r="AD261" i="2"/>
  <c r="AC261" i="2"/>
  <c r="X261" i="2"/>
  <c r="V261" i="2"/>
  <c r="W261" i="2" s="1"/>
  <c r="U261" i="2"/>
  <c r="Q261" i="2"/>
  <c r="P261" i="2"/>
  <c r="M261" i="2"/>
  <c r="L261" i="2"/>
  <c r="K261" i="2"/>
  <c r="J261" i="2"/>
  <c r="I261" i="2"/>
  <c r="O261" i="2" s="1"/>
  <c r="A261" i="2"/>
  <c r="AD260" i="2"/>
  <c r="AC260" i="2"/>
  <c r="X260" i="2"/>
  <c r="W260" i="2"/>
  <c r="V260" i="2"/>
  <c r="U260" i="2"/>
  <c r="Q260" i="2"/>
  <c r="P260" i="2"/>
  <c r="M260" i="2"/>
  <c r="L260" i="2"/>
  <c r="K260" i="2"/>
  <c r="J260" i="2"/>
  <c r="I260" i="2"/>
  <c r="O260" i="2" s="1"/>
  <c r="A260" i="2"/>
  <c r="AD259" i="2"/>
  <c r="AC259" i="2"/>
  <c r="X259" i="2"/>
  <c r="V259" i="2"/>
  <c r="W259" i="2" s="1"/>
  <c r="U259" i="2"/>
  <c r="Q259" i="2"/>
  <c r="P259" i="2"/>
  <c r="M259" i="2"/>
  <c r="L259" i="2"/>
  <c r="K259" i="2"/>
  <c r="J259" i="2"/>
  <c r="I259" i="2"/>
  <c r="O259" i="2" s="1"/>
  <c r="A259" i="2"/>
  <c r="AD258" i="2"/>
  <c r="AC258" i="2"/>
  <c r="X258" i="2"/>
  <c r="V258" i="2"/>
  <c r="W258" i="2" s="1"/>
  <c r="U258" i="2"/>
  <c r="Q258" i="2"/>
  <c r="P258" i="2"/>
  <c r="M258" i="2"/>
  <c r="L258" i="2"/>
  <c r="K258" i="2"/>
  <c r="J258" i="2"/>
  <c r="I258" i="2"/>
  <c r="O258" i="2" s="1"/>
  <c r="A258" i="2"/>
  <c r="AD257" i="2"/>
  <c r="AC257" i="2"/>
  <c r="X257" i="2"/>
  <c r="W257" i="2"/>
  <c r="V257" i="2"/>
  <c r="U257" i="2"/>
  <c r="Q257" i="2"/>
  <c r="P257" i="2"/>
  <c r="M257" i="2"/>
  <c r="L257" i="2"/>
  <c r="K257" i="2"/>
  <c r="J257" i="2"/>
  <c r="I257" i="2"/>
  <c r="O257" i="2" s="1"/>
  <c r="A257" i="2"/>
  <c r="AD256" i="2"/>
  <c r="AC256" i="2"/>
  <c r="X256" i="2"/>
  <c r="V256" i="2"/>
  <c r="W256" i="2" s="1"/>
  <c r="U256" i="2"/>
  <c r="Q256" i="2"/>
  <c r="P256" i="2"/>
  <c r="M256" i="2"/>
  <c r="L256" i="2"/>
  <c r="K256" i="2"/>
  <c r="J256" i="2"/>
  <c r="I256" i="2"/>
  <c r="O256" i="2" s="1"/>
  <c r="A256" i="2"/>
  <c r="AD255" i="2"/>
  <c r="AC255" i="2"/>
  <c r="X255" i="2"/>
  <c r="W255" i="2"/>
  <c r="V255" i="2"/>
  <c r="U255" i="2"/>
  <c r="Q255" i="2"/>
  <c r="P255" i="2"/>
  <c r="M255" i="2"/>
  <c r="L255" i="2"/>
  <c r="K255" i="2"/>
  <c r="J255" i="2"/>
  <c r="I255" i="2"/>
  <c r="O255" i="2" s="1"/>
  <c r="A255" i="2"/>
  <c r="AD254" i="2"/>
  <c r="AC254" i="2"/>
  <c r="X254" i="2"/>
  <c r="V254" i="2"/>
  <c r="W254" i="2" s="1"/>
  <c r="U254" i="2"/>
  <c r="Q254" i="2"/>
  <c r="P254" i="2"/>
  <c r="M254" i="2"/>
  <c r="L254" i="2"/>
  <c r="K254" i="2"/>
  <c r="J254" i="2"/>
  <c r="I254" i="2"/>
  <c r="O254" i="2" s="1"/>
  <c r="A254" i="2"/>
  <c r="AD253" i="2"/>
  <c r="AC253" i="2"/>
  <c r="X253" i="2"/>
  <c r="V253" i="2"/>
  <c r="W253" i="2" s="1"/>
  <c r="U253" i="2"/>
  <c r="Q253" i="2"/>
  <c r="P253" i="2"/>
  <c r="M253" i="2"/>
  <c r="L253" i="2"/>
  <c r="K253" i="2"/>
  <c r="J253" i="2"/>
  <c r="I253" i="2"/>
  <c r="O253" i="2" s="1"/>
  <c r="A253" i="2"/>
  <c r="AD252" i="2"/>
  <c r="AC252" i="2"/>
  <c r="X252" i="2"/>
  <c r="W252" i="2"/>
  <c r="V252" i="2"/>
  <c r="U252" i="2"/>
  <c r="Q252" i="2"/>
  <c r="P252" i="2"/>
  <c r="M252" i="2"/>
  <c r="L252" i="2"/>
  <c r="K252" i="2"/>
  <c r="J252" i="2"/>
  <c r="I252" i="2"/>
  <c r="O252" i="2" s="1"/>
  <c r="A252" i="2"/>
  <c r="AD251" i="2"/>
  <c r="AC251" i="2"/>
  <c r="X251" i="2"/>
  <c r="W251" i="2"/>
  <c r="V251" i="2"/>
  <c r="U251" i="2"/>
  <c r="Q251" i="2"/>
  <c r="P251" i="2"/>
  <c r="M251" i="2"/>
  <c r="L251" i="2"/>
  <c r="K251" i="2"/>
  <c r="J251" i="2"/>
  <c r="I251" i="2"/>
  <c r="O251" i="2" s="1"/>
  <c r="A251" i="2"/>
  <c r="AD250" i="2"/>
  <c r="AC250" i="2"/>
  <c r="X250" i="2"/>
  <c r="V250" i="2"/>
  <c r="W250" i="2" s="1"/>
  <c r="U250" i="2"/>
  <c r="Q250" i="2"/>
  <c r="P250" i="2"/>
  <c r="M250" i="2"/>
  <c r="L250" i="2"/>
  <c r="K250" i="2"/>
  <c r="J250" i="2"/>
  <c r="I250" i="2"/>
  <c r="O250" i="2" s="1"/>
  <c r="A250" i="2"/>
  <c r="AD249" i="2"/>
  <c r="AC249" i="2"/>
  <c r="X249" i="2"/>
  <c r="W249" i="2"/>
  <c r="V249" i="2"/>
  <c r="U249" i="2"/>
  <c r="Q249" i="2"/>
  <c r="P249" i="2"/>
  <c r="M249" i="2"/>
  <c r="L249" i="2"/>
  <c r="K249" i="2"/>
  <c r="J249" i="2"/>
  <c r="I249" i="2"/>
  <c r="O249" i="2" s="1"/>
  <c r="A249" i="2"/>
  <c r="AD248" i="2"/>
  <c r="AC248" i="2"/>
  <c r="X248" i="2"/>
  <c r="V248" i="2"/>
  <c r="W248" i="2" s="1"/>
  <c r="U248" i="2"/>
  <c r="Q248" i="2"/>
  <c r="P248" i="2"/>
  <c r="M248" i="2"/>
  <c r="L248" i="2"/>
  <c r="K248" i="2"/>
  <c r="J248" i="2"/>
  <c r="I248" i="2"/>
  <c r="O248" i="2" s="1"/>
  <c r="A248" i="2"/>
  <c r="AD247" i="2"/>
  <c r="AC247" i="2"/>
  <c r="X247" i="2"/>
  <c r="W247" i="2"/>
  <c r="V247" i="2"/>
  <c r="U247" i="2"/>
  <c r="Q247" i="2"/>
  <c r="P247" i="2"/>
  <c r="M247" i="2"/>
  <c r="L247" i="2"/>
  <c r="K247" i="2"/>
  <c r="J247" i="2"/>
  <c r="I247" i="2"/>
  <c r="O247" i="2" s="1"/>
  <c r="A247" i="2"/>
  <c r="AD246" i="2"/>
  <c r="AC246" i="2"/>
  <c r="X246" i="2"/>
  <c r="V246" i="2"/>
  <c r="W246" i="2" s="1"/>
  <c r="U246" i="2"/>
  <c r="Q246" i="2"/>
  <c r="P246" i="2"/>
  <c r="M246" i="2"/>
  <c r="L246" i="2"/>
  <c r="K246" i="2"/>
  <c r="J246" i="2"/>
  <c r="I246" i="2"/>
  <c r="O246" i="2" s="1"/>
  <c r="A246" i="2"/>
  <c r="AD245" i="2"/>
  <c r="AC245" i="2"/>
  <c r="X245" i="2"/>
  <c r="V245" i="2"/>
  <c r="W245" i="2" s="1"/>
  <c r="U245" i="2"/>
  <c r="Q245" i="2"/>
  <c r="P245" i="2"/>
  <c r="M245" i="2"/>
  <c r="L245" i="2"/>
  <c r="K245" i="2"/>
  <c r="J245" i="2"/>
  <c r="I245" i="2"/>
  <c r="O245" i="2" s="1"/>
  <c r="A245" i="2"/>
  <c r="AD244" i="2"/>
  <c r="AC244" i="2"/>
  <c r="X244" i="2"/>
  <c r="W244" i="2"/>
  <c r="V244" i="2"/>
  <c r="U244" i="2"/>
  <c r="Q244" i="2"/>
  <c r="P244" i="2"/>
  <c r="M244" i="2"/>
  <c r="L244" i="2"/>
  <c r="K244" i="2"/>
  <c r="J244" i="2"/>
  <c r="I244" i="2"/>
  <c r="O244" i="2" s="1"/>
  <c r="A244" i="2"/>
  <c r="AD243" i="2"/>
  <c r="AC243" i="2"/>
  <c r="X243" i="2"/>
  <c r="W243" i="2"/>
  <c r="V243" i="2"/>
  <c r="U243" i="2"/>
  <c r="Q243" i="2"/>
  <c r="P243" i="2"/>
  <c r="M243" i="2"/>
  <c r="L243" i="2"/>
  <c r="K243" i="2"/>
  <c r="J243" i="2"/>
  <c r="I243" i="2"/>
  <c r="O243" i="2" s="1"/>
  <c r="A243" i="2"/>
  <c r="AD242" i="2"/>
  <c r="AC242" i="2"/>
  <c r="X242" i="2"/>
  <c r="V242" i="2"/>
  <c r="W242" i="2" s="1"/>
  <c r="U242" i="2"/>
  <c r="Q242" i="2"/>
  <c r="P242" i="2"/>
  <c r="M242" i="2"/>
  <c r="L242" i="2"/>
  <c r="K242" i="2"/>
  <c r="J242" i="2"/>
  <c r="I242" i="2"/>
  <c r="O242" i="2" s="1"/>
  <c r="A242" i="2"/>
  <c r="AD241" i="2"/>
  <c r="AC241" i="2"/>
  <c r="X241" i="2"/>
  <c r="W241" i="2"/>
  <c r="V241" i="2"/>
  <c r="U241" i="2"/>
  <c r="Q241" i="2"/>
  <c r="P241" i="2"/>
  <c r="M241" i="2"/>
  <c r="L241" i="2"/>
  <c r="K241" i="2"/>
  <c r="J241" i="2"/>
  <c r="I241" i="2"/>
  <c r="O241" i="2" s="1"/>
  <c r="A241" i="2"/>
  <c r="AD240" i="2"/>
  <c r="AC240" i="2"/>
  <c r="X240" i="2"/>
  <c r="V240" i="2"/>
  <c r="W240" i="2" s="1"/>
  <c r="U240" i="2"/>
  <c r="Q240" i="2"/>
  <c r="P240" i="2"/>
  <c r="M240" i="2"/>
  <c r="L240" i="2"/>
  <c r="K240" i="2"/>
  <c r="J240" i="2"/>
  <c r="I240" i="2"/>
  <c r="O240" i="2" s="1"/>
  <c r="A240" i="2"/>
  <c r="AD239" i="2"/>
  <c r="AC239" i="2"/>
  <c r="X239" i="2"/>
  <c r="W239" i="2"/>
  <c r="V239" i="2"/>
  <c r="U239" i="2"/>
  <c r="Q239" i="2"/>
  <c r="P239" i="2"/>
  <c r="M239" i="2"/>
  <c r="L239" i="2"/>
  <c r="K239" i="2"/>
  <c r="J239" i="2"/>
  <c r="I239" i="2"/>
  <c r="O239" i="2" s="1"/>
  <c r="A239" i="2"/>
  <c r="AD238" i="2"/>
  <c r="AC238" i="2"/>
  <c r="X238" i="2"/>
  <c r="V238" i="2"/>
  <c r="W238" i="2" s="1"/>
  <c r="U238" i="2"/>
  <c r="Q238" i="2"/>
  <c r="P238" i="2"/>
  <c r="M238" i="2"/>
  <c r="L238" i="2"/>
  <c r="K238" i="2"/>
  <c r="J238" i="2"/>
  <c r="I238" i="2"/>
  <c r="O238" i="2" s="1"/>
  <c r="A238" i="2"/>
  <c r="AD237" i="2"/>
  <c r="AC237" i="2"/>
  <c r="X237" i="2"/>
  <c r="V237" i="2"/>
  <c r="W237" i="2" s="1"/>
  <c r="U237" i="2"/>
  <c r="Q237" i="2"/>
  <c r="P237" i="2"/>
  <c r="M237" i="2"/>
  <c r="L237" i="2"/>
  <c r="K237" i="2"/>
  <c r="J237" i="2"/>
  <c r="I237" i="2"/>
  <c r="O237" i="2" s="1"/>
  <c r="A237" i="2"/>
  <c r="AD236" i="2"/>
  <c r="AC236" i="2"/>
  <c r="X236" i="2"/>
  <c r="W236" i="2"/>
  <c r="V236" i="2"/>
  <c r="U236" i="2"/>
  <c r="Q236" i="2"/>
  <c r="P236" i="2"/>
  <c r="M236" i="2"/>
  <c r="L236" i="2"/>
  <c r="K236" i="2"/>
  <c r="J236" i="2"/>
  <c r="I236" i="2"/>
  <c r="O236" i="2" s="1"/>
  <c r="A236" i="2"/>
  <c r="AD235" i="2"/>
  <c r="AC235" i="2"/>
  <c r="X235" i="2"/>
  <c r="V235" i="2"/>
  <c r="W235" i="2" s="1"/>
  <c r="U235" i="2"/>
  <c r="Q235" i="2"/>
  <c r="P235" i="2"/>
  <c r="M235" i="2"/>
  <c r="L235" i="2"/>
  <c r="K235" i="2"/>
  <c r="J235" i="2"/>
  <c r="I235" i="2"/>
  <c r="O235" i="2" s="1"/>
  <c r="A235" i="2"/>
  <c r="AD234" i="2"/>
  <c r="AC234" i="2"/>
  <c r="X234" i="2"/>
  <c r="V234" i="2"/>
  <c r="W234" i="2" s="1"/>
  <c r="U234" i="2"/>
  <c r="Q234" i="2"/>
  <c r="P234" i="2"/>
  <c r="M234" i="2"/>
  <c r="L234" i="2"/>
  <c r="K234" i="2"/>
  <c r="J234" i="2"/>
  <c r="I234" i="2"/>
  <c r="O234" i="2" s="1"/>
  <c r="A234" i="2"/>
  <c r="AD233" i="2"/>
  <c r="AC233" i="2"/>
  <c r="X233" i="2"/>
  <c r="W233" i="2"/>
  <c r="V233" i="2"/>
  <c r="U233" i="2"/>
  <c r="Q233" i="2"/>
  <c r="P233" i="2"/>
  <c r="M233" i="2"/>
  <c r="L233" i="2"/>
  <c r="K233" i="2"/>
  <c r="J233" i="2"/>
  <c r="I233" i="2"/>
  <c r="O233" i="2" s="1"/>
  <c r="A233" i="2"/>
  <c r="AD232" i="2"/>
  <c r="AC232" i="2"/>
  <c r="X232" i="2"/>
  <c r="V232" i="2"/>
  <c r="W232" i="2" s="1"/>
  <c r="U232" i="2"/>
  <c r="Q232" i="2"/>
  <c r="P232" i="2"/>
  <c r="M232" i="2"/>
  <c r="L232" i="2"/>
  <c r="K232" i="2"/>
  <c r="J232" i="2"/>
  <c r="I232" i="2"/>
  <c r="O232" i="2" s="1"/>
  <c r="A232" i="2"/>
  <c r="AD231" i="2"/>
  <c r="AC231" i="2"/>
  <c r="X231" i="2"/>
  <c r="W231" i="2"/>
  <c r="V231" i="2"/>
  <c r="U231" i="2"/>
  <c r="Q231" i="2"/>
  <c r="P231" i="2"/>
  <c r="M231" i="2"/>
  <c r="L231" i="2"/>
  <c r="K231" i="2"/>
  <c r="J231" i="2"/>
  <c r="I231" i="2"/>
  <c r="O231" i="2" s="1"/>
  <c r="A231" i="2"/>
  <c r="AD230" i="2"/>
  <c r="AC230" i="2"/>
  <c r="X230" i="2"/>
  <c r="V230" i="2"/>
  <c r="W230" i="2" s="1"/>
  <c r="U230" i="2"/>
  <c r="Q230" i="2"/>
  <c r="P230" i="2"/>
  <c r="M230" i="2"/>
  <c r="L230" i="2"/>
  <c r="K230" i="2"/>
  <c r="J230" i="2"/>
  <c r="I230" i="2"/>
  <c r="O230" i="2" s="1"/>
  <c r="A230" i="2"/>
  <c r="AD229" i="2"/>
  <c r="AC229" i="2"/>
  <c r="X229" i="2"/>
  <c r="V229" i="2"/>
  <c r="W229" i="2" s="1"/>
  <c r="U229" i="2"/>
  <c r="Q229" i="2"/>
  <c r="P229" i="2"/>
  <c r="M229" i="2"/>
  <c r="L229" i="2"/>
  <c r="K229" i="2"/>
  <c r="J229" i="2"/>
  <c r="I229" i="2"/>
  <c r="O229" i="2" s="1"/>
  <c r="A229" i="2"/>
  <c r="AD228" i="2"/>
  <c r="AC228" i="2"/>
  <c r="X228" i="2"/>
  <c r="W228" i="2"/>
  <c r="V228" i="2"/>
  <c r="U228" i="2"/>
  <c r="Q228" i="2"/>
  <c r="P228" i="2"/>
  <c r="M228" i="2"/>
  <c r="L228" i="2"/>
  <c r="K228" i="2"/>
  <c r="J228" i="2"/>
  <c r="I228" i="2"/>
  <c r="O228" i="2" s="1"/>
  <c r="A228" i="2"/>
  <c r="AD227" i="2"/>
  <c r="AC227" i="2"/>
  <c r="X227" i="2"/>
  <c r="V227" i="2"/>
  <c r="W227" i="2" s="1"/>
  <c r="U227" i="2"/>
  <c r="Q227" i="2"/>
  <c r="P227" i="2"/>
  <c r="M227" i="2"/>
  <c r="L227" i="2"/>
  <c r="K227" i="2"/>
  <c r="J227" i="2"/>
  <c r="I227" i="2"/>
  <c r="O227" i="2" s="1"/>
  <c r="A227" i="2"/>
  <c r="AD226" i="2"/>
  <c r="AC226" i="2"/>
  <c r="X226" i="2"/>
  <c r="V226" i="2"/>
  <c r="W226" i="2" s="1"/>
  <c r="U226" i="2"/>
  <c r="Q226" i="2"/>
  <c r="P226" i="2"/>
  <c r="M226" i="2"/>
  <c r="L226" i="2"/>
  <c r="K226" i="2"/>
  <c r="J226" i="2"/>
  <c r="I226" i="2"/>
  <c r="O226" i="2" s="1"/>
  <c r="A226" i="2"/>
  <c r="AD225" i="2"/>
  <c r="AC225" i="2"/>
  <c r="X225" i="2"/>
  <c r="W225" i="2"/>
  <c r="V225" i="2"/>
  <c r="U225" i="2"/>
  <c r="Q225" i="2"/>
  <c r="P225" i="2"/>
  <c r="M225" i="2"/>
  <c r="L225" i="2"/>
  <c r="K225" i="2"/>
  <c r="J225" i="2"/>
  <c r="I225" i="2"/>
  <c r="O225" i="2" s="1"/>
  <c r="A225" i="2"/>
  <c r="AD224" i="2"/>
  <c r="AC224" i="2"/>
  <c r="X224" i="2"/>
  <c r="V224" i="2"/>
  <c r="W224" i="2" s="1"/>
  <c r="U224" i="2"/>
  <c r="Q224" i="2"/>
  <c r="P224" i="2"/>
  <c r="M224" i="2"/>
  <c r="L224" i="2"/>
  <c r="K224" i="2"/>
  <c r="J224" i="2"/>
  <c r="I224" i="2"/>
  <c r="O224" i="2" s="1"/>
  <c r="A224" i="2"/>
  <c r="AD223" i="2"/>
  <c r="AC223" i="2"/>
  <c r="X223" i="2"/>
  <c r="W223" i="2"/>
  <c r="V223" i="2"/>
  <c r="U223" i="2"/>
  <c r="Q223" i="2"/>
  <c r="P223" i="2"/>
  <c r="M223" i="2"/>
  <c r="L223" i="2"/>
  <c r="K223" i="2"/>
  <c r="J223" i="2"/>
  <c r="I223" i="2"/>
  <c r="O223" i="2" s="1"/>
  <c r="A223" i="2"/>
  <c r="AD222" i="2"/>
  <c r="AC222" i="2"/>
  <c r="X222" i="2"/>
  <c r="V222" i="2"/>
  <c r="W222" i="2" s="1"/>
  <c r="U222" i="2"/>
  <c r="Q222" i="2"/>
  <c r="P222" i="2"/>
  <c r="M222" i="2"/>
  <c r="L222" i="2"/>
  <c r="K222" i="2"/>
  <c r="J222" i="2"/>
  <c r="I222" i="2"/>
  <c r="O222" i="2" s="1"/>
  <c r="A222" i="2"/>
  <c r="AD221" i="2"/>
  <c r="AC221" i="2"/>
  <c r="X221" i="2"/>
  <c r="V221" i="2"/>
  <c r="W221" i="2" s="1"/>
  <c r="U221" i="2"/>
  <c r="Q221" i="2"/>
  <c r="P221" i="2"/>
  <c r="M221" i="2"/>
  <c r="L221" i="2"/>
  <c r="K221" i="2"/>
  <c r="J221" i="2"/>
  <c r="I221" i="2"/>
  <c r="O221" i="2" s="1"/>
  <c r="A221" i="2"/>
  <c r="AD220" i="2"/>
  <c r="AC220" i="2"/>
  <c r="X220" i="2"/>
  <c r="W220" i="2"/>
  <c r="V220" i="2"/>
  <c r="U220" i="2"/>
  <c r="Q220" i="2"/>
  <c r="P220" i="2"/>
  <c r="M220" i="2"/>
  <c r="L220" i="2"/>
  <c r="K220" i="2"/>
  <c r="J220" i="2"/>
  <c r="I220" i="2"/>
  <c r="O220" i="2" s="1"/>
  <c r="A220" i="2"/>
  <c r="AD219" i="2"/>
  <c r="AC219" i="2"/>
  <c r="X219" i="2"/>
  <c r="V219" i="2"/>
  <c r="W219" i="2" s="1"/>
  <c r="U219" i="2"/>
  <c r="Q219" i="2"/>
  <c r="P219" i="2"/>
  <c r="M219" i="2"/>
  <c r="L219" i="2"/>
  <c r="K219" i="2"/>
  <c r="J219" i="2"/>
  <c r="I219" i="2"/>
  <c r="O219" i="2" s="1"/>
  <c r="A219" i="2"/>
  <c r="AD218" i="2"/>
  <c r="AC218" i="2"/>
  <c r="X218" i="2"/>
  <c r="V218" i="2"/>
  <c r="W218" i="2" s="1"/>
  <c r="U218" i="2"/>
  <c r="Q218" i="2"/>
  <c r="P218" i="2"/>
  <c r="M218" i="2"/>
  <c r="L218" i="2"/>
  <c r="K218" i="2"/>
  <c r="J218" i="2"/>
  <c r="I218" i="2"/>
  <c r="O218" i="2" s="1"/>
  <c r="A218" i="2"/>
  <c r="AD217" i="2"/>
  <c r="AC217" i="2"/>
  <c r="X217" i="2"/>
  <c r="W217" i="2"/>
  <c r="V217" i="2"/>
  <c r="U217" i="2"/>
  <c r="Q217" i="2"/>
  <c r="P217" i="2"/>
  <c r="M217" i="2"/>
  <c r="L217" i="2"/>
  <c r="K217" i="2"/>
  <c r="J217" i="2"/>
  <c r="I217" i="2"/>
  <c r="O217" i="2" s="1"/>
  <c r="A217" i="2"/>
  <c r="AD216" i="2"/>
  <c r="AC216" i="2"/>
  <c r="X216" i="2"/>
  <c r="V216" i="2"/>
  <c r="W216" i="2" s="1"/>
  <c r="U216" i="2"/>
  <c r="Q216" i="2"/>
  <c r="P216" i="2"/>
  <c r="M216" i="2"/>
  <c r="L216" i="2"/>
  <c r="K216" i="2"/>
  <c r="J216" i="2"/>
  <c r="I216" i="2"/>
  <c r="O216" i="2" s="1"/>
  <c r="A216" i="2"/>
  <c r="AD215" i="2"/>
  <c r="AC215" i="2"/>
  <c r="X215" i="2"/>
  <c r="W215" i="2"/>
  <c r="V215" i="2"/>
  <c r="U215" i="2"/>
  <c r="Q215" i="2"/>
  <c r="P215" i="2"/>
  <c r="M215" i="2"/>
  <c r="L215" i="2"/>
  <c r="K215" i="2"/>
  <c r="J215" i="2"/>
  <c r="I215" i="2"/>
  <c r="O215" i="2" s="1"/>
  <c r="A215" i="2"/>
  <c r="AD214" i="2"/>
  <c r="AC214" i="2"/>
  <c r="X214" i="2"/>
  <c r="V214" i="2"/>
  <c r="W214" i="2" s="1"/>
  <c r="U214" i="2"/>
  <c r="Q214" i="2"/>
  <c r="P214" i="2"/>
  <c r="M214" i="2"/>
  <c r="L214" i="2"/>
  <c r="K214" i="2"/>
  <c r="J214" i="2"/>
  <c r="I214" i="2"/>
  <c r="O214" i="2" s="1"/>
  <c r="A214" i="2"/>
  <c r="AD213" i="2"/>
  <c r="AC213" i="2"/>
  <c r="X213" i="2"/>
  <c r="V213" i="2"/>
  <c r="W213" i="2" s="1"/>
  <c r="U213" i="2"/>
  <c r="Q213" i="2"/>
  <c r="P213" i="2"/>
  <c r="M213" i="2"/>
  <c r="L213" i="2"/>
  <c r="K213" i="2"/>
  <c r="J213" i="2"/>
  <c r="I213" i="2"/>
  <c r="O213" i="2" s="1"/>
  <c r="A213" i="2"/>
  <c r="AD212" i="2"/>
  <c r="AC212" i="2"/>
  <c r="X212" i="2"/>
  <c r="W212" i="2"/>
  <c r="V212" i="2"/>
  <c r="U212" i="2"/>
  <c r="Q212" i="2"/>
  <c r="P212" i="2"/>
  <c r="M212" i="2"/>
  <c r="L212" i="2"/>
  <c r="K212" i="2"/>
  <c r="J212" i="2"/>
  <c r="I212" i="2"/>
  <c r="O212" i="2" s="1"/>
  <c r="A212" i="2"/>
  <c r="AD211" i="2"/>
  <c r="AC211" i="2"/>
  <c r="X211" i="2"/>
  <c r="V211" i="2"/>
  <c r="W211" i="2" s="1"/>
  <c r="U211" i="2"/>
  <c r="Q211" i="2"/>
  <c r="P211" i="2"/>
  <c r="M211" i="2"/>
  <c r="L211" i="2"/>
  <c r="K211" i="2"/>
  <c r="J211" i="2"/>
  <c r="I211" i="2"/>
  <c r="O211" i="2" s="1"/>
  <c r="A211" i="2"/>
  <c r="AD210" i="2"/>
  <c r="AC210" i="2"/>
  <c r="X210" i="2"/>
  <c r="V210" i="2"/>
  <c r="W210" i="2" s="1"/>
  <c r="U210" i="2"/>
  <c r="Q210" i="2"/>
  <c r="P210" i="2"/>
  <c r="M210" i="2"/>
  <c r="L210" i="2"/>
  <c r="K210" i="2"/>
  <c r="J210" i="2"/>
  <c r="I210" i="2"/>
  <c r="O210" i="2" s="1"/>
  <c r="A210" i="2"/>
  <c r="AD209" i="2"/>
  <c r="AC209" i="2"/>
  <c r="X209" i="2"/>
  <c r="W209" i="2"/>
  <c r="V209" i="2"/>
  <c r="U209" i="2"/>
  <c r="Q209" i="2"/>
  <c r="P209" i="2"/>
  <c r="M209" i="2"/>
  <c r="L209" i="2"/>
  <c r="K209" i="2"/>
  <c r="J209" i="2"/>
  <c r="I209" i="2"/>
  <c r="O209" i="2" s="1"/>
  <c r="A209" i="2"/>
  <c r="AD208" i="2"/>
  <c r="AC208" i="2"/>
  <c r="X208" i="2"/>
  <c r="V208" i="2"/>
  <c r="W208" i="2" s="1"/>
  <c r="U208" i="2"/>
  <c r="Q208" i="2"/>
  <c r="P208" i="2"/>
  <c r="M208" i="2"/>
  <c r="L208" i="2"/>
  <c r="K208" i="2"/>
  <c r="J208" i="2"/>
  <c r="I208" i="2"/>
  <c r="O208" i="2" s="1"/>
  <c r="A208" i="2"/>
  <c r="AD207" i="2"/>
  <c r="AC207" i="2"/>
  <c r="X207" i="2"/>
  <c r="W207" i="2"/>
  <c r="V207" i="2"/>
  <c r="U207" i="2"/>
  <c r="Q207" i="2"/>
  <c r="P207" i="2"/>
  <c r="M207" i="2"/>
  <c r="L207" i="2"/>
  <c r="K207" i="2"/>
  <c r="J207" i="2"/>
  <c r="I207" i="2"/>
  <c r="O207" i="2" s="1"/>
  <c r="A207" i="2"/>
  <c r="AD206" i="2"/>
  <c r="AC206" i="2"/>
  <c r="X206" i="2"/>
  <c r="V206" i="2"/>
  <c r="W206" i="2" s="1"/>
  <c r="U206" i="2"/>
  <c r="Q206" i="2"/>
  <c r="P206" i="2"/>
  <c r="M206" i="2"/>
  <c r="L206" i="2"/>
  <c r="K206" i="2"/>
  <c r="J206" i="2"/>
  <c r="I206" i="2"/>
  <c r="O206" i="2" s="1"/>
  <c r="A206" i="2"/>
  <c r="AD205" i="2"/>
  <c r="AC205" i="2"/>
  <c r="X205" i="2"/>
  <c r="V205" i="2"/>
  <c r="W205" i="2" s="1"/>
  <c r="U205" i="2"/>
  <c r="Q205" i="2"/>
  <c r="P205" i="2"/>
  <c r="M205" i="2"/>
  <c r="L205" i="2"/>
  <c r="K205" i="2"/>
  <c r="J205" i="2"/>
  <c r="I205" i="2"/>
  <c r="O205" i="2" s="1"/>
  <c r="A205" i="2"/>
  <c r="AD204" i="2"/>
  <c r="AC204" i="2"/>
  <c r="X204" i="2"/>
  <c r="W204" i="2"/>
  <c r="V204" i="2"/>
  <c r="U204" i="2"/>
  <c r="Q204" i="2"/>
  <c r="P204" i="2"/>
  <c r="M204" i="2"/>
  <c r="L204" i="2"/>
  <c r="K204" i="2"/>
  <c r="J204" i="2"/>
  <c r="I204" i="2"/>
  <c r="O204" i="2" s="1"/>
  <c r="A204" i="2"/>
  <c r="AD203" i="2"/>
  <c r="AC203" i="2"/>
  <c r="X203" i="2"/>
  <c r="V203" i="2"/>
  <c r="W203" i="2" s="1"/>
  <c r="U203" i="2"/>
  <c r="Q203" i="2"/>
  <c r="P203" i="2"/>
  <c r="M203" i="2"/>
  <c r="L203" i="2"/>
  <c r="K203" i="2"/>
  <c r="J203" i="2"/>
  <c r="I203" i="2"/>
  <c r="O203" i="2" s="1"/>
  <c r="A203" i="2"/>
  <c r="AD202" i="2"/>
  <c r="AC202" i="2"/>
  <c r="X202" i="2"/>
  <c r="V202" i="2"/>
  <c r="W202" i="2" s="1"/>
  <c r="U202" i="2"/>
  <c r="Q202" i="2"/>
  <c r="P202" i="2"/>
  <c r="M202" i="2"/>
  <c r="L202" i="2"/>
  <c r="K202" i="2"/>
  <c r="J202" i="2"/>
  <c r="I202" i="2"/>
  <c r="O202" i="2" s="1"/>
  <c r="A202" i="2"/>
  <c r="AD201" i="2"/>
  <c r="AC201" i="2"/>
  <c r="X201" i="2"/>
  <c r="W201" i="2"/>
  <c r="V201" i="2"/>
  <c r="U201" i="2"/>
  <c r="Q201" i="2"/>
  <c r="P201" i="2"/>
  <c r="M201" i="2"/>
  <c r="L201" i="2"/>
  <c r="K201" i="2"/>
  <c r="J201" i="2"/>
  <c r="I201" i="2"/>
  <c r="O201" i="2" s="1"/>
  <c r="A201" i="2"/>
  <c r="AD200" i="2"/>
  <c r="AC200" i="2"/>
  <c r="X200" i="2"/>
  <c r="V200" i="2"/>
  <c r="W200" i="2" s="1"/>
  <c r="U200" i="2"/>
  <c r="Q200" i="2"/>
  <c r="P200" i="2"/>
  <c r="M200" i="2"/>
  <c r="L200" i="2"/>
  <c r="K200" i="2"/>
  <c r="J200" i="2"/>
  <c r="I200" i="2"/>
  <c r="O200" i="2" s="1"/>
  <c r="A200" i="2"/>
  <c r="AD199" i="2"/>
  <c r="AC199" i="2"/>
  <c r="X199" i="2"/>
  <c r="W199" i="2"/>
  <c r="V199" i="2"/>
  <c r="U199" i="2"/>
  <c r="Q199" i="2"/>
  <c r="P199" i="2"/>
  <c r="M199" i="2"/>
  <c r="L199" i="2"/>
  <c r="K199" i="2"/>
  <c r="J199" i="2"/>
  <c r="I199" i="2"/>
  <c r="O199" i="2" s="1"/>
  <c r="A199" i="2"/>
  <c r="AD198" i="2"/>
  <c r="AC198" i="2"/>
  <c r="X198" i="2"/>
  <c r="V198" i="2"/>
  <c r="W198" i="2" s="1"/>
  <c r="U198" i="2"/>
  <c r="Q198" i="2"/>
  <c r="P198" i="2"/>
  <c r="M198" i="2"/>
  <c r="L198" i="2"/>
  <c r="K198" i="2"/>
  <c r="J198" i="2"/>
  <c r="I198" i="2"/>
  <c r="O198" i="2" s="1"/>
  <c r="A198" i="2"/>
  <c r="AD197" i="2"/>
  <c r="AC197" i="2"/>
  <c r="X197" i="2"/>
  <c r="V197" i="2"/>
  <c r="W197" i="2" s="1"/>
  <c r="U197" i="2"/>
  <c r="Q197" i="2"/>
  <c r="P197" i="2"/>
  <c r="M197" i="2"/>
  <c r="L197" i="2"/>
  <c r="K197" i="2"/>
  <c r="J197" i="2"/>
  <c r="I197" i="2"/>
  <c r="O197" i="2" s="1"/>
  <c r="A197" i="2"/>
  <c r="AD196" i="2"/>
  <c r="AC196" i="2"/>
  <c r="X196" i="2"/>
  <c r="W196" i="2"/>
  <c r="V196" i="2"/>
  <c r="U196" i="2"/>
  <c r="Q196" i="2"/>
  <c r="P196" i="2"/>
  <c r="M196" i="2"/>
  <c r="L196" i="2"/>
  <c r="K196" i="2"/>
  <c r="J196" i="2"/>
  <c r="I196" i="2"/>
  <c r="O196" i="2" s="1"/>
  <c r="A196" i="2"/>
  <c r="AD195" i="2"/>
  <c r="AC195" i="2"/>
  <c r="X195" i="2"/>
  <c r="W195" i="2"/>
  <c r="V195" i="2"/>
  <c r="U195" i="2"/>
  <c r="Q195" i="2"/>
  <c r="P195" i="2"/>
  <c r="M195" i="2"/>
  <c r="L195" i="2"/>
  <c r="K195" i="2"/>
  <c r="J195" i="2"/>
  <c r="I195" i="2"/>
  <c r="O195" i="2" s="1"/>
  <c r="A195" i="2"/>
  <c r="AD194" i="2"/>
  <c r="AC194" i="2"/>
  <c r="X194" i="2"/>
  <c r="V194" i="2"/>
  <c r="W194" i="2" s="1"/>
  <c r="U194" i="2"/>
  <c r="Q194" i="2"/>
  <c r="P194" i="2"/>
  <c r="M194" i="2"/>
  <c r="L194" i="2"/>
  <c r="K194" i="2"/>
  <c r="J194" i="2"/>
  <c r="I194" i="2"/>
  <c r="O194" i="2" s="1"/>
  <c r="A194" i="2"/>
  <c r="AD193" i="2"/>
  <c r="AC193" i="2"/>
  <c r="X193" i="2"/>
  <c r="W193" i="2"/>
  <c r="V193" i="2"/>
  <c r="U193" i="2"/>
  <c r="Q193" i="2"/>
  <c r="P193" i="2"/>
  <c r="M193" i="2"/>
  <c r="L193" i="2"/>
  <c r="K193" i="2"/>
  <c r="J193" i="2"/>
  <c r="I193" i="2"/>
  <c r="O193" i="2" s="1"/>
  <c r="A193" i="2"/>
  <c r="AD192" i="2"/>
  <c r="AC192" i="2"/>
  <c r="X192" i="2"/>
  <c r="V192" i="2"/>
  <c r="W192" i="2" s="1"/>
  <c r="U192" i="2"/>
  <c r="Q192" i="2"/>
  <c r="P192" i="2"/>
  <c r="M192" i="2"/>
  <c r="L192" i="2"/>
  <c r="K192" i="2"/>
  <c r="J192" i="2"/>
  <c r="I192" i="2"/>
  <c r="O192" i="2" s="1"/>
  <c r="A192" i="2"/>
  <c r="AD191" i="2"/>
  <c r="AC191" i="2"/>
  <c r="X191" i="2"/>
  <c r="W191" i="2"/>
  <c r="V191" i="2"/>
  <c r="U191" i="2"/>
  <c r="Q191" i="2"/>
  <c r="P191" i="2"/>
  <c r="M191" i="2"/>
  <c r="L191" i="2"/>
  <c r="K191" i="2"/>
  <c r="J191" i="2"/>
  <c r="I191" i="2"/>
  <c r="O191" i="2" s="1"/>
  <c r="A191" i="2"/>
  <c r="AD190" i="2"/>
  <c r="AC190" i="2"/>
  <c r="X190" i="2"/>
  <c r="V190" i="2"/>
  <c r="W190" i="2" s="1"/>
  <c r="U190" i="2"/>
  <c r="Q190" i="2"/>
  <c r="P190" i="2"/>
  <c r="M190" i="2"/>
  <c r="L190" i="2"/>
  <c r="K190" i="2"/>
  <c r="J190" i="2"/>
  <c r="I190" i="2"/>
  <c r="O190" i="2" s="1"/>
  <c r="A190" i="2"/>
  <c r="AD189" i="2"/>
  <c r="AC189" i="2"/>
  <c r="X189" i="2"/>
  <c r="V189" i="2"/>
  <c r="W189" i="2" s="1"/>
  <c r="U189" i="2"/>
  <c r="Q189" i="2"/>
  <c r="P189" i="2"/>
  <c r="M189" i="2"/>
  <c r="L189" i="2"/>
  <c r="K189" i="2"/>
  <c r="J189" i="2"/>
  <c r="I189" i="2"/>
  <c r="O189" i="2" s="1"/>
  <c r="A189" i="2"/>
  <c r="AD188" i="2"/>
  <c r="AC188" i="2"/>
  <c r="X188" i="2"/>
  <c r="W188" i="2"/>
  <c r="V188" i="2"/>
  <c r="U188" i="2"/>
  <c r="Q188" i="2"/>
  <c r="P188" i="2"/>
  <c r="M188" i="2"/>
  <c r="L188" i="2"/>
  <c r="K188" i="2"/>
  <c r="J188" i="2"/>
  <c r="I188" i="2"/>
  <c r="O188" i="2" s="1"/>
  <c r="A188" i="2"/>
  <c r="AD187" i="2"/>
  <c r="AC187" i="2"/>
  <c r="X187" i="2"/>
  <c r="V187" i="2"/>
  <c r="W187" i="2" s="1"/>
  <c r="U187" i="2"/>
  <c r="Q187" i="2"/>
  <c r="P187" i="2"/>
  <c r="M187" i="2"/>
  <c r="L187" i="2"/>
  <c r="K187" i="2"/>
  <c r="J187" i="2"/>
  <c r="I187" i="2"/>
  <c r="O187" i="2" s="1"/>
  <c r="A187" i="2"/>
  <c r="AD186" i="2"/>
  <c r="AC186" i="2"/>
  <c r="X186" i="2"/>
  <c r="V186" i="2"/>
  <c r="W186" i="2" s="1"/>
  <c r="U186" i="2"/>
  <c r="Q186" i="2"/>
  <c r="P186" i="2"/>
  <c r="M186" i="2"/>
  <c r="L186" i="2"/>
  <c r="K186" i="2"/>
  <c r="J186" i="2"/>
  <c r="I186" i="2"/>
  <c r="O186" i="2" s="1"/>
  <c r="A186" i="2"/>
  <c r="AD185" i="2"/>
  <c r="AC185" i="2"/>
  <c r="X185" i="2"/>
  <c r="W185" i="2"/>
  <c r="V185" i="2"/>
  <c r="U185" i="2"/>
  <c r="Q185" i="2"/>
  <c r="P185" i="2"/>
  <c r="M185" i="2"/>
  <c r="L185" i="2"/>
  <c r="K185" i="2"/>
  <c r="J185" i="2"/>
  <c r="I185" i="2"/>
  <c r="O185" i="2" s="1"/>
  <c r="A185" i="2"/>
  <c r="AD184" i="2"/>
  <c r="AC184" i="2"/>
  <c r="X184" i="2"/>
  <c r="V184" i="2"/>
  <c r="W184" i="2" s="1"/>
  <c r="U184" i="2"/>
  <c r="Q184" i="2"/>
  <c r="P184" i="2"/>
  <c r="M184" i="2"/>
  <c r="L184" i="2"/>
  <c r="K184" i="2"/>
  <c r="J184" i="2"/>
  <c r="I184" i="2"/>
  <c r="O184" i="2" s="1"/>
  <c r="A184" i="2"/>
  <c r="AD183" i="2"/>
  <c r="AC183" i="2"/>
  <c r="X183" i="2"/>
  <c r="W183" i="2"/>
  <c r="V183" i="2"/>
  <c r="U183" i="2"/>
  <c r="Q183" i="2"/>
  <c r="P183" i="2"/>
  <c r="M183" i="2"/>
  <c r="L183" i="2"/>
  <c r="K183" i="2"/>
  <c r="J183" i="2"/>
  <c r="I183" i="2"/>
  <c r="O183" i="2" s="1"/>
  <c r="A183" i="2"/>
  <c r="AD182" i="2"/>
  <c r="AC182" i="2"/>
  <c r="X182" i="2"/>
  <c r="V182" i="2"/>
  <c r="W182" i="2" s="1"/>
  <c r="U182" i="2"/>
  <c r="Q182" i="2"/>
  <c r="P182" i="2"/>
  <c r="M182" i="2"/>
  <c r="L182" i="2"/>
  <c r="K182" i="2"/>
  <c r="J182" i="2"/>
  <c r="I182" i="2"/>
  <c r="O182" i="2" s="1"/>
  <c r="A182" i="2"/>
  <c r="AD181" i="2"/>
  <c r="AC181" i="2"/>
  <c r="X181" i="2"/>
  <c r="V181" i="2"/>
  <c r="W181" i="2" s="1"/>
  <c r="U181" i="2"/>
  <c r="Q181" i="2"/>
  <c r="P181" i="2"/>
  <c r="M181" i="2"/>
  <c r="L181" i="2"/>
  <c r="K181" i="2"/>
  <c r="J181" i="2"/>
  <c r="I181" i="2"/>
  <c r="O181" i="2" s="1"/>
  <c r="A181" i="2"/>
  <c r="AD180" i="2"/>
  <c r="AC180" i="2"/>
  <c r="X180" i="2"/>
  <c r="W180" i="2"/>
  <c r="V180" i="2"/>
  <c r="U180" i="2"/>
  <c r="Q180" i="2"/>
  <c r="P180" i="2"/>
  <c r="M180" i="2"/>
  <c r="L180" i="2"/>
  <c r="K180" i="2"/>
  <c r="J180" i="2"/>
  <c r="I180" i="2"/>
  <c r="O180" i="2" s="1"/>
  <c r="A180" i="2"/>
  <c r="AD179" i="2"/>
  <c r="AC179" i="2"/>
  <c r="X179" i="2"/>
  <c r="W179" i="2"/>
  <c r="V179" i="2"/>
  <c r="U179" i="2"/>
  <c r="Q179" i="2"/>
  <c r="P179" i="2"/>
  <c r="M179" i="2"/>
  <c r="L179" i="2"/>
  <c r="K179" i="2"/>
  <c r="J179" i="2"/>
  <c r="I179" i="2"/>
  <c r="O179" i="2" s="1"/>
  <c r="A179" i="2"/>
  <c r="AD178" i="2"/>
  <c r="AC178" i="2"/>
  <c r="X178" i="2"/>
  <c r="V178" i="2"/>
  <c r="W178" i="2" s="1"/>
  <c r="U178" i="2"/>
  <c r="Q178" i="2"/>
  <c r="P178" i="2"/>
  <c r="M178" i="2"/>
  <c r="L178" i="2"/>
  <c r="K178" i="2"/>
  <c r="J178" i="2"/>
  <c r="I178" i="2"/>
  <c r="O178" i="2" s="1"/>
  <c r="A178" i="2"/>
  <c r="AD177" i="2"/>
  <c r="AC177" i="2"/>
  <c r="X177" i="2"/>
  <c r="W177" i="2"/>
  <c r="V177" i="2"/>
  <c r="U177" i="2"/>
  <c r="Q177" i="2"/>
  <c r="P177" i="2"/>
  <c r="M177" i="2"/>
  <c r="L177" i="2"/>
  <c r="K177" i="2"/>
  <c r="J177" i="2"/>
  <c r="I177" i="2"/>
  <c r="O177" i="2" s="1"/>
  <c r="A177" i="2"/>
  <c r="AD176" i="2"/>
  <c r="AC176" i="2"/>
  <c r="X176" i="2"/>
  <c r="V176" i="2"/>
  <c r="W176" i="2" s="1"/>
  <c r="U176" i="2"/>
  <c r="Q176" i="2"/>
  <c r="P176" i="2"/>
  <c r="M176" i="2"/>
  <c r="L176" i="2"/>
  <c r="K176" i="2"/>
  <c r="J176" i="2"/>
  <c r="I176" i="2"/>
  <c r="O176" i="2" s="1"/>
  <c r="A176" i="2"/>
  <c r="AD175" i="2"/>
  <c r="AC175" i="2"/>
  <c r="X175" i="2"/>
  <c r="W175" i="2"/>
  <c r="V175" i="2"/>
  <c r="U175" i="2"/>
  <c r="Q175" i="2"/>
  <c r="P175" i="2"/>
  <c r="M175" i="2"/>
  <c r="L175" i="2"/>
  <c r="K175" i="2"/>
  <c r="J175" i="2"/>
  <c r="I175" i="2"/>
  <c r="O175" i="2" s="1"/>
  <c r="A175" i="2"/>
  <c r="AD174" i="2"/>
  <c r="AC174" i="2"/>
  <c r="X174" i="2"/>
  <c r="V174" i="2"/>
  <c r="W174" i="2" s="1"/>
  <c r="U174" i="2"/>
  <c r="Q174" i="2"/>
  <c r="P174" i="2"/>
  <c r="M174" i="2"/>
  <c r="L174" i="2"/>
  <c r="K174" i="2"/>
  <c r="J174" i="2"/>
  <c r="I174" i="2"/>
  <c r="O174" i="2" s="1"/>
  <c r="A174" i="2"/>
  <c r="AD173" i="2"/>
  <c r="AC173" i="2"/>
  <c r="X173" i="2"/>
  <c r="V173" i="2"/>
  <c r="W173" i="2" s="1"/>
  <c r="U173" i="2"/>
  <c r="Q173" i="2"/>
  <c r="P173" i="2"/>
  <c r="M173" i="2"/>
  <c r="L173" i="2"/>
  <c r="K173" i="2"/>
  <c r="J173" i="2"/>
  <c r="I173" i="2"/>
  <c r="O173" i="2" s="1"/>
  <c r="A173" i="2"/>
  <c r="AD172" i="2"/>
  <c r="AC172" i="2"/>
  <c r="X172" i="2"/>
  <c r="W172" i="2"/>
  <c r="V172" i="2"/>
  <c r="U172" i="2"/>
  <c r="Q172" i="2"/>
  <c r="P172" i="2"/>
  <c r="M172" i="2"/>
  <c r="L172" i="2"/>
  <c r="K172" i="2"/>
  <c r="J172" i="2"/>
  <c r="I172" i="2"/>
  <c r="O172" i="2" s="1"/>
  <c r="A172" i="2"/>
  <c r="AD171" i="2"/>
  <c r="AC171" i="2"/>
  <c r="X171" i="2"/>
  <c r="W171" i="2"/>
  <c r="V171" i="2"/>
  <c r="U171" i="2"/>
  <c r="Q171" i="2"/>
  <c r="P171" i="2"/>
  <c r="M171" i="2"/>
  <c r="L171" i="2"/>
  <c r="K171" i="2"/>
  <c r="J171" i="2"/>
  <c r="I171" i="2"/>
  <c r="O171" i="2" s="1"/>
  <c r="A171" i="2"/>
  <c r="AD170" i="2"/>
  <c r="AC170" i="2"/>
  <c r="X170" i="2"/>
  <c r="V170" i="2"/>
  <c r="W170" i="2" s="1"/>
  <c r="U170" i="2"/>
  <c r="Q170" i="2"/>
  <c r="P170" i="2"/>
  <c r="M170" i="2"/>
  <c r="L170" i="2"/>
  <c r="K170" i="2"/>
  <c r="J170" i="2"/>
  <c r="I170" i="2"/>
  <c r="O170" i="2" s="1"/>
  <c r="A170" i="2"/>
  <c r="AD169" i="2"/>
  <c r="AC169" i="2"/>
  <c r="X169" i="2"/>
  <c r="W169" i="2"/>
  <c r="V169" i="2"/>
  <c r="U169" i="2"/>
  <c r="Q169" i="2"/>
  <c r="P169" i="2"/>
  <c r="M169" i="2"/>
  <c r="L169" i="2"/>
  <c r="K169" i="2"/>
  <c r="J169" i="2"/>
  <c r="I169" i="2"/>
  <c r="O169" i="2" s="1"/>
  <c r="A169" i="2"/>
  <c r="AD168" i="2"/>
  <c r="AC168" i="2"/>
  <c r="X168" i="2"/>
  <c r="V168" i="2"/>
  <c r="W168" i="2" s="1"/>
  <c r="U168" i="2"/>
  <c r="Q168" i="2"/>
  <c r="P168" i="2"/>
  <c r="M168" i="2"/>
  <c r="L168" i="2"/>
  <c r="K168" i="2"/>
  <c r="J168" i="2"/>
  <c r="I168" i="2"/>
  <c r="O168" i="2" s="1"/>
  <c r="A168" i="2"/>
  <c r="AD167" i="2"/>
  <c r="AC167" i="2"/>
  <c r="X167" i="2"/>
  <c r="W167" i="2"/>
  <c r="V167" i="2"/>
  <c r="U167" i="2"/>
  <c r="Q167" i="2"/>
  <c r="P167" i="2"/>
  <c r="M167" i="2"/>
  <c r="L167" i="2"/>
  <c r="K167" i="2"/>
  <c r="J167" i="2"/>
  <c r="I167" i="2"/>
  <c r="O167" i="2" s="1"/>
  <c r="A167" i="2"/>
  <c r="AD166" i="2"/>
  <c r="AC166" i="2"/>
  <c r="X166" i="2"/>
  <c r="V166" i="2"/>
  <c r="W166" i="2" s="1"/>
  <c r="U166" i="2"/>
  <c r="Q166" i="2"/>
  <c r="P166" i="2"/>
  <c r="M166" i="2"/>
  <c r="L166" i="2"/>
  <c r="K166" i="2"/>
  <c r="J166" i="2"/>
  <c r="I166" i="2"/>
  <c r="O166" i="2" s="1"/>
  <c r="A166" i="2"/>
  <c r="AD165" i="2"/>
  <c r="AC165" i="2"/>
  <c r="X165" i="2"/>
  <c r="V165" i="2"/>
  <c r="W165" i="2" s="1"/>
  <c r="U165" i="2"/>
  <c r="Q165" i="2"/>
  <c r="P165" i="2"/>
  <c r="M165" i="2"/>
  <c r="L165" i="2"/>
  <c r="K165" i="2"/>
  <c r="J165" i="2"/>
  <c r="I165" i="2"/>
  <c r="O165" i="2" s="1"/>
  <c r="A165" i="2"/>
  <c r="AD164" i="2"/>
  <c r="AC164" i="2"/>
  <c r="X164" i="2"/>
  <c r="W164" i="2"/>
  <c r="V164" i="2"/>
  <c r="U164" i="2"/>
  <c r="Q164" i="2"/>
  <c r="P164" i="2"/>
  <c r="M164" i="2"/>
  <c r="L164" i="2"/>
  <c r="K164" i="2"/>
  <c r="J164" i="2"/>
  <c r="I164" i="2"/>
  <c r="O164" i="2" s="1"/>
  <c r="A164" i="2"/>
  <c r="AD163" i="2"/>
  <c r="AC163" i="2"/>
  <c r="X163" i="2"/>
  <c r="W163" i="2"/>
  <c r="V163" i="2"/>
  <c r="U163" i="2"/>
  <c r="Q163" i="2"/>
  <c r="P163" i="2"/>
  <c r="M163" i="2"/>
  <c r="L163" i="2"/>
  <c r="K163" i="2"/>
  <c r="J163" i="2"/>
  <c r="I163" i="2"/>
  <c r="O163" i="2" s="1"/>
  <c r="A163" i="2"/>
  <c r="AD162" i="2"/>
  <c r="AC162" i="2"/>
  <c r="X162" i="2"/>
  <c r="V162" i="2"/>
  <c r="W162" i="2" s="1"/>
  <c r="U162" i="2"/>
  <c r="Q162" i="2"/>
  <c r="P162" i="2"/>
  <c r="M162" i="2"/>
  <c r="L162" i="2"/>
  <c r="K162" i="2"/>
  <c r="J162" i="2"/>
  <c r="I162" i="2"/>
  <c r="O162" i="2" s="1"/>
  <c r="A162" i="2"/>
  <c r="AD161" i="2"/>
  <c r="AC161" i="2"/>
  <c r="X161" i="2"/>
  <c r="W161" i="2"/>
  <c r="V161" i="2"/>
  <c r="U161" i="2"/>
  <c r="Q161" i="2"/>
  <c r="P161" i="2"/>
  <c r="M161" i="2"/>
  <c r="L161" i="2"/>
  <c r="K161" i="2"/>
  <c r="J161" i="2"/>
  <c r="I161" i="2"/>
  <c r="O161" i="2" s="1"/>
  <c r="A161" i="2"/>
  <c r="AD160" i="2"/>
  <c r="AC160" i="2"/>
  <c r="X160" i="2"/>
  <c r="V160" i="2"/>
  <c r="W160" i="2" s="1"/>
  <c r="U160" i="2"/>
  <c r="Q160" i="2"/>
  <c r="P160" i="2"/>
  <c r="M160" i="2"/>
  <c r="L160" i="2"/>
  <c r="K160" i="2"/>
  <c r="J160" i="2"/>
  <c r="I160" i="2"/>
  <c r="O160" i="2" s="1"/>
  <c r="A160" i="2"/>
  <c r="AD159" i="2"/>
  <c r="AC159" i="2"/>
  <c r="X159" i="2"/>
  <c r="W159" i="2"/>
  <c r="V159" i="2"/>
  <c r="U159" i="2"/>
  <c r="Q159" i="2"/>
  <c r="P159" i="2"/>
  <c r="M159" i="2"/>
  <c r="L159" i="2"/>
  <c r="K159" i="2"/>
  <c r="J159" i="2"/>
  <c r="I159" i="2"/>
  <c r="O159" i="2" s="1"/>
  <c r="A159" i="2"/>
  <c r="AD158" i="2"/>
  <c r="AC158" i="2"/>
  <c r="X158" i="2"/>
  <c r="V158" i="2"/>
  <c r="W158" i="2" s="1"/>
  <c r="U158" i="2"/>
  <c r="Q158" i="2"/>
  <c r="P158" i="2"/>
  <c r="M158" i="2"/>
  <c r="L158" i="2"/>
  <c r="K158" i="2"/>
  <c r="J158" i="2"/>
  <c r="I158" i="2"/>
  <c r="O158" i="2" s="1"/>
  <c r="A158" i="2"/>
  <c r="AD157" i="2"/>
  <c r="AC157" i="2"/>
  <c r="X157" i="2"/>
  <c r="V157" i="2"/>
  <c r="W157" i="2" s="1"/>
  <c r="U157" i="2"/>
  <c r="Q157" i="2"/>
  <c r="P157" i="2"/>
  <c r="M157" i="2"/>
  <c r="L157" i="2"/>
  <c r="K157" i="2"/>
  <c r="J157" i="2"/>
  <c r="I157" i="2"/>
  <c r="O157" i="2" s="1"/>
  <c r="A157" i="2"/>
  <c r="AD156" i="2"/>
  <c r="AC156" i="2"/>
  <c r="X156" i="2"/>
  <c r="W156" i="2"/>
  <c r="V156" i="2"/>
  <c r="U156" i="2"/>
  <c r="Q156" i="2"/>
  <c r="P156" i="2"/>
  <c r="M156" i="2"/>
  <c r="L156" i="2"/>
  <c r="K156" i="2"/>
  <c r="J156" i="2"/>
  <c r="I156" i="2"/>
  <c r="O156" i="2" s="1"/>
  <c r="A156" i="2"/>
  <c r="AD155" i="2"/>
  <c r="AC155" i="2"/>
  <c r="X155" i="2"/>
  <c r="W155" i="2"/>
  <c r="V155" i="2"/>
  <c r="U155" i="2"/>
  <c r="Q155" i="2"/>
  <c r="P155" i="2"/>
  <c r="M155" i="2"/>
  <c r="L155" i="2"/>
  <c r="K155" i="2"/>
  <c r="J155" i="2"/>
  <c r="I155" i="2"/>
  <c r="O155" i="2" s="1"/>
  <c r="A155" i="2"/>
  <c r="AD154" i="2"/>
  <c r="AC154" i="2"/>
  <c r="X154" i="2"/>
  <c r="V154" i="2"/>
  <c r="W154" i="2" s="1"/>
  <c r="U154" i="2"/>
  <c r="Q154" i="2"/>
  <c r="P154" i="2"/>
  <c r="M154" i="2"/>
  <c r="L154" i="2"/>
  <c r="K154" i="2"/>
  <c r="J154" i="2"/>
  <c r="I154" i="2"/>
  <c r="O154" i="2" s="1"/>
  <c r="A154" i="2"/>
  <c r="AD153" i="2"/>
  <c r="AC153" i="2"/>
  <c r="X153" i="2"/>
  <c r="W153" i="2"/>
  <c r="V153" i="2"/>
  <c r="U153" i="2"/>
  <c r="Q153" i="2"/>
  <c r="P153" i="2"/>
  <c r="M153" i="2"/>
  <c r="L153" i="2"/>
  <c r="K153" i="2"/>
  <c r="J153" i="2"/>
  <c r="I153" i="2"/>
  <c r="O153" i="2" s="1"/>
  <c r="A153" i="2"/>
  <c r="AD152" i="2"/>
  <c r="AC152" i="2"/>
  <c r="X152" i="2"/>
  <c r="V152" i="2"/>
  <c r="W152" i="2" s="1"/>
  <c r="U152" i="2"/>
  <c r="Q152" i="2"/>
  <c r="P152" i="2"/>
  <c r="M152" i="2"/>
  <c r="L152" i="2"/>
  <c r="K152" i="2"/>
  <c r="J152" i="2"/>
  <c r="I152" i="2"/>
  <c r="O152" i="2" s="1"/>
  <c r="A152" i="2"/>
  <c r="AD151" i="2"/>
  <c r="AC151" i="2"/>
  <c r="X151" i="2"/>
  <c r="W151" i="2"/>
  <c r="V151" i="2"/>
  <c r="U151" i="2"/>
  <c r="Q151" i="2"/>
  <c r="P151" i="2"/>
  <c r="M151" i="2"/>
  <c r="L151" i="2"/>
  <c r="K151" i="2"/>
  <c r="J151" i="2"/>
  <c r="I151" i="2"/>
  <c r="O151" i="2" s="1"/>
  <c r="A151" i="2"/>
  <c r="AD150" i="2"/>
  <c r="AC150" i="2"/>
  <c r="X150" i="2"/>
  <c r="V150" i="2"/>
  <c r="W150" i="2" s="1"/>
  <c r="U150" i="2"/>
  <c r="Q150" i="2"/>
  <c r="P150" i="2"/>
  <c r="M150" i="2"/>
  <c r="L150" i="2"/>
  <c r="K150" i="2"/>
  <c r="J150" i="2"/>
  <c r="I150" i="2"/>
  <c r="O150" i="2" s="1"/>
  <c r="A150" i="2"/>
  <c r="AD149" i="2"/>
  <c r="AC149" i="2"/>
  <c r="X149" i="2"/>
  <c r="W149" i="2"/>
  <c r="V149" i="2"/>
  <c r="U149" i="2"/>
  <c r="Q149" i="2"/>
  <c r="P149" i="2"/>
  <c r="M149" i="2"/>
  <c r="L149" i="2"/>
  <c r="K149" i="2"/>
  <c r="J149" i="2"/>
  <c r="I149" i="2"/>
  <c r="O149" i="2" s="1"/>
  <c r="A149" i="2"/>
  <c r="AD148" i="2"/>
  <c r="AC148" i="2"/>
  <c r="X148" i="2"/>
  <c r="W148" i="2"/>
  <c r="V148" i="2"/>
  <c r="U148" i="2"/>
  <c r="Q148" i="2"/>
  <c r="P148" i="2"/>
  <c r="M148" i="2"/>
  <c r="L148" i="2"/>
  <c r="K148" i="2"/>
  <c r="J148" i="2"/>
  <c r="I148" i="2"/>
  <c r="O148" i="2" s="1"/>
  <c r="A148" i="2"/>
  <c r="AD147" i="2"/>
  <c r="AC147" i="2"/>
  <c r="X147" i="2"/>
  <c r="V147" i="2"/>
  <c r="W147" i="2" s="1"/>
  <c r="U147" i="2"/>
  <c r="Q147" i="2"/>
  <c r="P147" i="2"/>
  <c r="M147" i="2"/>
  <c r="L147" i="2"/>
  <c r="K147" i="2"/>
  <c r="J147" i="2"/>
  <c r="I147" i="2"/>
  <c r="O147" i="2" s="1"/>
  <c r="A147" i="2"/>
  <c r="AD146" i="2"/>
  <c r="AC146" i="2"/>
  <c r="X146" i="2"/>
  <c r="V146" i="2"/>
  <c r="W146" i="2" s="1"/>
  <c r="U146" i="2"/>
  <c r="Q146" i="2"/>
  <c r="P146" i="2"/>
  <c r="M146" i="2"/>
  <c r="L146" i="2"/>
  <c r="K146" i="2"/>
  <c r="J146" i="2"/>
  <c r="I146" i="2"/>
  <c r="O146" i="2" s="1"/>
  <c r="A146" i="2"/>
  <c r="AD145" i="2"/>
  <c r="AC145" i="2"/>
  <c r="X145" i="2"/>
  <c r="W145" i="2"/>
  <c r="V145" i="2"/>
  <c r="U145" i="2"/>
  <c r="Q145" i="2"/>
  <c r="P145" i="2"/>
  <c r="M145" i="2"/>
  <c r="L145" i="2"/>
  <c r="K145" i="2"/>
  <c r="J145" i="2"/>
  <c r="I145" i="2"/>
  <c r="O145" i="2" s="1"/>
  <c r="A145" i="2"/>
  <c r="AD144" i="2"/>
  <c r="AC144" i="2"/>
  <c r="X144" i="2"/>
  <c r="V144" i="2"/>
  <c r="W144" i="2" s="1"/>
  <c r="U144" i="2"/>
  <c r="Q144" i="2"/>
  <c r="P144" i="2"/>
  <c r="M144" i="2"/>
  <c r="L144" i="2"/>
  <c r="K144" i="2"/>
  <c r="J144" i="2"/>
  <c r="I144" i="2"/>
  <c r="O144" i="2" s="1"/>
  <c r="A144" i="2"/>
  <c r="AD143" i="2"/>
  <c r="AC143" i="2"/>
  <c r="X143" i="2"/>
  <c r="W143" i="2"/>
  <c r="V143" i="2"/>
  <c r="U143" i="2"/>
  <c r="Q143" i="2"/>
  <c r="P143" i="2"/>
  <c r="M143" i="2"/>
  <c r="L143" i="2"/>
  <c r="K143" i="2"/>
  <c r="J143" i="2"/>
  <c r="I143" i="2"/>
  <c r="O143" i="2" s="1"/>
  <c r="A143" i="2"/>
  <c r="AD142" i="2"/>
  <c r="AC142" i="2"/>
  <c r="X142" i="2"/>
  <c r="V142" i="2"/>
  <c r="W142" i="2" s="1"/>
  <c r="U142" i="2"/>
  <c r="Q142" i="2"/>
  <c r="P142" i="2"/>
  <c r="M142" i="2"/>
  <c r="L142" i="2"/>
  <c r="K142" i="2"/>
  <c r="J142" i="2"/>
  <c r="I142" i="2"/>
  <c r="O142" i="2" s="1"/>
  <c r="A142" i="2"/>
  <c r="AD141" i="2"/>
  <c r="AC141" i="2"/>
  <c r="X141" i="2"/>
  <c r="W141" i="2"/>
  <c r="V141" i="2"/>
  <c r="U141" i="2"/>
  <c r="Q141" i="2"/>
  <c r="P141" i="2"/>
  <c r="M141" i="2"/>
  <c r="L141" i="2"/>
  <c r="K141" i="2"/>
  <c r="J141" i="2"/>
  <c r="I141" i="2"/>
  <c r="O141" i="2" s="1"/>
  <c r="A141" i="2"/>
  <c r="AD140" i="2"/>
  <c r="AC140" i="2"/>
  <c r="X140" i="2"/>
  <c r="W140" i="2"/>
  <c r="V140" i="2"/>
  <c r="U140" i="2"/>
  <c r="Q140" i="2"/>
  <c r="P140" i="2"/>
  <c r="M140" i="2"/>
  <c r="L140" i="2"/>
  <c r="K140" i="2"/>
  <c r="J140" i="2"/>
  <c r="I140" i="2"/>
  <c r="O140" i="2" s="1"/>
  <c r="A140" i="2"/>
  <c r="AD139" i="2"/>
  <c r="AC139" i="2"/>
  <c r="X139" i="2"/>
  <c r="V139" i="2"/>
  <c r="W139" i="2" s="1"/>
  <c r="U139" i="2"/>
  <c r="Q139" i="2"/>
  <c r="P139" i="2"/>
  <c r="M139" i="2"/>
  <c r="L139" i="2"/>
  <c r="K139" i="2"/>
  <c r="J139" i="2"/>
  <c r="I139" i="2"/>
  <c r="O139" i="2" s="1"/>
  <c r="A139" i="2"/>
  <c r="AD138" i="2"/>
  <c r="AC138" i="2"/>
  <c r="X138" i="2"/>
  <c r="V138" i="2"/>
  <c r="W138" i="2" s="1"/>
  <c r="U138" i="2"/>
  <c r="Q138" i="2"/>
  <c r="P138" i="2"/>
  <c r="M138" i="2"/>
  <c r="L138" i="2"/>
  <c r="K138" i="2"/>
  <c r="J138" i="2"/>
  <c r="I138" i="2"/>
  <c r="O138" i="2" s="1"/>
  <c r="A138" i="2"/>
  <c r="AD137" i="2"/>
  <c r="AC137" i="2"/>
  <c r="X137" i="2"/>
  <c r="W137" i="2"/>
  <c r="V137" i="2"/>
  <c r="U137" i="2"/>
  <c r="Q137" i="2"/>
  <c r="P137" i="2"/>
  <c r="M137" i="2"/>
  <c r="L137" i="2"/>
  <c r="K137" i="2"/>
  <c r="J137" i="2"/>
  <c r="I137" i="2"/>
  <c r="O137" i="2" s="1"/>
  <c r="A137" i="2"/>
  <c r="AD136" i="2"/>
  <c r="AC136" i="2"/>
  <c r="X136" i="2"/>
  <c r="V136" i="2"/>
  <c r="W136" i="2" s="1"/>
  <c r="U136" i="2"/>
  <c r="Q136" i="2"/>
  <c r="P136" i="2"/>
  <c r="M136" i="2"/>
  <c r="L136" i="2"/>
  <c r="K136" i="2"/>
  <c r="J136" i="2"/>
  <c r="I136" i="2"/>
  <c r="O136" i="2" s="1"/>
  <c r="A136" i="2"/>
  <c r="AD135" i="2"/>
  <c r="AC135" i="2"/>
  <c r="X135" i="2"/>
  <c r="W135" i="2"/>
  <c r="V135" i="2"/>
  <c r="U135" i="2"/>
  <c r="Q135" i="2"/>
  <c r="P135" i="2"/>
  <c r="M135" i="2"/>
  <c r="L135" i="2"/>
  <c r="K135" i="2"/>
  <c r="J135" i="2"/>
  <c r="I135" i="2"/>
  <c r="O135" i="2" s="1"/>
  <c r="A135" i="2"/>
  <c r="AD134" i="2"/>
  <c r="AC134" i="2"/>
  <c r="X134" i="2"/>
  <c r="V134" i="2"/>
  <c r="W134" i="2" s="1"/>
  <c r="U134" i="2"/>
  <c r="Q134" i="2"/>
  <c r="P134" i="2"/>
  <c r="M134" i="2"/>
  <c r="L134" i="2"/>
  <c r="K134" i="2"/>
  <c r="J134" i="2"/>
  <c r="I134" i="2"/>
  <c r="O134" i="2" s="1"/>
  <c r="A134" i="2"/>
  <c r="AD133" i="2"/>
  <c r="AC133" i="2"/>
  <c r="X133" i="2"/>
  <c r="W133" i="2"/>
  <c r="V133" i="2"/>
  <c r="U133" i="2"/>
  <c r="Q133" i="2"/>
  <c r="P133" i="2"/>
  <c r="M133" i="2"/>
  <c r="L133" i="2"/>
  <c r="K133" i="2"/>
  <c r="J133" i="2"/>
  <c r="I133" i="2"/>
  <c r="O133" i="2" s="1"/>
  <c r="A133" i="2"/>
  <c r="AD132" i="2"/>
  <c r="AC132" i="2"/>
  <c r="X132" i="2"/>
  <c r="V132" i="2"/>
  <c r="W132" i="2" s="1"/>
  <c r="U132" i="2"/>
  <c r="Q132" i="2"/>
  <c r="P132" i="2"/>
  <c r="M132" i="2"/>
  <c r="L132" i="2"/>
  <c r="K132" i="2"/>
  <c r="J132" i="2"/>
  <c r="I132" i="2"/>
  <c r="O132" i="2" s="1"/>
  <c r="A132" i="2"/>
  <c r="AD131" i="2"/>
  <c r="AC131" i="2"/>
  <c r="X131" i="2"/>
  <c r="W131" i="2"/>
  <c r="V131" i="2"/>
  <c r="U131" i="2"/>
  <c r="Q131" i="2"/>
  <c r="P131" i="2"/>
  <c r="M131" i="2"/>
  <c r="L131" i="2"/>
  <c r="K131" i="2"/>
  <c r="J131" i="2"/>
  <c r="I131" i="2"/>
  <c r="O131" i="2" s="1"/>
  <c r="A131" i="2"/>
  <c r="AD130" i="2"/>
  <c r="AC130" i="2"/>
  <c r="X130" i="2"/>
  <c r="V130" i="2"/>
  <c r="W130" i="2" s="1"/>
  <c r="U130" i="2"/>
  <c r="Q130" i="2"/>
  <c r="P130" i="2"/>
  <c r="M130" i="2"/>
  <c r="L130" i="2"/>
  <c r="K130" i="2"/>
  <c r="J130" i="2"/>
  <c r="I130" i="2"/>
  <c r="O130" i="2" s="1"/>
  <c r="A130" i="2"/>
  <c r="AD129" i="2"/>
  <c r="AC129" i="2"/>
  <c r="X129" i="2"/>
  <c r="W129" i="2"/>
  <c r="V129" i="2"/>
  <c r="U129" i="2"/>
  <c r="Q129" i="2"/>
  <c r="P129" i="2"/>
  <c r="M129" i="2"/>
  <c r="L129" i="2"/>
  <c r="K129" i="2"/>
  <c r="J129" i="2"/>
  <c r="I129" i="2"/>
  <c r="O129" i="2" s="1"/>
  <c r="A129" i="2"/>
  <c r="AD128" i="2"/>
  <c r="AC128" i="2"/>
  <c r="X128" i="2"/>
  <c r="V128" i="2"/>
  <c r="W128" i="2" s="1"/>
  <c r="U128" i="2"/>
  <c r="Q128" i="2"/>
  <c r="P128" i="2"/>
  <c r="M128" i="2"/>
  <c r="L128" i="2"/>
  <c r="K128" i="2"/>
  <c r="J128" i="2"/>
  <c r="I128" i="2"/>
  <c r="O128" i="2" s="1"/>
  <c r="A128" i="2"/>
  <c r="AD127" i="2"/>
  <c r="AC127" i="2"/>
  <c r="X127" i="2"/>
  <c r="W127" i="2"/>
  <c r="V127" i="2"/>
  <c r="U127" i="2"/>
  <c r="Q127" i="2"/>
  <c r="P127" i="2"/>
  <c r="M127" i="2"/>
  <c r="L127" i="2"/>
  <c r="K127" i="2"/>
  <c r="J127" i="2"/>
  <c r="I127" i="2"/>
  <c r="O127" i="2" s="1"/>
  <c r="A127" i="2"/>
  <c r="AD126" i="2"/>
  <c r="AC126" i="2"/>
  <c r="X126" i="2"/>
  <c r="V126" i="2"/>
  <c r="W126" i="2" s="1"/>
  <c r="U126" i="2"/>
  <c r="Q126" i="2"/>
  <c r="P126" i="2"/>
  <c r="M126" i="2"/>
  <c r="L126" i="2"/>
  <c r="K126" i="2"/>
  <c r="J126" i="2"/>
  <c r="I126" i="2"/>
  <c r="O126" i="2" s="1"/>
  <c r="A126" i="2"/>
  <c r="AD125" i="2"/>
  <c r="AC125" i="2"/>
  <c r="X125" i="2"/>
  <c r="W125" i="2"/>
  <c r="V125" i="2"/>
  <c r="U125" i="2"/>
  <c r="Q125" i="2"/>
  <c r="P125" i="2"/>
  <c r="M125" i="2"/>
  <c r="L125" i="2"/>
  <c r="K125" i="2"/>
  <c r="J125" i="2"/>
  <c r="I125" i="2"/>
  <c r="O125" i="2" s="1"/>
  <c r="A125" i="2"/>
  <c r="AD124" i="2"/>
  <c r="AC124" i="2"/>
  <c r="X124" i="2"/>
  <c r="V124" i="2"/>
  <c r="W124" i="2" s="1"/>
  <c r="U124" i="2"/>
  <c r="Q124" i="2"/>
  <c r="P124" i="2"/>
  <c r="M124" i="2"/>
  <c r="L124" i="2"/>
  <c r="K124" i="2"/>
  <c r="J124" i="2"/>
  <c r="I124" i="2"/>
  <c r="O124" i="2" s="1"/>
  <c r="A124" i="2"/>
  <c r="AD123" i="2"/>
  <c r="AC123" i="2"/>
  <c r="X123" i="2"/>
  <c r="W123" i="2"/>
  <c r="V123" i="2"/>
  <c r="U123" i="2"/>
  <c r="Q123" i="2"/>
  <c r="P123" i="2"/>
  <c r="M123" i="2"/>
  <c r="L123" i="2"/>
  <c r="K123" i="2"/>
  <c r="J123" i="2"/>
  <c r="I123" i="2"/>
  <c r="O123" i="2" s="1"/>
  <c r="A123" i="2"/>
  <c r="AD122" i="2"/>
  <c r="AC122" i="2"/>
  <c r="X122" i="2"/>
  <c r="V122" i="2"/>
  <c r="W122" i="2" s="1"/>
  <c r="U122" i="2"/>
  <c r="Q122" i="2"/>
  <c r="P122" i="2"/>
  <c r="M122" i="2"/>
  <c r="L122" i="2"/>
  <c r="K122" i="2"/>
  <c r="J122" i="2"/>
  <c r="I122" i="2"/>
  <c r="O122" i="2" s="1"/>
  <c r="A122" i="2"/>
  <c r="AD121" i="2"/>
  <c r="AC121" i="2"/>
  <c r="X121" i="2"/>
  <c r="W121" i="2"/>
  <c r="V121" i="2"/>
  <c r="U121" i="2"/>
  <c r="Q121" i="2"/>
  <c r="P121" i="2"/>
  <c r="M121" i="2"/>
  <c r="L121" i="2"/>
  <c r="K121" i="2"/>
  <c r="J121" i="2"/>
  <c r="I121" i="2"/>
  <c r="O121" i="2" s="1"/>
  <c r="A121" i="2"/>
  <c r="AD120" i="2"/>
  <c r="AC120" i="2"/>
  <c r="X120" i="2"/>
  <c r="V120" i="2"/>
  <c r="W120" i="2" s="1"/>
  <c r="U120" i="2"/>
  <c r="Q120" i="2"/>
  <c r="P120" i="2"/>
  <c r="M120" i="2"/>
  <c r="L120" i="2"/>
  <c r="K120" i="2"/>
  <c r="J120" i="2"/>
  <c r="I120" i="2"/>
  <c r="O120" i="2" s="1"/>
  <c r="A120" i="2"/>
  <c r="AD119" i="2"/>
  <c r="AC119" i="2"/>
  <c r="X119" i="2"/>
  <c r="W119" i="2"/>
  <c r="V119" i="2"/>
  <c r="U119" i="2"/>
  <c r="Q119" i="2"/>
  <c r="P119" i="2"/>
  <c r="M119" i="2"/>
  <c r="L119" i="2"/>
  <c r="K119" i="2"/>
  <c r="J119" i="2"/>
  <c r="I119" i="2"/>
  <c r="O119" i="2" s="1"/>
  <c r="A119" i="2"/>
  <c r="AD118" i="2"/>
  <c r="AC118" i="2"/>
  <c r="X118" i="2"/>
  <c r="V118" i="2"/>
  <c r="W118" i="2" s="1"/>
  <c r="U118" i="2"/>
  <c r="Q118" i="2"/>
  <c r="P118" i="2"/>
  <c r="M118" i="2"/>
  <c r="L118" i="2"/>
  <c r="K118" i="2"/>
  <c r="J118" i="2"/>
  <c r="I118" i="2"/>
  <c r="O118" i="2" s="1"/>
  <c r="A118" i="2"/>
  <c r="AD117" i="2"/>
  <c r="AC117" i="2"/>
  <c r="X117" i="2"/>
  <c r="W117" i="2"/>
  <c r="V117" i="2"/>
  <c r="U117" i="2"/>
  <c r="Q117" i="2"/>
  <c r="P117" i="2"/>
  <c r="M117" i="2"/>
  <c r="L117" i="2"/>
  <c r="K117" i="2"/>
  <c r="J117" i="2"/>
  <c r="I117" i="2"/>
  <c r="O117" i="2" s="1"/>
  <c r="A117" i="2"/>
  <c r="AD116" i="2"/>
  <c r="AC116" i="2"/>
  <c r="X116" i="2"/>
  <c r="V116" i="2"/>
  <c r="W116" i="2" s="1"/>
  <c r="U116" i="2"/>
  <c r="Q116" i="2"/>
  <c r="P116" i="2"/>
  <c r="M116" i="2"/>
  <c r="L116" i="2"/>
  <c r="K116" i="2"/>
  <c r="J116" i="2"/>
  <c r="I116" i="2"/>
  <c r="O116" i="2" s="1"/>
  <c r="A116" i="2"/>
  <c r="AD115" i="2"/>
  <c r="AC115" i="2"/>
  <c r="X115" i="2"/>
  <c r="V115" i="2"/>
  <c r="W115" i="2" s="1"/>
  <c r="U115" i="2"/>
  <c r="Q115" i="2"/>
  <c r="P115" i="2"/>
  <c r="M115" i="2"/>
  <c r="L115" i="2"/>
  <c r="K115" i="2"/>
  <c r="J115" i="2"/>
  <c r="I115" i="2"/>
  <c r="O115" i="2" s="1"/>
  <c r="A115" i="2"/>
  <c r="AD114" i="2"/>
  <c r="AC114" i="2"/>
  <c r="X114" i="2"/>
  <c r="V114" i="2"/>
  <c r="W114" i="2" s="1"/>
  <c r="U114" i="2"/>
  <c r="Q114" i="2"/>
  <c r="P114" i="2"/>
  <c r="M114" i="2"/>
  <c r="L114" i="2"/>
  <c r="K114" i="2"/>
  <c r="J114" i="2"/>
  <c r="I114" i="2"/>
  <c r="O114" i="2" s="1"/>
  <c r="A114" i="2"/>
  <c r="AD113" i="2"/>
  <c r="AC113" i="2"/>
  <c r="X113" i="2"/>
  <c r="W113" i="2"/>
  <c r="V113" i="2"/>
  <c r="U113" i="2"/>
  <c r="Q113" i="2"/>
  <c r="P113" i="2"/>
  <c r="M113" i="2"/>
  <c r="L113" i="2"/>
  <c r="K113" i="2"/>
  <c r="J113" i="2"/>
  <c r="I113" i="2"/>
  <c r="O113" i="2" s="1"/>
  <c r="A113" i="2"/>
  <c r="AD112" i="2"/>
  <c r="AC112" i="2"/>
  <c r="X112" i="2"/>
  <c r="V112" i="2"/>
  <c r="W112" i="2" s="1"/>
  <c r="U112" i="2"/>
  <c r="Q112" i="2"/>
  <c r="P112" i="2"/>
  <c r="M112" i="2"/>
  <c r="L112" i="2"/>
  <c r="K112" i="2"/>
  <c r="J112" i="2"/>
  <c r="I112" i="2"/>
  <c r="O112" i="2" s="1"/>
  <c r="A112" i="2"/>
  <c r="AD111" i="2"/>
  <c r="AC111" i="2"/>
  <c r="X111" i="2"/>
  <c r="W111" i="2"/>
  <c r="V111" i="2"/>
  <c r="U111" i="2"/>
  <c r="Q111" i="2"/>
  <c r="P111" i="2"/>
  <c r="M111" i="2"/>
  <c r="L111" i="2"/>
  <c r="K111" i="2"/>
  <c r="J111" i="2"/>
  <c r="I111" i="2"/>
  <c r="O111" i="2" s="1"/>
  <c r="A111" i="2"/>
  <c r="AD110" i="2"/>
  <c r="AC110" i="2"/>
  <c r="X110" i="2"/>
  <c r="V110" i="2"/>
  <c r="W110" i="2" s="1"/>
  <c r="U110" i="2"/>
  <c r="Q110" i="2"/>
  <c r="P110" i="2"/>
  <c r="M110" i="2"/>
  <c r="L110" i="2"/>
  <c r="K110" i="2"/>
  <c r="J110" i="2"/>
  <c r="I110" i="2"/>
  <c r="O110" i="2" s="1"/>
  <c r="A110" i="2"/>
  <c r="AD109" i="2"/>
  <c r="AC109" i="2"/>
  <c r="X109" i="2"/>
  <c r="W109" i="2"/>
  <c r="V109" i="2"/>
  <c r="U109" i="2"/>
  <c r="Q109" i="2"/>
  <c r="P109" i="2"/>
  <c r="M109" i="2"/>
  <c r="L109" i="2"/>
  <c r="K109" i="2"/>
  <c r="J109" i="2"/>
  <c r="I109" i="2"/>
  <c r="O109" i="2" s="1"/>
  <c r="A109" i="2"/>
  <c r="AD108" i="2"/>
  <c r="AC108" i="2"/>
  <c r="X108" i="2"/>
  <c r="W108" i="2"/>
  <c r="V108" i="2"/>
  <c r="U108" i="2"/>
  <c r="Q108" i="2"/>
  <c r="P108" i="2"/>
  <c r="M108" i="2"/>
  <c r="L108" i="2"/>
  <c r="K108" i="2"/>
  <c r="J108" i="2"/>
  <c r="I108" i="2"/>
  <c r="O108" i="2" s="1"/>
  <c r="A108" i="2"/>
  <c r="AD107" i="2"/>
  <c r="AC107" i="2"/>
  <c r="X107" i="2"/>
  <c r="V107" i="2"/>
  <c r="W107" i="2" s="1"/>
  <c r="U107" i="2"/>
  <c r="Q107" i="2"/>
  <c r="P107" i="2"/>
  <c r="M107" i="2"/>
  <c r="L107" i="2"/>
  <c r="K107" i="2"/>
  <c r="J107" i="2"/>
  <c r="I107" i="2"/>
  <c r="O107" i="2" s="1"/>
  <c r="A107" i="2"/>
  <c r="AD106" i="2"/>
  <c r="AC106" i="2"/>
  <c r="X106" i="2"/>
  <c r="V106" i="2"/>
  <c r="W106" i="2" s="1"/>
  <c r="U106" i="2"/>
  <c r="Q106" i="2"/>
  <c r="P106" i="2"/>
  <c r="M106" i="2"/>
  <c r="L106" i="2"/>
  <c r="K106" i="2"/>
  <c r="J106" i="2"/>
  <c r="I106" i="2"/>
  <c r="O106" i="2" s="1"/>
  <c r="A106" i="2"/>
  <c r="AD105" i="2"/>
  <c r="AC105" i="2"/>
  <c r="X105" i="2"/>
  <c r="W105" i="2"/>
  <c r="V105" i="2"/>
  <c r="U105" i="2"/>
  <c r="Q105" i="2"/>
  <c r="P105" i="2"/>
  <c r="M105" i="2"/>
  <c r="L105" i="2"/>
  <c r="K105" i="2"/>
  <c r="J105" i="2"/>
  <c r="I105" i="2"/>
  <c r="O105" i="2" s="1"/>
  <c r="A105" i="2"/>
  <c r="AD104" i="2"/>
  <c r="AC104" i="2"/>
  <c r="X104" i="2"/>
  <c r="V104" i="2"/>
  <c r="W104" i="2" s="1"/>
  <c r="U104" i="2"/>
  <c r="Q104" i="2"/>
  <c r="P104" i="2"/>
  <c r="M104" i="2"/>
  <c r="L104" i="2"/>
  <c r="K104" i="2"/>
  <c r="J104" i="2"/>
  <c r="I104" i="2"/>
  <c r="O104" i="2" s="1"/>
  <c r="A104" i="2"/>
  <c r="AD103" i="2"/>
  <c r="AC103" i="2"/>
  <c r="X103" i="2"/>
  <c r="W103" i="2"/>
  <c r="V103" i="2"/>
  <c r="U103" i="2"/>
  <c r="Q103" i="2"/>
  <c r="P103" i="2"/>
  <c r="M103" i="2"/>
  <c r="L103" i="2"/>
  <c r="K103" i="2"/>
  <c r="J103" i="2"/>
  <c r="I103" i="2"/>
  <c r="O103" i="2" s="1"/>
  <c r="A103" i="2"/>
  <c r="AD102" i="2"/>
  <c r="AC102" i="2"/>
  <c r="X102" i="2"/>
  <c r="V102" i="2"/>
  <c r="W102" i="2" s="1"/>
  <c r="U102" i="2"/>
  <c r="Q102" i="2"/>
  <c r="P102" i="2"/>
  <c r="M102" i="2"/>
  <c r="L102" i="2"/>
  <c r="K102" i="2"/>
  <c r="J102" i="2"/>
  <c r="I102" i="2"/>
  <c r="O102" i="2" s="1"/>
  <c r="A102" i="2"/>
  <c r="AD101" i="2"/>
  <c r="AC101" i="2"/>
  <c r="X101" i="2"/>
  <c r="W101" i="2"/>
  <c r="V101" i="2"/>
  <c r="U101" i="2"/>
  <c r="Q101" i="2"/>
  <c r="P101" i="2"/>
  <c r="M101" i="2"/>
  <c r="L101" i="2"/>
  <c r="K101" i="2"/>
  <c r="J101" i="2"/>
  <c r="I101" i="2"/>
  <c r="O101" i="2" s="1"/>
  <c r="A101" i="2"/>
  <c r="AD100" i="2"/>
  <c r="AC100" i="2"/>
  <c r="X100" i="2"/>
  <c r="V100" i="2"/>
  <c r="W100" i="2" s="1"/>
  <c r="U100" i="2"/>
  <c r="Q100" i="2"/>
  <c r="P100" i="2"/>
  <c r="M100" i="2"/>
  <c r="L100" i="2"/>
  <c r="K100" i="2"/>
  <c r="J100" i="2"/>
  <c r="I100" i="2"/>
  <c r="O100" i="2" s="1"/>
  <c r="A100" i="2"/>
  <c r="AD99" i="2"/>
  <c r="AC99" i="2"/>
  <c r="X99" i="2"/>
  <c r="W99" i="2"/>
  <c r="V99" i="2"/>
  <c r="U99" i="2"/>
  <c r="Q99" i="2"/>
  <c r="P99" i="2"/>
  <c r="M99" i="2"/>
  <c r="L99" i="2"/>
  <c r="K99" i="2"/>
  <c r="J99" i="2"/>
  <c r="I99" i="2"/>
  <c r="O99" i="2" s="1"/>
  <c r="A99" i="2"/>
  <c r="AD98" i="2"/>
  <c r="AC98" i="2"/>
  <c r="X98" i="2"/>
  <c r="V98" i="2"/>
  <c r="W98" i="2" s="1"/>
  <c r="U98" i="2"/>
  <c r="Q98" i="2"/>
  <c r="P98" i="2"/>
  <c r="M98" i="2"/>
  <c r="L98" i="2"/>
  <c r="K98" i="2"/>
  <c r="J98" i="2"/>
  <c r="I98" i="2"/>
  <c r="O98" i="2" s="1"/>
  <c r="A98" i="2"/>
  <c r="AD97" i="2"/>
  <c r="AC97" i="2"/>
  <c r="X97" i="2"/>
  <c r="W97" i="2"/>
  <c r="V97" i="2"/>
  <c r="U97" i="2"/>
  <c r="Q97" i="2"/>
  <c r="P97" i="2"/>
  <c r="M97" i="2"/>
  <c r="L97" i="2"/>
  <c r="K97" i="2"/>
  <c r="J97" i="2"/>
  <c r="I97" i="2"/>
  <c r="O97" i="2" s="1"/>
  <c r="A97" i="2"/>
  <c r="AD96" i="2"/>
  <c r="AC96" i="2"/>
  <c r="X96" i="2"/>
  <c r="V96" i="2"/>
  <c r="W96" i="2" s="1"/>
  <c r="U96" i="2"/>
  <c r="Q96" i="2"/>
  <c r="P96" i="2"/>
  <c r="M96" i="2"/>
  <c r="L96" i="2"/>
  <c r="K96" i="2"/>
  <c r="J96" i="2"/>
  <c r="I96" i="2"/>
  <c r="O96" i="2" s="1"/>
  <c r="A96" i="2"/>
  <c r="AD95" i="2"/>
  <c r="AC95" i="2"/>
  <c r="X95" i="2"/>
  <c r="W95" i="2"/>
  <c r="V95" i="2"/>
  <c r="U95" i="2"/>
  <c r="Q95" i="2"/>
  <c r="P95" i="2"/>
  <c r="M95" i="2"/>
  <c r="L95" i="2"/>
  <c r="K95" i="2"/>
  <c r="J95" i="2"/>
  <c r="I95" i="2"/>
  <c r="O95" i="2" s="1"/>
  <c r="A95" i="2"/>
  <c r="AD94" i="2"/>
  <c r="AC94" i="2"/>
  <c r="X94" i="2"/>
  <c r="V94" i="2"/>
  <c r="W94" i="2" s="1"/>
  <c r="U94" i="2"/>
  <c r="Q94" i="2"/>
  <c r="P94" i="2"/>
  <c r="M94" i="2"/>
  <c r="L94" i="2"/>
  <c r="K94" i="2"/>
  <c r="J94" i="2"/>
  <c r="I94" i="2"/>
  <c r="O94" i="2" s="1"/>
  <c r="A94" i="2"/>
  <c r="AD93" i="2"/>
  <c r="AC93" i="2"/>
  <c r="X93" i="2"/>
  <c r="W93" i="2"/>
  <c r="V93" i="2"/>
  <c r="U93" i="2"/>
  <c r="Q93" i="2"/>
  <c r="P93" i="2"/>
  <c r="M93" i="2"/>
  <c r="L93" i="2"/>
  <c r="K93" i="2"/>
  <c r="J93" i="2"/>
  <c r="I93" i="2"/>
  <c r="O93" i="2" s="1"/>
  <c r="A93" i="2"/>
  <c r="AD92" i="2"/>
  <c r="AC92" i="2"/>
  <c r="X92" i="2"/>
  <c r="V92" i="2"/>
  <c r="W92" i="2" s="1"/>
  <c r="U92" i="2"/>
  <c r="Q92" i="2"/>
  <c r="P92" i="2"/>
  <c r="M92" i="2"/>
  <c r="L92" i="2"/>
  <c r="K92" i="2"/>
  <c r="J92" i="2"/>
  <c r="I92" i="2"/>
  <c r="O92" i="2" s="1"/>
  <c r="A92" i="2"/>
  <c r="AD91" i="2"/>
  <c r="AC91" i="2"/>
  <c r="X91" i="2"/>
  <c r="W91" i="2"/>
  <c r="V91" i="2"/>
  <c r="U91" i="2"/>
  <c r="Q91" i="2"/>
  <c r="P91" i="2"/>
  <c r="M91" i="2"/>
  <c r="L91" i="2"/>
  <c r="K91" i="2"/>
  <c r="J91" i="2"/>
  <c r="I91" i="2"/>
  <c r="O91" i="2" s="1"/>
  <c r="A91" i="2"/>
  <c r="AD90" i="2"/>
  <c r="AC90" i="2"/>
  <c r="X90" i="2"/>
  <c r="V90" i="2"/>
  <c r="W90" i="2" s="1"/>
  <c r="U90" i="2"/>
  <c r="Q90" i="2"/>
  <c r="P90" i="2"/>
  <c r="M90" i="2"/>
  <c r="L90" i="2"/>
  <c r="K90" i="2"/>
  <c r="J90" i="2"/>
  <c r="I90" i="2"/>
  <c r="O90" i="2" s="1"/>
  <c r="A90" i="2"/>
  <c r="AD89" i="2"/>
  <c r="AC89" i="2"/>
  <c r="X89" i="2"/>
  <c r="W89" i="2"/>
  <c r="V89" i="2"/>
  <c r="U89" i="2"/>
  <c r="Q89" i="2"/>
  <c r="P89" i="2"/>
  <c r="M89" i="2"/>
  <c r="L89" i="2"/>
  <c r="K89" i="2"/>
  <c r="J89" i="2"/>
  <c r="I89" i="2"/>
  <c r="O89" i="2" s="1"/>
  <c r="A89" i="2"/>
  <c r="AD88" i="2"/>
  <c r="AC88" i="2"/>
  <c r="X88" i="2"/>
  <c r="V88" i="2"/>
  <c r="W88" i="2" s="1"/>
  <c r="U88" i="2"/>
  <c r="Q88" i="2"/>
  <c r="P88" i="2"/>
  <c r="M88" i="2"/>
  <c r="L88" i="2"/>
  <c r="K88" i="2"/>
  <c r="J88" i="2"/>
  <c r="I88" i="2"/>
  <c r="O88" i="2" s="1"/>
  <c r="A88" i="2"/>
  <c r="AD87" i="2"/>
  <c r="AC87" i="2"/>
  <c r="X87" i="2"/>
  <c r="W87" i="2"/>
  <c r="V87" i="2"/>
  <c r="U87" i="2"/>
  <c r="Q87" i="2"/>
  <c r="P87" i="2"/>
  <c r="M87" i="2"/>
  <c r="L87" i="2"/>
  <c r="K87" i="2"/>
  <c r="J87" i="2"/>
  <c r="I87" i="2"/>
  <c r="O87" i="2" s="1"/>
  <c r="A87" i="2"/>
  <c r="AD86" i="2"/>
  <c r="AC86" i="2"/>
  <c r="X86" i="2"/>
  <c r="V86" i="2"/>
  <c r="W86" i="2" s="1"/>
  <c r="U86" i="2"/>
  <c r="Q86" i="2"/>
  <c r="P86" i="2"/>
  <c r="M86" i="2"/>
  <c r="L86" i="2"/>
  <c r="K86" i="2"/>
  <c r="J86" i="2"/>
  <c r="I86" i="2"/>
  <c r="O86" i="2" s="1"/>
  <c r="A86" i="2"/>
  <c r="AD85" i="2"/>
  <c r="AC85" i="2"/>
  <c r="X85" i="2"/>
  <c r="W85" i="2"/>
  <c r="V85" i="2"/>
  <c r="U85" i="2"/>
  <c r="Q85" i="2"/>
  <c r="P85" i="2"/>
  <c r="M85" i="2"/>
  <c r="L85" i="2"/>
  <c r="K85" i="2"/>
  <c r="J85" i="2"/>
  <c r="I85" i="2"/>
  <c r="O85" i="2" s="1"/>
  <c r="A85" i="2"/>
  <c r="AD84" i="2"/>
  <c r="AC84" i="2"/>
  <c r="X84" i="2"/>
  <c r="V84" i="2"/>
  <c r="W84" i="2" s="1"/>
  <c r="U84" i="2"/>
  <c r="Q84" i="2"/>
  <c r="P84" i="2"/>
  <c r="M84" i="2"/>
  <c r="L84" i="2"/>
  <c r="K84" i="2"/>
  <c r="J84" i="2"/>
  <c r="I84" i="2"/>
  <c r="O84" i="2" s="1"/>
  <c r="A84" i="2"/>
  <c r="AD83" i="2"/>
  <c r="AC83" i="2"/>
  <c r="X83" i="2"/>
  <c r="V83" i="2"/>
  <c r="W83" i="2" s="1"/>
  <c r="U83" i="2"/>
  <c r="Q83" i="2"/>
  <c r="P83" i="2"/>
  <c r="M83" i="2"/>
  <c r="L83" i="2"/>
  <c r="K83" i="2"/>
  <c r="J83" i="2"/>
  <c r="I83" i="2"/>
  <c r="O83" i="2" s="1"/>
  <c r="A83" i="2"/>
  <c r="AD82" i="2"/>
  <c r="AC82" i="2"/>
  <c r="X82" i="2"/>
  <c r="V82" i="2"/>
  <c r="W82" i="2" s="1"/>
  <c r="U82" i="2"/>
  <c r="Q82" i="2"/>
  <c r="P82" i="2"/>
  <c r="M82" i="2"/>
  <c r="L82" i="2"/>
  <c r="K82" i="2"/>
  <c r="J82" i="2"/>
  <c r="I82" i="2"/>
  <c r="O82" i="2" s="1"/>
  <c r="A82" i="2"/>
  <c r="AD81" i="2"/>
  <c r="AC81" i="2"/>
  <c r="X81" i="2"/>
  <c r="W81" i="2"/>
  <c r="V81" i="2"/>
  <c r="U81" i="2"/>
  <c r="Q81" i="2"/>
  <c r="P81" i="2"/>
  <c r="M81" i="2"/>
  <c r="L81" i="2"/>
  <c r="K81" i="2"/>
  <c r="J81" i="2"/>
  <c r="I81" i="2"/>
  <c r="O81" i="2" s="1"/>
  <c r="A81" i="2"/>
  <c r="AD80" i="2"/>
  <c r="AC80" i="2"/>
  <c r="X80" i="2"/>
  <c r="V80" i="2"/>
  <c r="W80" i="2" s="1"/>
  <c r="U80" i="2"/>
  <c r="Q80" i="2"/>
  <c r="P80" i="2"/>
  <c r="M80" i="2"/>
  <c r="L80" i="2"/>
  <c r="K80" i="2"/>
  <c r="J80" i="2"/>
  <c r="I80" i="2"/>
  <c r="O80" i="2" s="1"/>
  <c r="A80" i="2"/>
  <c r="AD79" i="2"/>
  <c r="AC79" i="2"/>
  <c r="X79" i="2"/>
  <c r="W79" i="2"/>
  <c r="V79" i="2"/>
  <c r="U79" i="2"/>
  <c r="Q79" i="2"/>
  <c r="P79" i="2"/>
  <c r="M79" i="2"/>
  <c r="L79" i="2"/>
  <c r="K79" i="2"/>
  <c r="J79" i="2"/>
  <c r="I79" i="2"/>
  <c r="O79" i="2" s="1"/>
  <c r="A79" i="2"/>
  <c r="AD78" i="2"/>
  <c r="AC78" i="2"/>
  <c r="X78" i="2"/>
  <c r="V78" i="2"/>
  <c r="W78" i="2" s="1"/>
  <c r="U78" i="2"/>
  <c r="Q78" i="2"/>
  <c r="P78" i="2"/>
  <c r="M78" i="2"/>
  <c r="L78" i="2"/>
  <c r="K78" i="2"/>
  <c r="J78" i="2"/>
  <c r="I78" i="2"/>
  <c r="O78" i="2" s="1"/>
  <c r="A78" i="2"/>
  <c r="AD77" i="2"/>
  <c r="AC77" i="2"/>
  <c r="X77" i="2"/>
  <c r="W77" i="2"/>
  <c r="V77" i="2"/>
  <c r="U77" i="2"/>
  <c r="Q77" i="2"/>
  <c r="P77" i="2"/>
  <c r="M77" i="2"/>
  <c r="L77" i="2"/>
  <c r="K77" i="2"/>
  <c r="J77" i="2"/>
  <c r="I77" i="2"/>
  <c r="O77" i="2" s="1"/>
  <c r="A77" i="2"/>
  <c r="AD76" i="2"/>
  <c r="AC76" i="2"/>
  <c r="X76" i="2"/>
  <c r="W76" i="2"/>
  <c r="V76" i="2"/>
  <c r="U76" i="2"/>
  <c r="Q76" i="2"/>
  <c r="P76" i="2"/>
  <c r="M76" i="2"/>
  <c r="L76" i="2"/>
  <c r="K76" i="2"/>
  <c r="J76" i="2"/>
  <c r="I76" i="2"/>
  <c r="O76" i="2" s="1"/>
  <c r="A76" i="2"/>
  <c r="AD75" i="2"/>
  <c r="AC75" i="2"/>
  <c r="X75" i="2"/>
  <c r="V75" i="2"/>
  <c r="W75" i="2" s="1"/>
  <c r="U75" i="2"/>
  <c r="Q75" i="2"/>
  <c r="P75" i="2"/>
  <c r="M75" i="2"/>
  <c r="L75" i="2"/>
  <c r="K75" i="2"/>
  <c r="J75" i="2"/>
  <c r="I75" i="2"/>
  <c r="O75" i="2" s="1"/>
  <c r="A75" i="2"/>
  <c r="AD74" i="2"/>
  <c r="AC74" i="2"/>
  <c r="X74" i="2"/>
  <c r="V74" i="2"/>
  <c r="W74" i="2" s="1"/>
  <c r="U74" i="2"/>
  <c r="Q74" i="2"/>
  <c r="P74" i="2"/>
  <c r="M74" i="2"/>
  <c r="L74" i="2"/>
  <c r="K74" i="2"/>
  <c r="J74" i="2"/>
  <c r="I74" i="2"/>
  <c r="O74" i="2" s="1"/>
  <c r="A74" i="2"/>
  <c r="AD73" i="2"/>
  <c r="AC73" i="2"/>
  <c r="X73" i="2"/>
  <c r="W73" i="2"/>
  <c r="V73" i="2"/>
  <c r="U73" i="2"/>
  <c r="Q73" i="2"/>
  <c r="P73" i="2"/>
  <c r="M73" i="2"/>
  <c r="L73" i="2"/>
  <c r="K73" i="2"/>
  <c r="J73" i="2"/>
  <c r="I73" i="2"/>
  <c r="O73" i="2" s="1"/>
  <c r="A73" i="2"/>
  <c r="AD72" i="2"/>
  <c r="AC72" i="2"/>
  <c r="X72" i="2"/>
  <c r="V72" i="2"/>
  <c r="W72" i="2" s="1"/>
  <c r="U72" i="2"/>
  <c r="Q72" i="2"/>
  <c r="P72" i="2"/>
  <c r="M72" i="2"/>
  <c r="L72" i="2"/>
  <c r="K72" i="2"/>
  <c r="J72" i="2"/>
  <c r="I72" i="2"/>
  <c r="O72" i="2" s="1"/>
  <c r="A72" i="2"/>
  <c r="AD71" i="2"/>
  <c r="AC71" i="2"/>
  <c r="X71" i="2"/>
  <c r="W71" i="2"/>
  <c r="V71" i="2"/>
  <c r="U71" i="2"/>
  <c r="Q71" i="2"/>
  <c r="P71" i="2"/>
  <c r="M71" i="2"/>
  <c r="L71" i="2"/>
  <c r="K71" i="2"/>
  <c r="J71" i="2"/>
  <c r="I71" i="2"/>
  <c r="O71" i="2" s="1"/>
  <c r="A71" i="2"/>
  <c r="AD70" i="2"/>
  <c r="AC70" i="2"/>
  <c r="X70" i="2"/>
  <c r="V70" i="2"/>
  <c r="W70" i="2" s="1"/>
  <c r="U70" i="2"/>
  <c r="Q70" i="2"/>
  <c r="P70" i="2"/>
  <c r="M70" i="2"/>
  <c r="L70" i="2"/>
  <c r="K70" i="2"/>
  <c r="J70" i="2"/>
  <c r="I70" i="2"/>
  <c r="O70" i="2" s="1"/>
  <c r="A70" i="2"/>
  <c r="AD69" i="2"/>
  <c r="AC69" i="2"/>
  <c r="X69" i="2"/>
  <c r="W69" i="2"/>
  <c r="V69" i="2"/>
  <c r="U69" i="2"/>
  <c r="Q69" i="2"/>
  <c r="P69" i="2"/>
  <c r="M69" i="2"/>
  <c r="L69" i="2"/>
  <c r="K69" i="2"/>
  <c r="J69" i="2"/>
  <c r="I69" i="2"/>
  <c r="O69" i="2" s="1"/>
  <c r="A69" i="2"/>
  <c r="AD68" i="2"/>
  <c r="AC68" i="2"/>
  <c r="X68" i="2"/>
  <c r="V68" i="2"/>
  <c r="W68" i="2" s="1"/>
  <c r="U68" i="2"/>
  <c r="Q68" i="2"/>
  <c r="P68" i="2"/>
  <c r="M68" i="2"/>
  <c r="L68" i="2"/>
  <c r="K68" i="2"/>
  <c r="J68" i="2"/>
  <c r="I68" i="2"/>
  <c r="O68" i="2" s="1"/>
  <c r="A68" i="2"/>
  <c r="AD67" i="2"/>
  <c r="AC67" i="2"/>
  <c r="X67" i="2"/>
  <c r="W67" i="2"/>
  <c r="V67" i="2"/>
  <c r="U67" i="2"/>
  <c r="Q67" i="2"/>
  <c r="P67" i="2"/>
  <c r="M67" i="2"/>
  <c r="L67" i="2"/>
  <c r="K67" i="2"/>
  <c r="J67" i="2"/>
  <c r="I67" i="2"/>
  <c r="O67" i="2" s="1"/>
  <c r="A67" i="2"/>
  <c r="AD66" i="2"/>
  <c r="AC66" i="2"/>
  <c r="X66" i="2"/>
  <c r="V66" i="2"/>
  <c r="W66" i="2" s="1"/>
  <c r="U66" i="2"/>
  <c r="Q66" i="2"/>
  <c r="P66" i="2"/>
  <c r="M66" i="2"/>
  <c r="L66" i="2"/>
  <c r="K66" i="2"/>
  <c r="J66" i="2"/>
  <c r="I66" i="2"/>
  <c r="O66" i="2" s="1"/>
  <c r="A66" i="2"/>
  <c r="AD65" i="2"/>
  <c r="AC65" i="2"/>
  <c r="X65" i="2"/>
  <c r="W65" i="2"/>
  <c r="V65" i="2"/>
  <c r="U65" i="2"/>
  <c r="Q65" i="2"/>
  <c r="P65" i="2"/>
  <c r="M65" i="2"/>
  <c r="L65" i="2"/>
  <c r="K65" i="2"/>
  <c r="J65" i="2"/>
  <c r="I65" i="2"/>
  <c r="O65" i="2" s="1"/>
  <c r="A65" i="2"/>
  <c r="AD64" i="2"/>
  <c r="AC64" i="2"/>
  <c r="X64" i="2"/>
  <c r="V64" i="2"/>
  <c r="W64" i="2" s="1"/>
  <c r="U64" i="2"/>
  <c r="Q64" i="2"/>
  <c r="P64" i="2"/>
  <c r="M64" i="2"/>
  <c r="L64" i="2"/>
  <c r="K64" i="2"/>
  <c r="J64" i="2"/>
  <c r="I64" i="2"/>
  <c r="O64" i="2" s="1"/>
  <c r="A64" i="2"/>
  <c r="AD63" i="2"/>
  <c r="AC63" i="2"/>
  <c r="X63" i="2"/>
  <c r="W63" i="2"/>
  <c r="V63" i="2"/>
  <c r="U63" i="2"/>
  <c r="Q63" i="2"/>
  <c r="P63" i="2"/>
  <c r="M63" i="2"/>
  <c r="L63" i="2"/>
  <c r="K63" i="2"/>
  <c r="J63" i="2"/>
  <c r="I63" i="2"/>
  <c r="O63" i="2" s="1"/>
  <c r="A63" i="2"/>
  <c r="AD62" i="2"/>
  <c r="AC62" i="2"/>
  <c r="X62" i="2"/>
  <c r="V62" i="2"/>
  <c r="W62" i="2" s="1"/>
  <c r="U62" i="2"/>
  <c r="Q62" i="2"/>
  <c r="P62" i="2"/>
  <c r="M62" i="2"/>
  <c r="L62" i="2"/>
  <c r="K62" i="2"/>
  <c r="J62" i="2"/>
  <c r="I62" i="2"/>
  <c r="O62" i="2" s="1"/>
  <c r="A62" i="2"/>
  <c r="AD61" i="2"/>
  <c r="AC61" i="2"/>
  <c r="X61" i="2"/>
  <c r="W61" i="2"/>
  <c r="V61" i="2"/>
  <c r="U61" i="2"/>
  <c r="Q61" i="2"/>
  <c r="P61" i="2"/>
  <c r="M61" i="2"/>
  <c r="L61" i="2"/>
  <c r="K61" i="2"/>
  <c r="J61" i="2"/>
  <c r="I61" i="2"/>
  <c r="O61" i="2" s="1"/>
  <c r="A61" i="2"/>
  <c r="AD60" i="2"/>
  <c r="AC60" i="2"/>
  <c r="X60" i="2"/>
  <c r="V60" i="2"/>
  <c r="W60" i="2" s="1"/>
  <c r="U60" i="2"/>
  <c r="Q60" i="2"/>
  <c r="P60" i="2"/>
  <c r="M60" i="2"/>
  <c r="L60" i="2"/>
  <c r="K60" i="2"/>
  <c r="J60" i="2"/>
  <c r="I60" i="2"/>
  <c r="O60" i="2" s="1"/>
  <c r="A60" i="2"/>
  <c r="AD59" i="2"/>
  <c r="AC59" i="2"/>
  <c r="X59" i="2"/>
  <c r="W59" i="2"/>
  <c r="V59" i="2"/>
  <c r="U59" i="2"/>
  <c r="Q59" i="2"/>
  <c r="P59" i="2"/>
  <c r="M59" i="2"/>
  <c r="L59" i="2"/>
  <c r="K59" i="2"/>
  <c r="J59" i="2"/>
  <c r="I59" i="2"/>
  <c r="O59" i="2" s="1"/>
  <c r="A59" i="2"/>
  <c r="AD58" i="2"/>
  <c r="AC58" i="2"/>
  <c r="X58" i="2"/>
  <c r="V58" i="2"/>
  <c r="W58" i="2" s="1"/>
  <c r="U58" i="2"/>
  <c r="Q58" i="2"/>
  <c r="P58" i="2"/>
  <c r="M58" i="2"/>
  <c r="L58" i="2"/>
  <c r="K58" i="2"/>
  <c r="J58" i="2"/>
  <c r="I58" i="2"/>
  <c r="O58" i="2" s="1"/>
  <c r="A58" i="2"/>
  <c r="AD57" i="2"/>
  <c r="AC57" i="2"/>
  <c r="X57" i="2"/>
  <c r="W57" i="2"/>
  <c r="V57" i="2"/>
  <c r="U57" i="2"/>
  <c r="Q57" i="2"/>
  <c r="P57" i="2"/>
  <c r="M57" i="2"/>
  <c r="L57" i="2"/>
  <c r="K57" i="2"/>
  <c r="J57" i="2"/>
  <c r="I57" i="2"/>
  <c r="O57" i="2" s="1"/>
  <c r="A57" i="2"/>
  <c r="AD56" i="2"/>
  <c r="AC56" i="2"/>
  <c r="X56" i="2"/>
  <c r="V56" i="2"/>
  <c r="W56" i="2" s="1"/>
  <c r="U56" i="2"/>
  <c r="Q56" i="2"/>
  <c r="P56" i="2"/>
  <c r="M56" i="2"/>
  <c r="L56" i="2"/>
  <c r="K56" i="2"/>
  <c r="J56" i="2"/>
  <c r="I56" i="2"/>
  <c r="O56" i="2" s="1"/>
  <c r="A56" i="2"/>
  <c r="AD55" i="2"/>
  <c r="AC55" i="2"/>
  <c r="X55" i="2"/>
  <c r="W55" i="2"/>
  <c r="V55" i="2"/>
  <c r="U55" i="2"/>
  <c r="Q55" i="2"/>
  <c r="P55" i="2"/>
  <c r="M55" i="2"/>
  <c r="L55" i="2"/>
  <c r="K55" i="2"/>
  <c r="J55" i="2"/>
  <c r="I55" i="2"/>
  <c r="O55" i="2" s="1"/>
  <c r="A55" i="2"/>
  <c r="AD54" i="2"/>
  <c r="AC54" i="2"/>
  <c r="X54" i="2"/>
  <c r="V54" i="2"/>
  <c r="W54" i="2" s="1"/>
  <c r="U54" i="2"/>
  <c r="Q54" i="2"/>
  <c r="P54" i="2"/>
  <c r="M54" i="2"/>
  <c r="L54" i="2"/>
  <c r="K54" i="2"/>
  <c r="J54" i="2"/>
  <c r="I54" i="2"/>
  <c r="O54" i="2" s="1"/>
  <c r="A54" i="2"/>
  <c r="AD53" i="2"/>
  <c r="AC53" i="2"/>
  <c r="X53" i="2"/>
  <c r="W53" i="2"/>
  <c r="V53" i="2"/>
  <c r="U53" i="2"/>
  <c r="Q53" i="2"/>
  <c r="P53" i="2"/>
  <c r="M53" i="2"/>
  <c r="L53" i="2"/>
  <c r="K53" i="2"/>
  <c r="J53" i="2"/>
  <c r="I53" i="2"/>
  <c r="O53" i="2" s="1"/>
  <c r="A53" i="2"/>
  <c r="AD52" i="2"/>
  <c r="AC52" i="2"/>
  <c r="X52" i="2"/>
  <c r="V52" i="2"/>
  <c r="W52" i="2" s="1"/>
  <c r="U52" i="2"/>
  <c r="Q52" i="2"/>
  <c r="P52" i="2"/>
  <c r="M52" i="2"/>
  <c r="L52" i="2"/>
  <c r="K52" i="2"/>
  <c r="J52" i="2"/>
  <c r="I52" i="2"/>
  <c r="O52" i="2" s="1"/>
  <c r="A52" i="2"/>
  <c r="AD51" i="2"/>
  <c r="AC51" i="2"/>
  <c r="X51" i="2"/>
  <c r="W51" i="2"/>
  <c r="V51" i="2"/>
  <c r="U51" i="2"/>
  <c r="Q51" i="2"/>
  <c r="P51" i="2"/>
  <c r="M51" i="2"/>
  <c r="L51" i="2"/>
  <c r="K51" i="2"/>
  <c r="J51" i="2"/>
  <c r="I51" i="2"/>
  <c r="O51" i="2" s="1"/>
  <c r="A51" i="2"/>
  <c r="AD50" i="2"/>
  <c r="AC50" i="2"/>
  <c r="X50" i="2"/>
  <c r="V50" i="2"/>
  <c r="W50" i="2" s="1"/>
  <c r="U50" i="2"/>
  <c r="Q50" i="2"/>
  <c r="P50" i="2"/>
  <c r="M50" i="2"/>
  <c r="L50" i="2"/>
  <c r="K50" i="2"/>
  <c r="J50" i="2"/>
  <c r="I50" i="2"/>
  <c r="O50" i="2" s="1"/>
  <c r="A50" i="2"/>
  <c r="AD49" i="2"/>
  <c r="AC49" i="2"/>
  <c r="X49" i="2"/>
  <c r="W49" i="2"/>
  <c r="V49" i="2"/>
  <c r="U49" i="2"/>
  <c r="Q49" i="2"/>
  <c r="P49" i="2"/>
  <c r="M49" i="2"/>
  <c r="L49" i="2"/>
  <c r="K49" i="2"/>
  <c r="J49" i="2"/>
  <c r="I49" i="2"/>
  <c r="O49" i="2" s="1"/>
  <c r="A49" i="2"/>
  <c r="AD48" i="2"/>
  <c r="AC48" i="2"/>
  <c r="X48" i="2"/>
  <c r="V48" i="2"/>
  <c r="W48" i="2" s="1"/>
  <c r="U48" i="2"/>
  <c r="Q48" i="2"/>
  <c r="P48" i="2"/>
  <c r="M48" i="2"/>
  <c r="L48" i="2"/>
  <c r="K48" i="2"/>
  <c r="J48" i="2"/>
  <c r="I48" i="2"/>
  <c r="O48" i="2" s="1"/>
  <c r="A48" i="2"/>
  <c r="AD47" i="2"/>
  <c r="AC47" i="2"/>
  <c r="X47" i="2"/>
  <c r="W47" i="2"/>
  <c r="V47" i="2"/>
  <c r="U47" i="2"/>
  <c r="Q47" i="2"/>
  <c r="P47" i="2"/>
  <c r="M47" i="2"/>
  <c r="L47" i="2"/>
  <c r="K47" i="2"/>
  <c r="J47" i="2"/>
  <c r="I47" i="2"/>
  <c r="O47" i="2" s="1"/>
  <c r="A47" i="2"/>
  <c r="AD46" i="2"/>
  <c r="AC46" i="2"/>
  <c r="X46" i="2"/>
  <c r="V46" i="2"/>
  <c r="W46" i="2" s="1"/>
  <c r="U46" i="2"/>
  <c r="Q46" i="2"/>
  <c r="P46" i="2"/>
  <c r="M46" i="2"/>
  <c r="L46" i="2"/>
  <c r="K46" i="2"/>
  <c r="J46" i="2"/>
  <c r="I46" i="2"/>
  <c r="O46" i="2" s="1"/>
  <c r="A46" i="2"/>
  <c r="AD45" i="2"/>
  <c r="AC45" i="2"/>
  <c r="X45" i="2"/>
  <c r="W45" i="2"/>
  <c r="V45" i="2"/>
  <c r="U45" i="2"/>
  <c r="Q45" i="2"/>
  <c r="P45" i="2"/>
  <c r="M45" i="2"/>
  <c r="L45" i="2"/>
  <c r="K45" i="2"/>
  <c r="J45" i="2"/>
  <c r="I45" i="2"/>
  <c r="O45" i="2" s="1"/>
  <c r="A45" i="2"/>
  <c r="AD44" i="2"/>
  <c r="AC44" i="2"/>
  <c r="X44" i="2"/>
  <c r="W44" i="2"/>
  <c r="V44" i="2"/>
  <c r="U44" i="2"/>
  <c r="Q44" i="2"/>
  <c r="P44" i="2"/>
  <c r="M44" i="2"/>
  <c r="L44" i="2"/>
  <c r="K44" i="2"/>
  <c r="J44" i="2"/>
  <c r="I44" i="2"/>
  <c r="O44" i="2" s="1"/>
  <c r="A44" i="2"/>
  <c r="AD43" i="2"/>
  <c r="AC43" i="2"/>
  <c r="X43" i="2"/>
  <c r="V43" i="2"/>
  <c r="W43" i="2" s="1"/>
  <c r="U43" i="2"/>
  <c r="Q43" i="2"/>
  <c r="P43" i="2"/>
  <c r="M43" i="2"/>
  <c r="L43" i="2"/>
  <c r="K43" i="2"/>
  <c r="J43" i="2"/>
  <c r="I43" i="2"/>
  <c r="O43" i="2" s="1"/>
  <c r="A43" i="2"/>
  <c r="AD42" i="2"/>
  <c r="AC42" i="2"/>
  <c r="X42" i="2"/>
  <c r="V42" i="2"/>
  <c r="W42" i="2" s="1"/>
  <c r="U42" i="2"/>
  <c r="Q42" i="2"/>
  <c r="P42" i="2"/>
  <c r="M42" i="2"/>
  <c r="L42" i="2"/>
  <c r="K42" i="2"/>
  <c r="J42" i="2"/>
  <c r="I42" i="2"/>
  <c r="O42" i="2" s="1"/>
  <c r="A42" i="2"/>
  <c r="AD41" i="2"/>
  <c r="AC41" i="2"/>
  <c r="X41" i="2"/>
  <c r="W41" i="2"/>
  <c r="V41" i="2"/>
  <c r="U41" i="2"/>
  <c r="Q41" i="2"/>
  <c r="P41" i="2"/>
  <c r="M41" i="2"/>
  <c r="L41" i="2"/>
  <c r="K41" i="2"/>
  <c r="J41" i="2"/>
  <c r="I41" i="2"/>
  <c r="O41" i="2" s="1"/>
  <c r="A41" i="2"/>
  <c r="AD40" i="2"/>
  <c r="AC40" i="2"/>
  <c r="X40" i="2"/>
  <c r="V40" i="2"/>
  <c r="W40" i="2" s="1"/>
  <c r="U40" i="2"/>
  <c r="Q40" i="2"/>
  <c r="P40" i="2"/>
  <c r="M40" i="2"/>
  <c r="L40" i="2"/>
  <c r="K40" i="2"/>
  <c r="J40" i="2"/>
  <c r="I40" i="2"/>
  <c r="O40" i="2" s="1"/>
  <c r="A40" i="2"/>
  <c r="AD39" i="2"/>
  <c r="AC39" i="2"/>
  <c r="X39" i="2"/>
  <c r="W39" i="2"/>
  <c r="V39" i="2"/>
  <c r="U39" i="2"/>
  <c r="Q39" i="2"/>
  <c r="P39" i="2"/>
  <c r="M39" i="2"/>
  <c r="L39" i="2"/>
  <c r="K39" i="2"/>
  <c r="J39" i="2"/>
  <c r="I39" i="2"/>
  <c r="O39" i="2" s="1"/>
  <c r="A39" i="2"/>
  <c r="AD38" i="2"/>
  <c r="AC38" i="2"/>
  <c r="X38" i="2"/>
  <c r="V38" i="2"/>
  <c r="W38" i="2" s="1"/>
  <c r="U38" i="2"/>
  <c r="Q38" i="2"/>
  <c r="P38" i="2"/>
  <c r="M38" i="2"/>
  <c r="L38" i="2"/>
  <c r="K38" i="2"/>
  <c r="J38" i="2"/>
  <c r="I38" i="2"/>
  <c r="O38" i="2" s="1"/>
  <c r="A38" i="2"/>
  <c r="AD37" i="2"/>
  <c r="AC37" i="2"/>
  <c r="X37" i="2"/>
  <c r="W37" i="2"/>
  <c r="V37" i="2"/>
  <c r="U37" i="2"/>
  <c r="Q37" i="2"/>
  <c r="P37" i="2"/>
  <c r="M37" i="2"/>
  <c r="L37" i="2"/>
  <c r="K37" i="2"/>
  <c r="J37" i="2"/>
  <c r="I37" i="2"/>
  <c r="O37" i="2" s="1"/>
  <c r="A37" i="2"/>
  <c r="AD36" i="2"/>
  <c r="AC36" i="2"/>
  <c r="X36" i="2"/>
  <c r="V36" i="2"/>
  <c r="W36" i="2" s="1"/>
  <c r="U36" i="2"/>
  <c r="Q36" i="2"/>
  <c r="P36" i="2"/>
  <c r="M36" i="2"/>
  <c r="L36" i="2"/>
  <c r="K36" i="2"/>
  <c r="J36" i="2"/>
  <c r="I36" i="2"/>
  <c r="O36" i="2" s="1"/>
  <c r="A36" i="2"/>
  <c r="AD35" i="2"/>
  <c r="AC35" i="2"/>
  <c r="X35" i="2"/>
  <c r="W35" i="2"/>
  <c r="V35" i="2"/>
  <c r="U35" i="2"/>
  <c r="Q35" i="2"/>
  <c r="P35" i="2"/>
  <c r="M35" i="2"/>
  <c r="L35" i="2"/>
  <c r="K35" i="2"/>
  <c r="J35" i="2"/>
  <c r="I35" i="2"/>
  <c r="O35" i="2" s="1"/>
  <c r="A35" i="2"/>
  <c r="AD34" i="2"/>
  <c r="AC34" i="2"/>
  <c r="X34" i="2"/>
  <c r="V34" i="2"/>
  <c r="W34" i="2" s="1"/>
  <c r="U34" i="2"/>
  <c r="Q34" i="2"/>
  <c r="P34" i="2"/>
  <c r="M34" i="2"/>
  <c r="L34" i="2"/>
  <c r="K34" i="2"/>
  <c r="J34" i="2"/>
  <c r="I34" i="2"/>
  <c r="O34" i="2" s="1"/>
  <c r="A34" i="2"/>
  <c r="AD33" i="2"/>
  <c r="AC33" i="2"/>
  <c r="X33" i="2"/>
  <c r="W33" i="2"/>
  <c r="V33" i="2"/>
  <c r="U33" i="2"/>
  <c r="Q33" i="2"/>
  <c r="P33" i="2"/>
  <c r="M33" i="2"/>
  <c r="L33" i="2"/>
  <c r="K33" i="2"/>
  <c r="J33" i="2"/>
  <c r="I33" i="2"/>
  <c r="O33" i="2" s="1"/>
  <c r="A33" i="2"/>
  <c r="AD32" i="2"/>
  <c r="AC32" i="2"/>
  <c r="X32" i="2"/>
  <c r="V32" i="2"/>
  <c r="W32" i="2" s="1"/>
  <c r="U32" i="2"/>
  <c r="Q32" i="2"/>
  <c r="P32" i="2"/>
  <c r="M32" i="2"/>
  <c r="L32" i="2"/>
  <c r="K32" i="2"/>
  <c r="J32" i="2"/>
  <c r="I32" i="2"/>
  <c r="O32" i="2" s="1"/>
  <c r="A32" i="2"/>
  <c r="AD31" i="2"/>
  <c r="AC31" i="2"/>
  <c r="X31" i="2"/>
  <c r="W31" i="2"/>
  <c r="V31" i="2"/>
  <c r="U31" i="2"/>
  <c r="Q31" i="2"/>
  <c r="P31" i="2"/>
  <c r="M31" i="2"/>
  <c r="L31" i="2"/>
  <c r="K31" i="2"/>
  <c r="J31" i="2"/>
  <c r="I31" i="2"/>
  <c r="O31" i="2" s="1"/>
  <c r="A31" i="2"/>
  <c r="AD30" i="2"/>
  <c r="AC30" i="2"/>
  <c r="X30" i="2"/>
  <c r="V30" i="2"/>
  <c r="W30" i="2" s="1"/>
  <c r="U30" i="2"/>
  <c r="Q30" i="2"/>
  <c r="P30" i="2"/>
  <c r="M30" i="2"/>
  <c r="L30" i="2"/>
  <c r="K30" i="2"/>
  <c r="J30" i="2"/>
  <c r="I30" i="2"/>
  <c r="O30" i="2" s="1"/>
  <c r="A30" i="2"/>
  <c r="AD29" i="2"/>
  <c r="AC29" i="2"/>
  <c r="X29" i="2"/>
  <c r="W29" i="2"/>
  <c r="V29" i="2"/>
  <c r="U29" i="2"/>
  <c r="Q29" i="2"/>
  <c r="P29" i="2"/>
  <c r="M29" i="2"/>
  <c r="L29" i="2"/>
  <c r="K29" i="2"/>
  <c r="J29" i="2"/>
  <c r="I29" i="2"/>
  <c r="O29" i="2" s="1"/>
  <c r="A29" i="2"/>
  <c r="AD28" i="2"/>
  <c r="AC28" i="2"/>
  <c r="X28" i="2"/>
  <c r="V28" i="2"/>
  <c r="W28" i="2" s="1"/>
  <c r="U28" i="2"/>
  <c r="Q28" i="2"/>
  <c r="P28" i="2"/>
  <c r="M28" i="2"/>
  <c r="L28" i="2"/>
  <c r="K28" i="2"/>
  <c r="J28" i="2"/>
  <c r="I28" i="2"/>
  <c r="O28" i="2" s="1"/>
  <c r="A28" i="2"/>
  <c r="AD27" i="2"/>
  <c r="AC27" i="2"/>
  <c r="X27" i="2"/>
  <c r="W27" i="2"/>
  <c r="V27" i="2"/>
  <c r="U27" i="2"/>
  <c r="Q27" i="2"/>
  <c r="P27" i="2"/>
  <c r="M27" i="2"/>
  <c r="L27" i="2"/>
  <c r="K27" i="2"/>
  <c r="J27" i="2"/>
  <c r="I27" i="2"/>
  <c r="O27" i="2" s="1"/>
  <c r="A27" i="2"/>
  <c r="AD26" i="2"/>
  <c r="AC26" i="2"/>
  <c r="X26" i="2"/>
  <c r="V26" i="2"/>
  <c r="W26" i="2" s="1"/>
  <c r="U26" i="2"/>
  <c r="Q26" i="2"/>
  <c r="P26" i="2"/>
  <c r="M26" i="2"/>
  <c r="L26" i="2"/>
  <c r="K26" i="2"/>
  <c r="J26" i="2"/>
  <c r="I26" i="2"/>
  <c r="O26" i="2" s="1"/>
  <c r="A26" i="2"/>
  <c r="AD25" i="2"/>
  <c r="AC25" i="2"/>
  <c r="X25" i="2"/>
  <c r="W25" i="2"/>
  <c r="V25" i="2"/>
  <c r="U25" i="2"/>
  <c r="Q25" i="2"/>
  <c r="P25" i="2"/>
  <c r="M25" i="2"/>
  <c r="L25" i="2"/>
  <c r="K25" i="2"/>
  <c r="J25" i="2"/>
  <c r="I25" i="2"/>
  <c r="O25" i="2" s="1"/>
  <c r="A25" i="2"/>
  <c r="AD24" i="2"/>
  <c r="AC24" i="2"/>
  <c r="X24" i="2"/>
  <c r="V24" i="2"/>
  <c r="W24" i="2" s="1"/>
  <c r="U24" i="2"/>
  <c r="Q24" i="2"/>
  <c r="P24" i="2"/>
  <c r="M24" i="2"/>
  <c r="L24" i="2"/>
  <c r="K24" i="2"/>
  <c r="J24" i="2"/>
  <c r="I24" i="2"/>
  <c r="O24" i="2" s="1"/>
  <c r="A24" i="2"/>
  <c r="AD23" i="2"/>
  <c r="AC23" i="2"/>
  <c r="X23" i="2"/>
  <c r="W23" i="2"/>
  <c r="V23" i="2"/>
  <c r="U23" i="2"/>
  <c r="Q23" i="2"/>
  <c r="P23" i="2"/>
  <c r="M23" i="2"/>
  <c r="L23" i="2"/>
  <c r="K23" i="2"/>
  <c r="J23" i="2"/>
  <c r="I23" i="2"/>
  <c r="O23" i="2" s="1"/>
  <c r="A23" i="2"/>
  <c r="AD22" i="2"/>
  <c r="AC22" i="2"/>
  <c r="X22" i="2"/>
  <c r="V22" i="2"/>
  <c r="W22" i="2" s="1"/>
  <c r="U22" i="2"/>
  <c r="Q22" i="2"/>
  <c r="P22" i="2"/>
  <c r="M22" i="2"/>
  <c r="L22" i="2"/>
  <c r="K22" i="2"/>
  <c r="J22" i="2"/>
  <c r="I22" i="2"/>
  <c r="O22" i="2" s="1"/>
  <c r="A22" i="2"/>
  <c r="AD21" i="2"/>
  <c r="AC21" i="2"/>
  <c r="X21" i="2"/>
  <c r="W21" i="2"/>
  <c r="V21" i="2"/>
  <c r="U21" i="2"/>
  <c r="Q21" i="2"/>
  <c r="P21" i="2"/>
  <c r="M21" i="2"/>
  <c r="L21" i="2"/>
  <c r="K21" i="2"/>
  <c r="J21" i="2"/>
  <c r="I21" i="2"/>
  <c r="O21" i="2" s="1"/>
  <c r="A21" i="2"/>
  <c r="AD20" i="2"/>
  <c r="AC20" i="2"/>
  <c r="X20" i="2"/>
  <c r="W20" i="2"/>
  <c r="V20" i="2"/>
  <c r="U20" i="2"/>
  <c r="Q20" i="2"/>
  <c r="P20" i="2"/>
  <c r="M20" i="2"/>
  <c r="L20" i="2"/>
  <c r="K20" i="2"/>
  <c r="J20" i="2"/>
  <c r="I20" i="2"/>
  <c r="O20" i="2" s="1"/>
  <c r="A20" i="2"/>
  <c r="AD19" i="2"/>
  <c r="AC19" i="2"/>
  <c r="X19" i="2"/>
  <c r="V19" i="2"/>
  <c r="W19" i="2" s="1"/>
  <c r="U19" i="2"/>
  <c r="Q19" i="2"/>
  <c r="P19" i="2"/>
  <c r="M19" i="2"/>
  <c r="L19" i="2"/>
  <c r="K19" i="2"/>
  <c r="J19" i="2"/>
  <c r="I19" i="2"/>
  <c r="O19" i="2" s="1"/>
  <c r="A19" i="2"/>
  <c r="AD18" i="2"/>
  <c r="AC18" i="2"/>
  <c r="X18" i="2"/>
  <c r="V18" i="2"/>
  <c r="W18" i="2" s="1"/>
  <c r="U18" i="2"/>
  <c r="Q18" i="2"/>
  <c r="P18" i="2"/>
  <c r="M18" i="2"/>
  <c r="L18" i="2"/>
  <c r="K18" i="2"/>
  <c r="J18" i="2"/>
  <c r="I18" i="2"/>
  <c r="O18" i="2" s="1"/>
  <c r="A18" i="2"/>
  <c r="AD17" i="2"/>
  <c r="AC17" i="2"/>
  <c r="X17" i="2"/>
  <c r="W17" i="2"/>
  <c r="V17" i="2"/>
  <c r="U17" i="2"/>
  <c r="Q17" i="2"/>
  <c r="P17" i="2"/>
  <c r="M17" i="2"/>
  <c r="L17" i="2"/>
  <c r="K17" i="2"/>
  <c r="J17" i="2"/>
  <c r="I17" i="2"/>
  <c r="O17" i="2" s="1"/>
  <c r="A17" i="2"/>
  <c r="AD16" i="2"/>
  <c r="AC16" i="2"/>
  <c r="X16" i="2"/>
  <c r="W16" i="2"/>
  <c r="V16" i="2"/>
  <c r="U16" i="2"/>
  <c r="Q16" i="2"/>
  <c r="P16" i="2"/>
  <c r="M16" i="2"/>
  <c r="L16" i="2"/>
  <c r="K16" i="2"/>
  <c r="J16" i="2"/>
  <c r="I16" i="2"/>
  <c r="O16" i="2" s="1"/>
  <c r="A16" i="2"/>
  <c r="AD15" i="2"/>
  <c r="AC15" i="2"/>
  <c r="X15" i="2"/>
  <c r="V15" i="2"/>
  <c r="W15" i="2" s="1"/>
  <c r="U15" i="2"/>
  <c r="Q15" i="2"/>
  <c r="P15" i="2"/>
  <c r="M15" i="2"/>
  <c r="L15" i="2"/>
  <c r="K15" i="2"/>
  <c r="J15" i="2"/>
  <c r="I15" i="2"/>
  <c r="O15" i="2" s="1"/>
  <c r="A15" i="2"/>
  <c r="AD14" i="2"/>
  <c r="AC14" i="2"/>
  <c r="X14" i="2"/>
  <c r="W14" i="2"/>
  <c r="V14" i="2"/>
  <c r="U14" i="2"/>
  <c r="Q14" i="2"/>
  <c r="P14" i="2"/>
  <c r="M14" i="2"/>
  <c r="L14" i="2"/>
  <c r="K14" i="2"/>
  <c r="J14" i="2"/>
  <c r="I14" i="2"/>
  <c r="O14" i="2" s="1"/>
  <c r="A14" i="2"/>
  <c r="AD13" i="2"/>
  <c r="AC13" i="2"/>
  <c r="X13" i="2"/>
  <c r="W13" i="2"/>
  <c r="V13" i="2"/>
  <c r="U13" i="2"/>
  <c r="Q13" i="2"/>
  <c r="P13" i="2"/>
  <c r="M13" i="2"/>
  <c r="L13" i="2"/>
  <c r="K13" i="2"/>
  <c r="J13" i="2"/>
  <c r="I13" i="2"/>
  <c r="O13" i="2" s="1"/>
  <c r="A13" i="2"/>
  <c r="AD12" i="2"/>
  <c r="AC12" i="2"/>
  <c r="X12" i="2"/>
  <c r="V12" i="2"/>
  <c r="W12" i="2" s="1"/>
  <c r="U12" i="2"/>
  <c r="Q12" i="2"/>
  <c r="P12" i="2"/>
  <c r="M12" i="2"/>
  <c r="L12" i="2"/>
  <c r="K12" i="2"/>
  <c r="J12" i="2"/>
  <c r="I12" i="2"/>
  <c r="O12" i="2" s="1"/>
  <c r="A12" i="2"/>
  <c r="AD11" i="2"/>
  <c r="AC11" i="2"/>
  <c r="X11" i="2"/>
  <c r="V11" i="2"/>
  <c r="W11" i="2" s="1"/>
  <c r="U11" i="2"/>
  <c r="Q11" i="2"/>
  <c r="P11" i="2"/>
  <c r="M11" i="2"/>
  <c r="L11" i="2"/>
  <c r="K11" i="2"/>
  <c r="J11" i="2"/>
  <c r="I11" i="2"/>
  <c r="O11" i="2" s="1"/>
  <c r="A11" i="2"/>
  <c r="AD10" i="2"/>
  <c r="AC10" i="2"/>
  <c r="X10" i="2"/>
  <c r="W10" i="2"/>
  <c r="V10" i="2"/>
  <c r="U10" i="2"/>
  <c r="Q10" i="2"/>
  <c r="P10" i="2"/>
  <c r="M10" i="2"/>
  <c r="L10" i="2"/>
  <c r="K10" i="2"/>
  <c r="J10" i="2"/>
  <c r="I10" i="2"/>
  <c r="O10" i="2" s="1"/>
  <c r="A10" i="2"/>
  <c r="AC9" i="2"/>
  <c r="X9" i="2"/>
  <c r="U9" i="2"/>
  <c r="L9" i="2"/>
  <c r="K9" i="2"/>
  <c r="I9" i="2"/>
  <c r="O9" i="2" s="1"/>
  <c r="A9" i="2"/>
  <c r="AC8" i="2"/>
  <c r="X8" i="2"/>
  <c r="U8" i="2"/>
  <c r="M8" i="2"/>
  <c r="L8" i="2"/>
  <c r="K8" i="2"/>
  <c r="J8" i="2"/>
  <c r="I8" i="2"/>
  <c r="O8" i="2" s="1"/>
  <c r="A8" i="2"/>
  <c r="AC7" i="2"/>
  <c r="E4" i="4" s="1"/>
  <c r="X7" i="2"/>
  <c r="U7" i="2"/>
  <c r="L7" i="2"/>
  <c r="K7" i="2"/>
  <c r="I7" i="2"/>
  <c r="O7" i="2" s="1"/>
  <c r="A7" i="2"/>
  <c r="X6" i="2"/>
  <c r="U6" i="2"/>
  <c r="M6" i="2"/>
  <c r="L6" i="2"/>
  <c r="K6" i="2"/>
  <c r="J6" i="2"/>
  <c r="I6" i="2"/>
  <c r="O6" i="2" s="1"/>
  <c r="A6" i="2"/>
  <c r="AC5" i="2"/>
  <c r="X5" i="2"/>
  <c r="B5" i="4" s="1"/>
  <c r="U5" i="2"/>
  <c r="M5" i="2"/>
  <c r="L5" i="2"/>
  <c r="K5" i="2"/>
  <c r="J5" i="2"/>
  <c r="I5" i="2"/>
  <c r="O5" i="2" s="1"/>
  <c r="P5" i="2" s="1"/>
  <c r="Q5" i="2" s="1"/>
  <c r="V5" i="2" s="1"/>
  <c r="A5" i="2"/>
  <c r="X4" i="2"/>
  <c r="U4" i="2"/>
  <c r="L4" i="2"/>
  <c r="K4" i="2"/>
  <c r="I4" i="2"/>
  <c r="O4" i="2" s="1"/>
  <c r="A4" i="2"/>
  <c r="B9" i="1"/>
  <c r="B8" i="1"/>
  <c r="B7" i="1"/>
  <c r="B6" i="1"/>
  <c r="B5" i="1"/>
  <c r="B4" i="1"/>
  <c r="E15" i="3" l="1"/>
  <c r="D15" i="3"/>
  <c r="C21" i="3" s="1"/>
  <c r="A21" i="3"/>
  <c r="P9" i="2"/>
  <c r="Q9" i="2" s="1"/>
  <c r="V9" i="2" s="1"/>
  <c r="W9" i="2" s="1"/>
  <c r="R8" i="10"/>
  <c r="S8" i="10" s="1"/>
  <c r="R7" i="10"/>
  <c r="S7" i="10" s="1"/>
  <c r="P6" i="2"/>
  <c r="Q6" i="2" s="1"/>
  <c r="V6" i="2" s="1"/>
  <c r="AD6" i="2" s="1"/>
  <c r="P7" i="2"/>
  <c r="Q7" i="2" s="1"/>
  <c r="V7" i="2" s="1"/>
  <c r="AD7" i="2" s="1"/>
  <c r="P4" i="2"/>
  <c r="Q4" i="2" s="1"/>
  <c r="V4" i="2" s="1"/>
  <c r="P8" i="2"/>
  <c r="Q8" i="2" s="1"/>
  <c r="V8" i="2" s="1"/>
  <c r="AD8" i="2" s="1"/>
  <c r="D5" i="4"/>
  <c r="AD5" i="2"/>
  <c r="F5" i="4" s="1"/>
  <c r="W5" i="2"/>
  <c r="K7" i="5"/>
  <c r="D21" i="3"/>
  <c r="F15" i="3"/>
  <c r="M5" i="4"/>
  <c r="B13" i="5"/>
  <c r="I5" i="4"/>
  <c r="N5" i="4"/>
  <c r="E12" i="5"/>
  <c r="K5" i="4"/>
  <c r="D4" i="10"/>
  <c r="B12" i="5"/>
  <c r="E5" i="4"/>
  <c r="E7" i="4" s="1"/>
  <c r="B9" i="5"/>
  <c r="B5" i="5"/>
  <c r="B6" i="5"/>
  <c r="B4" i="4"/>
  <c r="C7" i="4"/>
  <c r="L7" i="4"/>
  <c r="K6" i="5"/>
  <c r="AD9" i="2" l="1"/>
  <c r="E4" i="10"/>
  <c r="B4" i="10"/>
  <c r="W7" i="2"/>
  <c r="D4" i="4"/>
  <c r="D7" i="4" s="1"/>
  <c r="W8" i="2"/>
  <c r="W6" i="2"/>
  <c r="AD4" i="2"/>
  <c r="B10" i="5" s="1"/>
  <c r="B11" i="5" s="1"/>
  <c r="W4" i="2"/>
  <c r="B8" i="5"/>
  <c r="I4" i="4"/>
  <c r="E11" i="5"/>
  <c r="N4" i="4"/>
  <c r="K4" i="4"/>
  <c r="B7" i="4"/>
  <c r="K7" i="4" s="1"/>
  <c r="Q5" i="4"/>
  <c r="H5" i="4"/>
  <c r="H12" i="5" s="1"/>
  <c r="G5" i="4"/>
  <c r="G12" i="5"/>
  <c r="M4" i="4"/>
  <c r="F4" i="4" l="1"/>
  <c r="Q4" i="4" s="1"/>
  <c r="M7" i="4"/>
  <c r="N7" i="4"/>
  <c r="I7" i="4"/>
  <c r="F7" i="4" l="1"/>
  <c r="Q7" i="4" s="1"/>
  <c r="G4" i="4"/>
  <c r="H4" i="4"/>
  <c r="H11" i="5" s="1"/>
  <c r="G11" i="5"/>
  <c r="G7" i="4" l="1"/>
  <c r="H7" i="4"/>
</calcChain>
</file>

<file path=xl/sharedStrings.xml><?xml version="1.0" encoding="utf-8"?>
<sst xmlns="http://schemas.openxmlformats.org/spreadsheetml/2006/main" count="312" uniqueCount="219">
  <si>
    <t>RENEW PERFORMANS - ANA AYARLAR</t>
  </si>
  <si>
    <t>AKTİF PARAMETRE</t>
  </si>
  <si>
    <t>DEĞER</t>
  </si>
  <si>
    <t>ALT AYAR SEKME</t>
  </si>
  <si>
    <t>İÇERİK</t>
  </si>
  <si>
    <t>DEĞİŞİKLİK ETKİSİ</t>
  </si>
  <si>
    <t>DURUM</t>
  </si>
  <si>
    <t>Noter Masrafı</t>
  </si>
  <si>
    <t>GİDER AYARLARI</t>
  </si>
  <si>
    <t>Noter, ekspertiz, 150 nokta, sigorta, SKS</t>
  </si>
  <si>
    <t>Maliyet ve kârlılık hesaplarına yansır</t>
  </si>
  <si>
    <t>AKTİF</t>
  </si>
  <si>
    <t>Ekspertiz Masrafı</t>
  </si>
  <si>
    <t>ALIM AYARLARI</t>
  </si>
  <si>
    <t>Nakit, takas, ihale, şirket aracı</t>
  </si>
  <si>
    <t>Alım türü ve SKS uygulamasına yansır</t>
  </si>
  <si>
    <t>150 Nokta Kontrol</t>
  </si>
  <si>
    <t>SATIŞ AYARLARI</t>
  </si>
  <si>
    <t>Satış türleri ve ek gelirler</t>
  </si>
  <si>
    <t>Satış ve performans girişlerine yansır</t>
  </si>
  <si>
    <t>Sigorta Gideri</t>
  </si>
  <si>
    <t>DANIŞMAN AYARLARI</t>
  </si>
  <si>
    <t>Danışman listesi ve hedefler</t>
  </si>
  <si>
    <t>Danışman performansına yansır</t>
  </si>
  <si>
    <t>SKS Aylık Finansman Oranı</t>
  </si>
  <si>
    <t>Toplam Sabit Alım Gideri</t>
  </si>
  <si>
    <t>KULLANIM NOTU</t>
  </si>
  <si>
    <t>1</t>
  </si>
  <si>
    <t>Sarı hücreleri değiştirin.</t>
  </si>
  <si>
    <t>2</t>
  </si>
  <si>
    <t>Gider ve SKS oranı değişince formüller otomatik güncellenir.</t>
  </si>
  <si>
    <t>3</t>
  </si>
  <si>
    <t>Alım / satış / danışman listeleri alt sekmelerden yönetilir.</t>
  </si>
  <si>
    <t>4</t>
  </si>
  <si>
    <t>Dashboard ve performans sayfaları değişiklikleri baz alır.</t>
  </si>
  <si>
    <t>RENEW ARAÇ KARLILIK &amp; STOK TAKİP</t>
  </si>
  <si>
    <t>SAYI</t>
  </si>
  <si>
    <t>OTOMOBİL BİLGİLERİ</t>
  </si>
  <si>
    <t>M.YILI</t>
  </si>
  <si>
    <t>PLAKA</t>
  </si>
  <si>
    <t>ALIM TÜRÜ</t>
  </si>
  <si>
    <t>ALIŞ BEDELİ</t>
  </si>
  <si>
    <t>ALIŞ TARİHİ</t>
  </si>
  <si>
    <t>SATIŞ TARİHİ</t>
  </si>
  <si>
    <t>SKS GÜN</t>
  </si>
  <si>
    <t>NOTER</t>
  </si>
  <si>
    <t>EXPERTİZ</t>
  </si>
  <si>
    <t>150 NOKTA</t>
  </si>
  <si>
    <t>SİGORTA GİDERİ</t>
  </si>
  <si>
    <t>EK MASRAF</t>
  </si>
  <si>
    <t>SKS FİNANSMAN GİDERİ</t>
  </si>
  <si>
    <t>TOPLAM GİDER</t>
  </si>
  <si>
    <t>TOPLAM MALİYET</t>
  </si>
  <si>
    <t>MÜŞTERİ BİLGİLERİ</t>
  </si>
  <si>
    <t>SATIŞ TÜRÜ</t>
  </si>
  <si>
    <t>SATIŞ BEDELİ</t>
  </si>
  <si>
    <t>BRÜT KAR</t>
  </si>
  <si>
    <t>NET KAR</t>
  </si>
  <si>
    <t>NET KARLILIK</t>
  </si>
  <si>
    <t>STOK DURUMU</t>
  </si>
  <si>
    <t>SATIŞ DANIŞMANI</t>
  </si>
  <si>
    <t>SİGORTA-KASKO GELİRİ</t>
  </si>
  <si>
    <t>KREDİ GELİRİ</t>
  </si>
  <si>
    <t>UZATILMIŞ GARANTİ GELİRİ</t>
  </si>
  <si>
    <t>TOPLAM EK GELİR</t>
  </si>
  <si>
    <t>PERFORMANS NET KARI</t>
  </si>
  <si>
    <t>SANDERO STEPWAY</t>
  </si>
  <si>
    <t>33BCP119</t>
  </si>
  <si>
    <t>ŞİRKET ARACI</t>
  </si>
  <si>
    <t>Mustafa Yunus Dibek</t>
  </si>
  <si>
    <t>FİNASMAN KURULUŞU</t>
  </si>
  <si>
    <t>ONUR İPEK</t>
  </si>
  <si>
    <t xml:space="preserve"> 1.6 E-Tech Techno (Full Hybrid)</t>
  </si>
  <si>
    <t>33 BBA 692</t>
  </si>
  <si>
    <t>TAKAS</t>
  </si>
  <si>
    <t>Aladdin Turan</t>
  </si>
  <si>
    <t>NAKİT</t>
  </si>
  <si>
    <t>HASAN HÜSEYİN SÜRMELİ</t>
  </si>
  <si>
    <t>Clio 1.0 TCE Evolution X-Tronic</t>
  </si>
  <si>
    <t>34NER488</t>
  </si>
  <si>
    <t>İHALE</t>
  </si>
  <si>
    <t>Sezer Çelik</t>
  </si>
  <si>
    <t>Duster 1.0 Eco-G Evolution</t>
  </si>
  <si>
    <t>33BAS278</t>
  </si>
  <si>
    <t>ORHAN AYDIN</t>
  </si>
  <si>
    <t>CAPTUR</t>
  </si>
  <si>
    <t>33ALZ706</t>
  </si>
  <si>
    <t xml:space="preserve"> Selçuk Özkoç</t>
  </si>
  <si>
    <t>DANIŞMAN BAZLI EXPERTİZ &amp; ALIMA DÖNÜŞÜM TAKİBİ</t>
  </si>
  <si>
    <t>DANIŞMAN</t>
  </si>
  <si>
    <t>YAPILAN
EXPERTİZ</t>
  </si>
  <si>
    <t>ALIMA
DÖNÜŞEN</t>
  </si>
  <si>
    <t>ALIM
ORANI</t>
  </si>
  <si>
    <t>TOPLAM EXPERTİZ
MALİYETİ</t>
  </si>
  <si>
    <t>ALIM BAŞI
EXPERTİZ MALİYETİ</t>
  </si>
  <si>
    <t>EMRE URBAYAR</t>
  </si>
  <si>
    <t>MUSTAFA BALKAN</t>
  </si>
  <si>
    <t>MUSTAFA TEKİN</t>
  </si>
  <si>
    <t>GÖKMEN GENÇCELEP</t>
  </si>
  <si>
    <t>ÇAĞRI ÇİDEM</t>
  </si>
  <si>
    <t>HASAN SÜRMELİ</t>
  </si>
  <si>
    <t>SEVDA GENÇ</t>
  </si>
  <si>
    <t>HATİCE DOĞAN</t>
  </si>
  <si>
    <t>MÜGE KENARLI</t>
  </si>
  <si>
    <t>TOPLAM / ORTALAMA</t>
  </si>
  <si>
    <t>GENEL EXPERTİZ PERFORMANS ÖZETİ</t>
  </si>
  <si>
    <t>TOPLAM EXPERTİZ</t>
  </si>
  <si>
    <t>TOPLAM ALIM</t>
  </si>
  <si>
    <t>ALIMA DÖNÜŞÜM</t>
  </si>
  <si>
    <t>EXPERTİZ MALİYETİ</t>
  </si>
  <si>
    <t>DANIŞMAN SATIŞ &amp; KARLILIK PERFORMANSI</t>
  </si>
  <si>
    <t>SATIŞ ADEDİ</t>
  </si>
  <si>
    <t>TOPLAM CİRO</t>
  </si>
  <si>
    <t>EK GELİR</t>
  </si>
  <si>
    <t>ORT. NET KAR</t>
  </si>
  <si>
    <t>ORT. SKS GÜN</t>
  </si>
  <si>
    <t>SİGORTA-KASKO ADET</t>
  </si>
  <si>
    <t>SİGORTA-KASKO ORANI</t>
  </si>
  <si>
    <t>KREDİ ADET</t>
  </si>
  <si>
    <t>KREDİ ORANI</t>
  </si>
  <si>
    <t>UZ. GARANTİ ORANI</t>
  </si>
  <si>
    <t>HEDEF SATIŞ</t>
  </si>
  <si>
    <t>HEDEF NET KAR</t>
  </si>
  <si>
    <t>HEDEF GERÇEKLEŞME</t>
  </si>
  <si>
    <t>TOPLAM</t>
  </si>
  <si>
    <t>RENEW PERFORMANS DASHBOARD</t>
  </si>
  <si>
    <t>GENEL KPI</t>
  </si>
  <si>
    <t>ALIM DAĞILIMI</t>
  </si>
  <si>
    <t>ADET</t>
  </si>
  <si>
    <t>SATIŞ DAĞILIMI</t>
  </si>
  <si>
    <t>EXPERTİZ KPI</t>
  </si>
  <si>
    <t>Toplam Araç Alımı</t>
  </si>
  <si>
    <t>Yapılan Expertiz</t>
  </si>
  <si>
    <t>Stoktaki Araç</t>
  </si>
  <si>
    <t>Alıma Dönüşen</t>
  </si>
  <si>
    <t>Satılan Araç</t>
  </si>
  <si>
    <t>KREDİ KARTI</t>
  </si>
  <si>
    <t>Alım Oranı</t>
  </si>
  <si>
    <t>Toplam Satış Cirosu</t>
  </si>
  <si>
    <t>KREDİ / FİNANSMAN</t>
  </si>
  <si>
    <t>Expertiz Maliyeti</t>
  </si>
  <si>
    <t>Toplam Net Kâr</t>
  </si>
  <si>
    <t>Toplam Ek Gelir</t>
  </si>
  <si>
    <t>Performans Net Kârı</t>
  </si>
  <si>
    <t>SATIŞ</t>
  </si>
  <si>
    <t>CİRO</t>
  </si>
  <si>
    <t>KARLILIK</t>
  </si>
  <si>
    <t>Genel Net Kârlılık</t>
  </si>
  <si>
    <t>Ortalama SKS Gün</t>
  </si>
  <si>
    <t>Toplam SKS Finansman Gideri</t>
  </si>
  <si>
    <t>GİDER &amp; SKS AYARLARI</t>
  </si>
  <si>
    <t>GİDER KALEMİ</t>
  </si>
  <si>
    <t>TUTAR / ORAN</t>
  </si>
  <si>
    <t>UYGULAMA</t>
  </si>
  <si>
    <t>AÇIKLAMA</t>
  </si>
  <si>
    <t>TÜM ALIMLAR</t>
  </si>
  <si>
    <t>Araç alımında otomatik eklenir</t>
  </si>
  <si>
    <t>NAKİT / TAKAS / İHALE</t>
  </si>
  <si>
    <t>Alış bedeli × oran × gün / 30</t>
  </si>
  <si>
    <t>TOPLAM SABİT ALIM GİDERİ</t>
  </si>
  <si>
    <t>SKS FORMÜLÜ</t>
  </si>
  <si>
    <t>Alış Bedeli × SKS Oranı × (SKS Gün / 30)</t>
  </si>
  <si>
    <t>ALIM TÜRÜ AYARLARI</t>
  </si>
  <si>
    <t>SKS UYGULA</t>
  </si>
  <si>
    <t>SABİT GİDER UYGULA</t>
  </si>
  <si>
    <t>EVET</t>
  </si>
  <si>
    <t>HAYIR</t>
  </si>
  <si>
    <t>SATIŞ &amp; EK GELİR AYARLARI</t>
  </si>
  <si>
    <t>EK GELİR TÜRÜ</t>
  </si>
  <si>
    <t>SİGORTA-KASKO</t>
  </si>
  <si>
    <t>Satıştan oluşan ek gelir</t>
  </si>
  <si>
    <t>KREDİ</t>
  </si>
  <si>
    <t>Kredi / finansman ek geliri</t>
  </si>
  <si>
    <t>UZATILMIŞ GARANTİ</t>
  </si>
  <si>
    <t>Garanti satışından oluşan ek gelir</t>
  </si>
  <si>
    <t xml:space="preserve">KREDİ </t>
  </si>
  <si>
    <t>HEDEF SATIŞ ADEDİ</t>
  </si>
  <si>
    <t>EXTRA STOK BİLGİSİ &amp; KARLILIK TAKİBİ</t>
  </si>
  <si>
    <t>STOK ADEDİ</t>
  </si>
  <si>
    <t>TOPLAM ALIŞ DEĞERİ
(MASRAFLAR DAHİL)</t>
  </si>
  <si>
    <t>TOPLAM SATIŞ DEĞERİ</t>
  </si>
  <si>
    <t>TOPLAM SKS
FİNANSMAN GİDERİ</t>
  </si>
  <si>
    <t>ORTALAMA NET KAR</t>
  </si>
  <si>
    <t>KULLANIM: Sarı hücrelere araç bilgilerini girin. SKS süresi alış tarihinden otomatik hesaplanır. Sabit masraflar ve SKS finansman oranı GİDER AYARLARI sekmesindeki güncel değerleri baz alır.</t>
  </si>
  <si>
    <t>SIRA</t>
  </si>
  <si>
    <t>MODEL YILI</t>
  </si>
  <si>
    <t>KM</t>
  </si>
  <si>
    <t>MARKA</t>
  </si>
  <si>
    <t>MODEL</t>
  </si>
  <si>
    <t>VERSİYON</t>
  </si>
  <si>
    <t>RENK</t>
  </si>
  <si>
    <t>SKS SÜRESİ</t>
  </si>
  <si>
    <t>YAKIT</t>
  </si>
  <si>
    <t>VİTES</t>
  </si>
  <si>
    <t>ALIŞ FİYATI</t>
  </si>
  <si>
    <t>SATIŞ FİYATI</t>
  </si>
  <si>
    <t>HEDEF KAZANÇ</t>
  </si>
  <si>
    <t>SABİT MASRAFLAR</t>
  </si>
  <si>
    <t>MASRAFLAR DAHİL TOPLAM ALIŞ DEĞERİ</t>
  </si>
  <si>
    <t>TAHMİNİ NET KAR</t>
  </si>
  <si>
    <t>33 KHR 66</t>
  </si>
  <si>
    <t>DACIA</t>
  </si>
  <si>
    <t>DUSTER</t>
  </si>
  <si>
    <t>EXTREM</t>
  </si>
  <si>
    <t>YEŞİL</t>
  </si>
  <si>
    <t>BENZİN</t>
  </si>
  <si>
    <t>OTOMATİK</t>
  </si>
  <si>
    <t>33 ADU 175</t>
  </si>
  <si>
    <t>OPEL</t>
  </si>
  <si>
    <t>COMBO</t>
  </si>
  <si>
    <t>EXELNCE</t>
  </si>
  <si>
    <t>BEYAZ</t>
  </si>
  <si>
    <t>DİZEL</t>
  </si>
  <si>
    <t>MANUEL</t>
  </si>
  <si>
    <t>33 BGF 603</t>
  </si>
  <si>
    <t>RENAULT</t>
  </si>
  <si>
    <t>TEKNO 1.2</t>
  </si>
  <si>
    <t>Meryem YÜKSEL AYTEKİN</t>
  </si>
  <si>
    <t>33BEC675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</si>
</sst>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\ &quot;TL&quot;;[Red]\(#,##0\ &quot;TL&quot;\);\-"/>
    <numFmt numFmtId="165" formatCode="0.0%"/>
    <numFmt numFmtId="166" formatCode="0.0%;[Red]\(0.0%\);\-"/>
    <numFmt numFmtId="167" formatCode="dd\.mm\.yyyy"/>
    <numFmt numFmtId="168" formatCode="0.0"/>
  </numFmts>
  <fonts count="17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000000"/>
      <name val="Carlito"/>
    </font>
    <font>
      <b/>
      <sz val="15"/>
      <color rgb="FFFFFFFF"/>
      <name val="Carlito"/>
    </font>
    <font>
      <b/>
      <sz val="10"/>
      <color rgb="FFFFFFFF"/>
      <name val="Carlito"/>
    </font>
    <font>
      <sz val="11"/>
      <color rgb="FF000000"/>
      <name val="Carlito"/>
    </font>
    <font>
      <sz val="11"/>
      <color rgb="FF008000"/>
      <name val="Carlito"/>
    </font>
    <font>
      <b/>
      <sz val="11"/>
      <name val="Carlito"/>
    </font>
    <font>
      <b/>
      <sz val="18"/>
      <color rgb="FFFFFFFF"/>
      <name val="Carlito"/>
    </font>
    <font>
      <b/>
      <sz val="11"/>
      <color rgb="FF0000FF"/>
      <name val="Carlito"/>
    </font>
    <font>
      <sz val="9"/>
      <color rgb="FF212529"/>
      <name val="Segoe UI"/>
      <family val="2"/>
      <charset val="162"/>
    </font>
    <font>
      <b/>
      <sz val="16"/>
      <color rgb="FFFFFFFF"/>
      <name val="Carlito"/>
    </font>
    <font>
      <b/>
      <sz val="12"/>
      <name val="Carlito"/>
    </font>
    <font>
      <sz val="11"/>
      <color rgb="FF404040"/>
      <name val="Carlito"/>
    </font>
    <font>
      <b/>
      <sz val="11"/>
      <color rgb="FF404040"/>
      <name val="Carlito"/>
    </font>
  </fonts>
  <fills count="2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95959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595959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3" borderId="0" xfId="0" applyNumberFormat="1" applyFont="1" applyFill="1" applyBorder="1"/>
    <xf numFmtId="0" fontId="3" fillId="0" borderId="0" xfId="0" applyNumberFormat="1" applyFont="1" applyFill="1" applyBorder="1"/>
    <xf numFmtId="164" fontId="3" fillId="0" borderId="0" xfId="0" applyNumberFormat="1" applyFont="1" applyFill="1" applyBorder="1"/>
    <xf numFmtId="0" fontId="2" fillId="2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wrapText="1"/>
    </xf>
    <xf numFmtId="0" fontId="2" fillId="3" borderId="0" xfId="0" applyNumberFormat="1" applyFont="1" applyFill="1" applyBorder="1" applyAlignment="1">
      <alignment wrapText="1"/>
    </xf>
    <xf numFmtId="164" fontId="3" fillId="4" borderId="0" xfId="0" applyNumberFormat="1" applyFont="1" applyFill="1" applyBorder="1" applyAlignment="1">
      <alignment wrapText="1"/>
    </xf>
    <xf numFmtId="165" fontId="3" fillId="4" borderId="0" xfId="0" applyNumberFormat="1" applyFont="1" applyFill="1" applyBorder="1" applyAlignment="1">
      <alignment wrapText="1"/>
    </xf>
    <xf numFmtId="164" fontId="4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/>
    <xf numFmtId="164" fontId="8" fillId="0" borderId="0" xfId="0" applyNumberFormat="1" applyFont="1" applyFill="1" applyBorder="1"/>
    <xf numFmtId="164" fontId="7" fillId="0" borderId="0" xfId="0" applyNumberFormat="1" applyFont="1" applyFill="1" applyBorder="1"/>
    <xf numFmtId="166" fontId="7" fillId="0" borderId="0" xfId="0" applyNumberFormat="1" applyFont="1" applyFill="1" applyBorder="1"/>
    <xf numFmtId="167" fontId="3" fillId="0" borderId="0" xfId="0" applyNumberFormat="1" applyFont="1" applyFill="1" applyBorder="1"/>
    <xf numFmtId="1" fontId="7" fillId="0" borderId="0" xfId="0" applyNumberFormat="1" applyFont="1" applyFill="1" applyBorder="1"/>
    <xf numFmtId="1" fontId="3" fillId="0" borderId="0" xfId="0" applyNumberFormat="1" applyFont="1" applyFill="1" applyBorder="1"/>
    <xf numFmtId="0" fontId="9" fillId="5" borderId="0" xfId="0" applyNumberFormat="1" applyFont="1" applyFill="1" applyBorder="1"/>
    <xf numFmtId="166" fontId="0" fillId="0" borderId="0" xfId="0" applyNumberFormat="1" applyFont="1" applyFill="1" applyBorder="1"/>
    <xf numFmtId="166" fontId="9" fillId="5" borderId="0" xfId="0" applyNumberFormat="1" applyFont="1" applyFill="1" applyBorder="1"/>
    <xf numFmtId="164" fontId="0" fillId="0" borderId="0" xfId="0" applyNumberFormat="1" applyFont="1" applyFill="1" applyBorder="1"/>
    <xf numFmtId="164" fontId="9" fillId="5" borderId="0" xfId="0" applyNumberFormat="1" applyFont="1" applyFill="1" applyBorder="1"/>
    <xf numFmtId="168" fontId="0" fillId="0" borderId="0" xfId="0" applyNumberFormat="1" applyFont="1" applyFill="1" applyBorder="1"/>
    <xf numFmtId="168" fontId="9" fillId="5" borderId="0" xfId="0" applyNumberFormat="1" applyFont="1" applyFill="1" applyBorder="1"/>
    <xf numFmtId="0" fontId="9" fillId="0" borderId="1" xfId="0" applyNumberFormat="1" applyFont="1" applyFill="1" applyBorder="1"/>
    <xf numFmtId="0" fontId="0" fillId="0" borderId="2" xfId="0" applyNumberFormat="1" applyFont="1" applyFill="1" applyBorder="1"/>
    <xf numFmtId="0" fontId="9" fillId="0" borderId="3" xfId="0" applyNumberFormat="1" applyFont="1" applyFill="1" applyBorder="1"/>
    <xf numFmtId="0" fontId="0" fillId="0" borderId="4" xfId="0" applyNumberFormat="1" applyFont="1" applyFill="1" applyBorder="1"/>
    <xf numFmtId="0" fontId="9" fillId="0" borderId="5" xfId="0" applyNumberFormat="1" applyFont="1" applyFill="1" applyBorder="1"/>
    <xf numFmtId="164" fontId="0" fillId="0" borderId="4" xfId="0" applyNumberFormat="1" applyFont="1" applyFill="1" applyBorder="1"/>
    <xf numFmtId="164" fontId="0" fillId="0" borderId="6" xfId="0" applyNumberFormat="1" applyFont="1" applyFill="1" applyBorder="1"/>
    <xf numFmtId="166" fontId="0" fillId="0" borderId="4" xfId="0" applyNumberFormat="1" applyFont="1" applyFill="1" applyBorder="1"/>
    <xf numFmtId="168" fontId="0" fillId="0" borderId="4" xfId="0" applyNumberFormat="1" applyFont="1" applyFill="1" applyBorder="1"/>
    <xf numFmtId="0" fontId="2" fillId="8" borderId="0" xfId="0" applyNumberFormat="1" applyFont="1" applyFill="1" applyBorder="1"/>
    <xf numFmtId="0" fontId="2" fillId="8" borderId="0" xfId="0" applyNumberFormat="1" applyFont="1" applyFill="1" applyBorder="1" applyAlignment="1">
      <alignment wrapText="1"/>
    </xf>
    <xf numFmtId="0" fontId="2" fillId="8" borderId="0" xfId="0" applyNumberFormat="1" applyFont="1" applyFill="1" applyBorder="1" applyAlignment="1">
      <alignment horizontal="center" wrapText="1"/>
    </xf>
    <xf numFmtId="0" fontId="9" fillId="9" borderId="0" xfId="0" applyNumberFormat="1" applyFont="1" applyFill="1" applyBorder="1"/>
    <xf numFmtId="0" fontId="3" fillId="10" borderId="0" xfId="0" applyNumberFormat="1" applyFont="1" applyFill="1" applyBorder="1"/>
    <xf numFmtId="164" fontId="3" fillId="10" borderId="0" xfId="0" applyNumberFormat="1" applyFont="1" applyFill="1" applyBorder="1"/>
    <xf numFmtId="165" fontId="3" fillId="10" borderId="0" xfId="0" applyNumberFormat="1" applyFont="1" applyFill="1" applyBorder="1"/>
    <xf numFmtId="164" fontId="9" fillId="9" borderId="0" xfId="0" applyNumberFormat="1" applyFont="1" applyFill="1" applyBorder="1"/>
    <xf numFmtId="0" fontId="2" fillId="8" borderId="0" xfId="0" applyNumberFormat="1" applyFont="1" applyFill="1" applyBorder="1" applyAlignment="1">
      <alignment horizontal="center"/>
    </xf>
    <xf numFmtId="0" fontId="5" fillId="7" borderId="0" xfId="0" applyNumberFormat="1" applyFont="1" applyFill="1" applyBorder="1" applyAlignment="1">
      <alignment horizontal="center" wrapText="1"/>
    </xf>
    <xf numFmtId="0" fontId="2" fillId="13" borderId="7" xfId="0" applyNumberFormat="1" applyFont="1" applyFill="1" applyBorder="1" applyAlignment="1">
      <alignment horizontal="center" vertical="center" wrapText="1"/>
    </xf>
    <xf numFmtId="0" fontId="2" fillId="13" borderId="8" xfId="0" applyNumberFormat="1" applyFont="1" applyFill="1" applyBorder="1" applyAlignment="1">
      <alignment horizontal="center" vertical="center" wrapText="1"/>
    </xf>
    <xf numFmtId="0" fontId="2" fillId="13" borderId="9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3" fillId="14" borderId="0" xfId="0" applyNumberFormat="1" applyFont="1" applyFill="1" applyAlignment="1">
      <alignment horizontal="center"/>
    </xf>
    <xf numFmtId="166" fontId="0" fillId="0" borderId="0" xfId="0" applyNumberFormat="1" applyFont="1" applyFill="1"/>
    <xf numFmtId="164" fontId="0" fillId="0" borderId="0" xfId="0" applyNumberFormat="1" applyFont="1" applyFill="1"/>
    <xf numFmtId="164" fontId="0" fillId="0" borderId="11" xfId="0" applyNumberFormat="1" applyFont="1" applyFill="1" applyBorder="1"/>
    <xf numFmtId="0" fontId="9" fillId="5" borderId="10" xfId="0" applyNumberFormat="1" applyFont="1" applyFill="1" applyBorder="1"/>
    <xf numFmtId="0" fontId="11" fillId="14" borderId="0" xfId="0" applyNumberFormat="1" applyFont="1" applyFill="1" applyAlignment="1">
      <alignment horizontal="center"/>
    </xf>
    <xf numFmtId="166" fontId="9" fillId="5" borderId="0" xfId="0" applyNumberFormat="1" applyFont="1" applyFill="1"/>
    <xf numFmtId="164" fontId="9" fillId="5" borderId="0" xfId="0" applyNumberFormat="1" applyFont="1" applyFill="1"/>
    <xf numFmtId="164" fontId="9" fillId="5" borderId="11" xfId="0" applyNumberFormat="1" applyFont="1" applyFill="1" applyBorder="1"/>
    <xf numFmtId="0" fontId="0" fillId="0" borderId="0" xfId="0" applyNumberFormat="1" applyFont="1" applyFill="1"/>
    <xf numFmtId="0" fontId="9" fillId="15" borderId="12" xfId="0" applyNumberFormat="1" applyFont="1" applyFill="1" applyBorder="1" applyAlignment="1">
      <alignment horizontal="center"/>
    </xf>
    <xf numFmtId="0" fontId="9" fillId="15" borderId="13" xfId="0" applyNumberFormat="1" applyFont="1" applyFill="1" applyBorder="1" applyAlignment="1">
      <alignment horizontal="center"/>
    </xf>
    <xf numFmtId="166" fontId="9" fillId="15" borderId="13" xfId="0" applyNumberFormat="1" applyFont="1" applyFill="1" applyBorder="1" applyAlignment="1">
      <alignment horizontal="center"/>
    </xf>
    <xf numFmtId="164" fontId="9" fillId="15" borderId="13" xfId="0" applyNumberFormat="1" applyFont="1" applyFill="1" applyBorder="1" applyAlignment="1">
      <alignment horizontal="center"/>
    </xf>
    <xf numFmtId="164" fontId="9" fillId="15" borderId="14" xfId="0" applyNumberFormat="1" applyFont="1" applyFill="1" applyBorder="1" applyAlignment="1">
      <alignment horizontal="center"/>
    </xf>
    <xf numFmtId="0" fontId="2" fillId="13" borderId="7" xfId="0" applyNumberFormat="1" applyFont="1" applyFill="1" applyBorder="1" applyAlignment="1">
      <alignment horizontal="center" wrapText="1"/>
    </xf>
    <xf numFmtId="0" fontId="2" fillId="13" borderId="8" xfId="0" applyNumberFormat="1" applyFont="1" applyFill="1" applyBorder="1" applyAlignment="1">
      <alignment horizontal="center" wrapText="1"/>
    </xf>
    <xf numFmtId="0" fontId="2" fillId="13" borderId="9" xfId="0" applyNumberFormat="1" applyFont="1" applyFill="1" applyBorder="1" applyAlignment="1">
      <alignment horizontal="center" wrapText="1"/>
    </xf>
    <xf numFmtId="0" fontId="0" fillId="0" borderId="12" xfId="0" applyNumberFormat="1" applyFont="1" applyFill="1" applyBorder="1"/>
    <xf numFmtId="0" fontId="0" fillId="0" borderId="13" xfId="0" applyNumberFormat="1" applyFont="1" applyFill="1" applyBorder="1"/>
    <xf numFmtId="166" fontId="0" fillId="0" borderId="13" xfId="0" applyNumberFormat="1" applyFont="1" applyFill="1" applyBorder="1"/>
    <xf numFmtId="164" fontId="0" fillId="0" borderId="14" xfId="0" applyNumberFormat="1" applyFont="1" applyFill="1" applyBorder="1"/>
    <xf numFmtId="0" fontId="12" fillId="0" borderId="0" xfId="0" applyFont="1"/>
    <xf numFmtId="0" fontId="2" fillId="17" borderId="0" xfId="0" applyNumberFormat="1" applyFont="1" applyFill="1" applyBorder="1" applyAlignment="1">
      <alignment horizontal="center" vertical="center" wrapText="1"/>
    </xf>
    <xf numFmtId="164" fontId="14" fillId="18" borderId="0" xfId="0" applyNumberFormat="1" applyFont="1" applyFill="1" applyBorder="1" applyAlignment="1">
      <alignment horizontal="center" vertical="center"/>
    </xf>
    <xf numFmtId="1" fontId="14" fillId="18" borderId="0" xfId="0" applyNumberFormat="1" applyFont="1" applyFill="1" applyBorder="1" applyAlignment="1">
      <alignment horizontal="center" vertical="center"/>
    </xf>
    <xf numFmtId="0" fontId="3" fillId="19" borderId="0" xfId="0" applyNumberFormat="1" applyFont="1" applyFill="1" applyBorder="1"/>
    <xf numFmtId="0" fontId="15" fillId="0" borderId="0" xfId="0" applyNumberFormat="1" applyFont="1" applyFill="1" applyBorder="1"/>
    <xf numFmtId="167" fontId="3" fillId="19" borderId="0" xfId="0" applyNumberFormat="1" applyFont="1" applyFill="1" applyBorder="1"/>
    <xf numFmtId="1" fontId="3" fillId="19" borderId="0" xfId="0" applyNumberFormat="1" applyFont="1" applyFill="1" applyBorder="1"/>
    <xf numFmtId="3" fontId="3" fillId="19" borderId="0" xfId="0" applyNumberFormat="1" applyFont="1" applyFill="1" applyBorder="1"/>
    <xf numFmtId="164" fontId="3" fillId="19" borderId="0" xfId="0" applyNumberFormat="1" applyFont="1" applyFill="1" applyBorder="1"/>
    <xf numFmtId="164" fontId="15" fillId="0" borderId="0" xfId="0" applyNumberFormat="1" applyFont="1" applyFill="1" applyBorder="1"/>
    <xf numFmtId="0" fontId="6" fillId="17" borderId="15" xfId="0" applyNumberFormat="1" applyFont="1" applyFill="1" applyBorder="1" applyAlignment="1">
      <alignment horizontal="center" vertical="center" wrapText="1"/>
    </xf>
    <xf numFmtId="0" fontId="6" fillId="17" borderId="16" xfId="0" applyNumberFormat="1" applyFont="1" applyFill="1" applyBorder="1" applyAlignment="1">
      <alignment horizontal="center" vertical="center" wrapText="1"/>
    </xf>
    <xf numFmtId="0" fontId="6" fillId="17" borderId="17" xfId="0" applyNumberFormat="1" applyFont="1" applyFill="1" applyBorder="1" applyAlignment="1">
      <alignment horizontal="center" vertical="center" wrapText="1"/>
    </xf>
    <xf numFmtId="0" fontId="15" fillId="0" borderId="18" xfId="0" applyNumberFormat="1" applyFont="1" applyFill="1" applyBorder="1"/>
    <xf numFmtId="164" fontId="15" fillId="0" borderId="19" xfId="0" applyNumberFormat="1" applyFont="1" applyFill="1" applyBorder="1"/>
    <xf numFmtId="0" fontId="15" fillId="0" borderId="20" xfId="0" applyNumberFormat="1" applyFont="1" applyFill="1" applyBorder="1"/>
    <xf numFmtId="0" fontId="3" fillId="19" borderId="21" xfId="0" applyNumberFormat="1" applyFont="1" applyFill="1" applyBorder="1"/>
    <xf numFmtId="1" fontId="3" fillId="19" borderId="21" xfId="0" applyNumberFormat="1" applyFont="1" applyFill="1" applyBorder="1"/>
    <xf numFmtId="3" fontId="3" fillId="19" borderId="21" xfId="0" applyNumberFormat="1" applyFont="1" applyFill="1" applyBorder="1"/>
    <xf numFmtId="167" fontId="3" fillId="19" borderId="21" xfId="0" applyNumberFormat="1" applyFont="1" applyFill="1" applyBorder="1"/>
    <xf numFmtId="0" fontId="15" fillId="0" borderId="21" xfId="0" applyNumberFormat="1" applyFont="1" applyFill="1" applyBorder="1"/>
    <xf numFmtId="164" fontId="3" fillId="19" borderId="21" xfId="0" applyNumberFormat="1" applyFont="1" applyFill="1" applyBorder="1"/>
    <xf numFmtId="164" fontId="15" fillId="0" borderId="21" xfId="0" applyNumberFormat="1" applyFont="1" applyFill="1" applyBorder="1"/>
    <xf numFmtId="164" fontId="15" fillId="0" borderId="22" xfId="0" applyNumberFormat="1" applyFont="1" applyFill="1" applyBorder="1"/>
    <xf numFmtId="0" fontId="5" fillId="7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wrapText="1"/>
    </xf>
    <xf numFmtId="0" fontId="2" fillId="6" borderId="0" xfId="0" applyNumberFormat="1" applyFont="1" applyFill="1" applyBorder="1"/>
    <xf numFmtId="0" fontId="2" fillId="11" borderId="0" xfId="0" applyNumberFormat="1" applyFont="1" applyFill="1" applyBorder="1" applyAlignment="1">
      <alignment wrapText="1"/>
    </xf>
    <xf numFmtId="0" fontId="5" fillId="2" borderId="0" xfId="0" applyNumberFormat="1" applyFont="1" applyFill="1" applyBorder="1" applyAlignment="1">
      <alignment horizontal="center" vertical="center"/>
    </xf>
    <xf numFmtId="0" fontId="1" fillId="12" borderId="0" xfId="0" applyNumberFormat="1" applyFont="1" applyFill="1" applyBorder="1" applyAlignment="1">
      <alignment horizontal="center" vertical="center"/>
    </xf>
    <xf numFmtId="0" fontId="2" fillId="1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0" fontId="10" fillId="2" borderId="0" xfId="0" applyNumberFormat="1" applyFont="1" applyFill="1" applyBorder="1" applyAlignment="1">
      <alignment horizontal="center" vertical="center"/>
    </xf>
    <xf numFmtId="0" fontId="1" fillId="7" borderId="0" xfId="0" applyNumberFormat="1" applyFont="1" applyFill="1" applyBorder="1" applyAlignment="1">
      <alignment horizontal="center"/>
    </xf>
    <xf numFmtId="0" fontId="13" fillId="16" borderId="0" xfId="0" applyNumberFormat="1" applyFont="1" applyFill="1" applyBorder="1" applyAlignment="1">
      <alignment horizontal="center" vertical="center"/>
    </xf>
    <xf numFmtId="0" fontId="16" fillId="2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C00000"/>
      </font>
      <fill>
        <patternFill>
          <bgColor rgb="FFF4CCCC"/>
        </patternFill>
      </fill>
    </dxf>
    <dxf>
      <font>
        <color rgb="FF006100"/>
      </font>
      <fill>
        <patternFill>
          <bgColor rgb="FFD9EAD3"/>
        </patternFill>
      </fill>
    </dxf>
    <dxf>
      <font>
        <b/>
        <color rgb="FFC00000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Alım Türü Dağılımı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ADET</c:v>
          </c:tx>
          <c:invertIfNegative val="1"/>
          <c:cat>
            <c:strRef>
              <c:f>DASHBOARD!$D$4:$D$7</c:f>
              <c:strCache>
                <c:ptCount val="4"/>
                <c:pt idx="0">
                  <c:v>NAKİT</c:v>
                </c:pt>
                <c:pt idx="1">
                  <c:v>TAKAS</c:v>
                </c:pt>
                <c:pt idx="2">
                  <c:v>İHALE</c:v>
                </c:pt>
                <c:pt idx="3">
                  <c:v>ŞİRKET ARACI</c:v>
                </c:pt>
              </c:strCache>
            </c:strRef>
          </c:cat>
          <c:val>
            <c:numRef>
              <c:f>DASHBOARD!$E$4:$E$7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1-46B3-87D0-484C7B9DA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Satış Türü Dağılımı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ADET</c:v>
          </c:tx>
          <c:invertIfNegative val="1"/>
          <c:cat>
            <c:strRef>
              <c:f>DASHBOARD!$G$4:$G$7</c:f>
              <c:strCache>
                <c:ptCount val="4"/>
                <c:pt idx="0">
                  <c:v>NAKİT</c:v>
                </c:pt>
                <c:pt idx="1">
                  <c:v>TAKAS</c:v>
                </c:pt>
                <c:pt idx="2">
                  <c:v>KREDİ KARTI</c:v>
                </c:pt>
                <c:pt idx="3">
                  <c:v>KREDİ / FİNANSMAN</c:v>
                </c:pt>
              </c:strCache>
            </c:strRef>
          </c:cat>
          <c:val>
            <c:numRef>
              <c:f>DASHBOARD!$H$4:$H$7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1-4FEF-9494-0908E1B96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Danışman Satış / Kârlılık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SATIŞ</c:v>
          </c:tx>
          <c:invertIfNegative val="1"/>
          <c:cat>
            <c:strRef>
              <c:f>DASHBOARD!$D$11:$D$12</c:f>
              <c:strCache>
                <c:ptCount val="2"/>
                <c:pt idx="0">
                  <c:v>ONUR İPEK</c:v>
                </c:pt>
                <c:pt idx="1">
                  <c:v>HASAN HÜSEYİN SÜRMELİ</c:v>
                </c:pt>
              </c:strCache>
            </c:strRef>
          </c:cat>
          <c:val>
            <c:numRef>
              <c:f>DASHBOARD!$E$11:$E$12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0-4C1A-8FE6-3FF751A97B0B}"/>
            </c:ext>
          </c:extLst>
        </c:ser>
        <c:ser>
          <c:idx val="1"/>
          <c:order val="1"/>
          <c:tx>
            <c:v>CİRO</c:v>
          </c:tx>
          <c:invertIfNegative val="1"/>
          <c:cat>
            <c:strRef>
              <c:f>DASHBOARD!$D$11:$D$12</c:f>
              <c:strCache>
                <c:ptCount val="2"/>
                <c:pt idx="0">
                  <c:v>ONUR İPEK</c:v>
                </c:pt>
                <c:pt idx="1">
                  <c:v>HASAN HÜSEYİN SÜRMELİ</c:v>
                </c:pt>
              </c:strCache>
            </c:strRef>
          </c:cat>
          <c:val>
            <c:numRef>
              <c:f>DASHBOARD!$F$11:$F$12</c:f>
              <c:numCache>
                <c:formatCode>#,##0\ "TL";[Red]\(#,##0\ "TL"\);\-</c:formatCode>
                <c:ptCount val="2"/>
                <c:pt idx="0">
                  <c:v>6605000</c:v>
                </c:pt>
                <c:pt idx="1">
                  <c:v>1740000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90-4C1A-8FE6-3FF751A97B0B}"/>
            </c:ext>
          </c:extLst>
        </c:ser>
        <c:ser>
          <c:idx val="2"/>
          <c:order val="2"/>
          <c:tx>
            <c:v>NET KAR</c:v>
          </c:tx>
          <c:invertIfNegative val="1"/>
          <c:cat>
            <c:strRef>
              <c:f>DASHBOARD!$D$11:$D$12</c:f>
              <c:strCache>
                <c:ptCount val="2"/>
                <c:pt idx="0">
                  <c:v>ONUR İPEK</c:v>
                </c:pt>
                <c:pt idx="1">
                  <c:v>HASAN HÜSEYİN SÜRMELİ</c:v>
                </c:pt>
              </c:strCache>
            </c:strRef>
          </c:cat>
          <c:val>
            <c:numRef>
              <c:f>DASHBOARD!$G$11:$G$12</c:f>
              <c:numCache>
                <c:formatCode>#,##0\ "TL";[Red]\(#,##0\ "TL"\);\-</c:formatCode>
                <c:ptCount val="2"/>
                <c:pt idx="0">
                  <c:v>210434.33333333326</c:v>
                </c:pt>
                <c:pt idx="1">
                  <c:v>-24680.333333333256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90-4C1A-8FE6-3FF751A97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12</xdr:col>
      <xdr:colOff>0</xdr:colOff>
      <xdr:row>49</xdr:row>
      <xdr:rowOff>0</xdr:rowOff>
    </xdr:to>
    <xdr:graphicFrame macro=""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racTakipTablosu" displayName="AracTakipTablosu" ref="A3:AD303" totalsRowShown="0">
  <tableColumns count="30">
    <tableColumn id="1" name="SAYI"/>
    <tableColumn id="2" name="OTOMOBİL BİLGİLERİ"/>
    <tableColumn id="3" name="M.YILI"/>
    <tableColumn id="4" name="PLAKA"/>
    <tableColumn id="5" name="ALIM TÜRÜ"/>
    <tableColumn id="6" name="ALIŞ BEDELİ"/>
    <tableColumn id="7" name="ALIŞ TARİHİ"/>
    <tableColumn id="8" name="SATIŞ TARİHİ"/>
    <tableColumn id="9" name="SKS GÜN"/>
    <tableColumn id="10" name="NOTER"/>
    <tableColumn id="11" name="EXPERTİZ"/>
    <tableColumn id="12" name="150 NOKTA"/>
    <tableColumn id="13" name="SİGORTA GİDERİ"/>
    <tableColumn id="14" name="EK MASRAF"/>
    <tableColumn id="15" name="SKS FİNANSMAN GİDERİ"/>
    <tableColumn id="16" name="TOPLAM GİDER"/>
    <tableColumn id="17" name="TOPLAM MALİYET"/>
    <tableColumn id="18" name="MÜŞTERİ BİLGİLERİ"/>
    <tableColumn id="19" name="SATIŞ TÜRÜ"/>
    <tableColumn id="20" name="SATIŞ BEDELİ"/>
    <tableColumn id="21" name="BRÜT KAR"/>
    <tableColumn id="22" name="NET KAR"/>
    <tableColumn id="23" name="NET KARLILIK"/>
    <tableColumn id="24" name="STOK DURUMU"/>
    <tableColumn id="25" name="SATIŞ DANIŞMANI"/>
    <tableColumn id="26" name="SİGORTA-KASKO GELİRİ"/>
    <tableColumn id="27" name="KREDİ GELİRİ"/>
    <tableColumn id="28" name="UZATILMIŞ GARANTİ GELİRİ"/>
    <tableColumn id="29" name="TOPLAM EK GELİR"/>
    <tableColumn id="30" name="PERFORMANS NET KAR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traStokTablosu" displayName="ExtraStokTablosu" ref="A6:S306" totalsRowShown="0">
  <tableColumns count="19">
    <tableColumn id="1" name="SIRA"/>
    <tableColumn id="2" name="PLAKA"/>
    <tableColumn id="3" name="MODEL YILI"/>
    <tableColumn id="4" name="KM"/>
    <tableColumn id="5" name="MARKA"/>
    <tableColumn id="6" name="MODEL"/>
    <tableColumn id="7" name="VERSİYON"/>
    <tableColumn id="8" name="RENK"/>
    <tableColumn id="9" name="ALIŞ TARİHİ"/>
    <tableColumn id="10" name="SKS SÜRESİ"/>
    <tableColumn id="11" name="YAKIT"/>
    <tableColumn id="12" name="VİTES"/>
    <tableColumn id="13" name="ALIŞ FİYATI"/>
    <tableColumn id="14" name="SATIŞ FİYATI"/>
    <tableColumn id="15" name="HEDEF KAZANÇ"/>
    <tableColumn id="16" name="SABİT MASRAFLAR"/>
    <tableColumn id="17" name="SKS FİNANSMAN GİDERİ"/>
    <tableColumn id="18" name="MASRAFLAR DAHİL TOPLAM ALIŞ DEĞERİ"/>
    <tableColumn id="19" name="TAHMİNİ NET K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sqref="A1:D1"/>
    </sheetView>
  </sheetViews>
  <sheetFormatPr defaultRowHeight="13.8"/>
  <cols>
    <col min="1" max="1" width="28" customWidth="1"/>
    <col min="2" max="2" width="18" customWidth="1"/>
    <col min="4" max="4" width="24" customWidth="1"/>
    <col min="5" max="5" width="34" customWidth="1"/>
    <col min="6" max="6" width="40" customWidth="1"/>
    <col min="7" max="7" width="14" customWidth="1"/>
    <col min="8" max="8" width="24" customWidth="1"/>
    <col min="10" max="10" width="24" customWidth="1"/>
  </cols>
  <sheetData>
    <row r="1" spans="1:10" ht="19.2">
      <c r="A1" s="96" t="s">
        <v>0</v>
      </c>
      <c r="B1" s="96"/>
      <c r="C1" s="96"/>
      <c r="D1" s="96"/>
      <c r="E1" s="44"/>
      <c r="F1" s="44"/>
      <c r="G1" s="44"/>
      <c r="H1" s="44"/>
      <c r="I1" s="44"/>
      <c r="J1" s="44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>
      <c r="A3" s="37" t="s">
        <v>1</v>
      </c>
      <c r="B3" s="37" t="s">
        <v>2</v>
      </c>
      <c r="C3" s="5"/>
      <c r="D3" s="36" t="s">
        <v>3</v>
      </c>
      <c r="E3" s="36" t="s">
        <v>4</v>
      </c>
      <c r="F3" s="36" t="s">
        <v>5</v>
      </c>
      <c r="G3" s="36" t="s">
        <v>6</v>
      </c>
      <c r="H3" s="7"/>
      <c r="I3" s="5"/>
      <c r="J3" s="7"/>
    </row>
    <row r="4" spans="1:10">
      <c r="A4" s="5" t="s">
        <v>7</v>
      </c>
      <c r="B4" s="8">
        <f>'GİDER AYARLARI'!B4</f>
        <v>2602</v>
      </c>
      <c r="C4" s="5"/>
      <c r="D4" s="5" t="s">
        <v>8</v>
      </c>
      <c r="E4" s="5" t="s">
        <v>9</v>
      </c>
      <c r="F4" s="5" t="s">
        <v>10</v>
      </c>
      <c r="G4" s="5" t="s">
        <v>11</v>
      </c>
      <c r="H4" s="5"/>
      <c r="I4" s="5"/>
      <c r="J4" s="5"/>
    </row>
    <row r="5" spans="1:10">
      <c r="A5" s="5" t="s">
        <v>12</v>
      </c>
      <c r="B5" s="8">
        <f>'GİDER AYARLARI'!B5</f>
        <v>3900</v>
      </c>
      <c r="C5" s="5"/>
      <c r="D5" s="5" t="s">
        <v>13</v>
      </c>
      <c r="E5" s="5" t="s">
        <v>14</v>
      </c>
      <c r="F5" s="5" t="s">
        <v>15</v>
      </c>
      <c r="G5" s="5" t="s">
        <v>11</v>
      </c>
      <c r="H5" s="5"/>
      <c r="I5" s="5"/>
      <c r="J5" s="5"/>
    </row>
    <row r="6" spans="1:10">
      <c r="A6" s="5" t="s">
        <v>16</v>
      </c>
      <c r="B6" s="8">
        <f>'GİDER AYARLARI'!B6</f>
        <v>1900</v>
      </c>
      <c r="C6" s="5"/>
      <c r="D6" s="5" t="s">
        <v>17</v>
      </c>
      <c r="E6" s="5" t="s">
        <v>18</v>
      </c>
      <c r="F6" s="5" t="s">
        <v>19</v>
      </c>
      <c r="G6" s="5" t="s">
        <v>11</v>
      </c>
      <c r="H6" s="5"/>
      <c r="I6" s="5"/>
      <c r="J6" s="5"/>
    </row>
    <row r="7" spans="1:10">
      <c r="A7" s="5" t="s">
        <v>20</v>
      </c>
      <c r="B7" s="8">
        <f>'GİDER AYARLARI'!B7</f>
        <v>2500</v>
      </c>
      <c r="C7" s="5"/>
      <c r="D7" s="5" t="s">
        <v>21</v>
      </c>
      <c r="E7" s="5" t="s">
        <v>22</v>
      </c>
      <c r="F7" s="5" t="s">
        <v>23</v>
      </c>
      <c r="G7" s="5" t="s">
        <v>11</v>
      </c>
      <c r="H7" s="5"/>
      <c r="I7" s="5"/>
      <c r="J7" s="5"/>
    </row>
    <row r="8" spans="1:10">
      <c r="A8" s="5" t="s">
        <v>24</v>
      </c>
      <c r="B8" s="9">
        <f>'GİDER AYARLARI'!B8</f>
        <v>3.5000000000000003E-2</v>
      </c>
      <c r="C8" s="5"/>
      <c r="D8" s="5"/>
      <c r="E8" s="5"/>
      <c r="F8" s="5"/>
      <c r="G8" s="5"/>
      <c r="H8" s="5"/>
      <c r="I8" s="5"/>
      <c r="J8" s="5"/>
    </row>
    <row r="9" spans="1:10">
      <c r="A9" s="5" t="s">
        <v>25</v>
      </c>
      <c r="B9" s="10">
        <f>'GİDER AYARLARI'!B10</f>
        <v>10902</v>
      </c>
      <c r="C9" s="5"/>
      <c r="D9" s="5"/>
      <c r="E9" s="5"/>
      <c r="F9" s="5"/>
      <c r="G9" s="5"/>
      <c r="H9" s="5"/>
      <c r="I9" s="5"/>
      <c r="J9" s="5"/>
    </row>
    <row r="10" spans="1:10">
      <c r="A10" s="5"/>
      <c r="B10" s="5"/>
      <c r="C10" s="5"/>
      <c r="D10" s="99" t="s">
        <v>26</v>
      </c>
      <c r="E10" s="99"/>
      <c r="F10" s="99"/>
      <c r="G10" s="99"/>
      <c r="H10" s="5"/>
      <c r="I10" s="5"/>
      <c r="J10" s="5"/>
    </row>
    <row r="11" spans="1:10">
      <c r="A11" s="97"/>
      <c r="B11" s="97"/>
      <c r="C11" s="97"/>
      <c r="D11" s="97" t="s">
        <v>27</v>
      </c>
      <c r="E11" s="5" t="s">
        <v>28</v>
      </c>
      <c r="F11" s="5"/>
      <c r="G11" s="5"/>
      <c r="H11" s="5"/>
      <c r="I11" s="5"/>
      <c r="J11" s="5"/>
    </row>
    <row r="12" spans="1:10" ht="27.6">
      <c r="A12" s="5"/>
      <c r="B12" s="5"/>
      <c r="C12" s="5"/>
      <c r="D12" s="5" t="s">
        <v>29</v>
      </c>
      <c r="E12" s="5" t="s">
        <v>30</v>
      </c>
      <c r="F12" s="5"/>
      <c r="G12" s="5"/>
      <c r="H12" s="5"/>
      <c r="I12" s="5"/>
      <c r="J12" s="5"/>
    </row>
    <row r="13" spans="1:10" ht="27.6">
      <c r="A13" s="5"/>
      <c r="B13" s="5"/>
      <c r="C13" s="5"/>
      <c r="D13" s="5" t="s">
        <v>31</v>
      </c>
      <c r="E13" s="5" t="s">
        <v>32</v>
      </c>
      <c r="F13" s="5"/>
      <c r="G13" s="5"/>
      <c r="H13" s="5"/>
      <c r="I13" s="5"/>
      <c r="J13" s="5"/>
    </row>
    <row r="14" spans="1:10" ht="27.6">
      <c r="A14" s="5"/>
      <c r="B14" s="5"/>
      <c r="C14" s="5"/>
      <c r="D14" s="5" t="s">
        <v>33</v>
      </c>
      <c r="E14" s="5" t="s">
        <v>34</v>
      </c>
      <c r="F14" s="5"/>
      <c r="G14" s="5"/>
      <c r="H14" s="5"/>
      <c r="I14" s="5"/>
      <c r="J14" s="5"/>
    </row>
    <row r="15" spans="1:10">
      <c r="A15" s="5"/>
      <c r="B15" s="5"/>
      <c r="C15" s="5"/>
      <c r="D15" s="5"/>
      <c r="E15" s="5"/>
      <c r="F15" s="5"/>
      <c r="G15" s="5"/>
      <c r="H15" s="5"/>
      <c r="I15" s="5"/>
      <c r="J15" s="5"/>
    </row>
    <row r="17" spans="1:4">
      <c r="A17" s="98"/>
      <c r="B17" s="98"/>
      <c r="C17" s="98"/>
      <c r="D17" s="98"/>
    </row>
  </sheetData>
  <mergeCells count="4">
    <mergeCell ref="A1:D1"/>
    <mergeCell ref="A11:D11"/>
    <mergeCell ref="A17:D17"/>
    <mergeCell ref="D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3"/>
  <sheetViews>
    <sheetView topLeftCell="T1" workbookViewId="0">
      <selection activeCell="G22" sqref="G22"/>
    </sheetView>
  </sheetViews>
  <sheetFormatPr defaultRowHeight="13.8"/>
  <cols>
    <col min="1" max="1" width="7" customWidth="1"/>
    <col min="2" max="2" width="24" customWidth="1"/>
    <col min="3" max="3" width="9" customWidth="1"/>
    <col min="4" max="4" width="12" customWidth="1"/>
    <col min="5" max="5" width="16" customWidth="1"/>
    <col min="6" max="6" width="15" customWidth="1"/>
    <col min="7" max="8" width="13" customWidth="1"/>
    <col min="9" max="9" width="10" customWidth="1"/>
    <col min="10" max="12" width="12" customWidth="1"/>
    <col min="13" max="14" width="13" customWidth="1"/>
    <col min="15" max="15" width="16" customWidth="1"/>
    <col min="16" max="16" width="14" customWidth="1"/>
    <col min="17" max="17" width="15" customWidth="1"/>
    <col min="18" max="18" width="24" customWidth="1"/>
    <col min="19" max="19" width="19" customWidth="1"/>
    <col min="20" max="20" width="15" customWidth="1"/>
    <col min="21" max="22" width="14" customWidth="1"/>
    <col min="23" max="24" width="12" customWidth="1"/>
    <col min="25" max="25" width="24" customWidth="1"/>
    <col min="26" max="26" width="16" customWidth="1"/>
    <col min="27" max="27" width="14" customWidth="1"/>
    <col min="28" max="28" width="18" customWidth="1"/>
    <col min="29" max="29" width="15" customWidth="1"/>
    <col min="30" max="30" width="17" customWidth="1"/>
  </cols>
  <sheetData>
    <row r="1" spans="1:30" ht="17.850000000000001" customHeight="1">
      <c r="A1" s="100" t="s">
        <v>35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3" spans="1:30" ht="22.95" customHeight="1">
      <c r="A3" s="11" t="s">
        <v>36</v>
      </c>
      <c r="B3" s="11" t="s">
        <v>37</v>
      </c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1" t="s">
        <v>44</v>
      </c>
      <c r="J3" s="11" t="s">
        <v>45</v>
      </c>
      <c r="K3" s="11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1" t="s">
        <v>56</v>
      </c>
      <c r="V3" s="11" t="s">
        <v>57</v>
      </c>
      <c r="W3" s="11" t="s">
        <v>58</v>
      </c>
      <c r="X3" s="11" t="s">
        <v>59</v>
      </c>
      <c r="Y3" s="11" t="s">
        <v>60</v>
      </c>
      <c r="Z3" s="11" t="s">
        <v>61</v>
      </c>
      <c r="AA3" s="11" t="s">
        <v>62</v>
      </c>
      <c r="AB3" s="11" t="s">
        <v>63</v>
      </c>
      <c r="AC3" s="11" t="s">
        <v>64</v>
      </c>
      <c r="AD3" s="11" t="s">
        <v>65</v>
      </c>
    </row>
    <row r="4" spans="1:30">
      <c r="A4">
        <f t="shared" ref="A4:A67" si="0">ROW()-3</f>
        <v>1</v>
      </c>
      <c r="B4" s="2" t="s">
        <v>66</v>
      </c>
      <c r="C4" s="18">
        <v>2025</v>
      </c>
      <c r="D4" s="2" t="s">
        <v>67</v>
      </c>
      <c r="E4" s="2" t="s">
        <v>68</v>
      </c>
      <c r="F4" s="3">
        <v>1200000</v>
      </c>
      <c r="G4" s="16">
        <v>46247</v>
      </c>
      <c r="H4" s="16">
        <v>46247</v>
      </c>
      <c r="I4" s="17">
        <f t="shared" ref="I4:I67" ca="1" si="1">IF(G4="","",IF(H4="",TODAY()-G4,H4-G4))</f>
        <v>0</v>
      </c>
      <c r="J4" s="13">
        <v>0</v>
      </c>
      <c r="K4" s="13">
        <f>IF(F4="","",'GİDER AYARLARI'!$B$5)</f>
        <v>3900</v>
      </c>
      <c r="L4" s="13">
        <f>IF(F4="","",'GİDER AYARLARI'!$B$6)</f>
        <v>1900</v>
      </c>
      <c r="M4" s="13">
        <v>0</v>
      </c>
      <c r="N4" s="3"/>
      <c r="O4" s="13">
        <f ca="1">IF(OR(F4="",I4=""),"",IFERROR(IF(VLOOKUP(E4,'ALIM AYARLARI'!$A$4:$D$20,2,FALSE)="EVET",F4*'GİDER AYARLARI'!$B$8*I4/30,0),0))</f>
        <v>0</v>
      </c>
      <c r="P4" s="14">
        <f t="shared" ref="P4:P67" ca="1" si="2">IF(F4="","",SUM(J4:O4))</f>
        <v>5800</v>
      </c>
      <c r="Q4" s="14">
        <f t="shared" ref="Q4:Q67" ca="1" si="3">IF(F4="","",F4+P4)</f>
        <v>1205800</v>
      </c>
      <c r="R4" s="2" t="s">
        <v>69</v>
      </c>
      <c r="S4" s="2" t="s">
        <v>70</v>
      </c>
      <c r="T4" s="3">
        <v>1290000</v>
      </c>
      <c r="U4" s="14">
        <f t="shared" ref="U4:U67" si="4">IF(OR(F4="",T4=""),"",T4-F4)</f>
        <v>90000</v>
      </c>
      <c r="V4" s="14">
        <f t="shared" ref="V4:V67" ca="1" si="5">IF(T4="","",T4-Q4)</f>
        <v>84200</v>
      </c>
      <c r="W4" s="15">
        <f t="shared" ref="W4:W67" ca="1" si="6">IFERROR(V4/T4,"")</f>
        <v>6.5271317829457359E-2</v>
      </c>
      <c r="X4" s="12" t="str">
        <f t="shared" ref="X4:X67" si="7">IF(F4="","",IF(H4="","STOKTA","SATILDI"))</f>
        <v>SATILDI</v>
      </c>
      <c r="Y4" s="2" t="s">
        <v>71</v>
      </c>
      <c r="Z4" s="3">
        <v>0</v>
      </c>
      <c r="AA4" s="3">
        <v>0</v>
      </c>
      <c r="AB4" s="3">
        <v>0</v>
      </c>
      <c r="AC4" s="14">
        <v>0</v>
      </c>
      <c r="AD4" s="14">
        <f t="shared" ref="AD4:AD67" ca="1" si="8">IF(T4="","",V4+AC4)</f>
        <v>84200</v>
      </c>
    </row>
    <row r="5" spans="1:30" ht="14.4">
      <c r="A5">
        <f t="shared" si="0"/>
        <v>2</v>
      </c>
      <c r="B5" s="2" t="s">
        <v>72</v>
      </c>
      <c r="C5" s="18">
        <v>2025</v>
      </c>
      <c r="D5" s="2" t="s">
        <v>73</v>
      </c>
      <c r="E5" s="2" t="s">
        <v>74</v>
      </c>
      <c r="F5" s="3">
        <v>1670000</v>
      </c>
      <c r="G5" s="16">
        <v>46202</v>
      </c>
      <c r="H5" s="16">
        <v>46245</v>
      </c>
      <c r="I5" s="17">
        <f t="shared" ca="1" si="1"/>
        <v>43</v>
      </c>
      <c r="J5" s="13">
        <f>IF(F5="","",'GİDER AYARLARI'!$B$4)</f>
        <v>2602</v>
      </c>
      <c r="K5" s="13">
        <f>IF(F5="","",'GİDER AYARLARI'!$B$5)</f>
        <v>3900</v>
      </c>
      <c r="L5" s="13">
        <f>IF(F5="","",'GİDER AYARLARI'!$B$6)</f>
        <v>1900</v>
      </c>
      <c r="M5" s="13">
        <f>IF(F5="","",'GİDER AYARLARI'!$B$7)</f>
        <v>2500</v>
      </c>
      <c r="N5" s="3"/>
      <c r="O5" s="13">
        <f ca="1">IF(OR(F5="",I5=""),"",IFERROR(IF(VLOOKUP(E5,'ALIM AYARLARI'!$A$4:$D$20,2,FALSE)="EVET",F5*'GİDER AYARLARI'!$B$8*I5/30,0),0))</f>
        <v>83778.333333333343</v>
      </c>
      <c r="P5" s="14">
        <f t="shared" ca="1" si="2"/>
        <v>94680.333333333343</v>
      </c>
      <c r="Q5" s="14">
        <f t="shared" ca="1" si="3"/>
        <v>1764680.3333333333</v>
      </c>
      <c r="R5" s="71" t="s">
        <v>75</v>
      </c>
      <c r="S5" s="2" t="s">
        <v>76</v>
      </c>
      <c r="T5" s="3">
        <v>1740000</v>
      </c>
      <c r="U5" s="14">
        <f t="shared" si="4"/>
        <v>70000</v>
      </c>
      <c r="V5" s="14">
        <f t="shared" ca="1" si="5"/>
        <v>-24680.333333333256</v>
      </c>
      <c r="W5" s="15">
        <f t="shared" ca="1" si="6"/>
        <v>-1.4184099616858193E-2</v>
      </c>
      <c r="X5" s="12" t="str">
        <f t="shared" si="7"/>
        <v>SATILDI</v>
      </c>
      <c r="Y5" s="2" t="s">
        <v>77</v>
      </c>
      <c r="Z5" s="3">
        <v>0</v>
      </c>
      <c r="AA5" s="3">
        <v>0</v>
      </c>
      <c r="AB5" s="3">
        <v>0</v>
      </c>
      <c r="AC5" s="14">
        <f t="shared" ref="AC5:AC67" si="9">IF(F5="","",SUM(Z5:AB5))</f>
        <v>0</v>
      </c>
      <c r="AD5" s="14">
        <f t="shared" ca="1" si="8"/>
        <v>-24680.333333333256</v>
      </c>
    </row>
    <row r="6" spans="1:30">
      <c r="A6">
        <f t="shared" si="0"/>
        <v>3</v>
      </c>
      <c r="B6" s="2" t="s">
        <v>78</v>
      </c>
      <c r="C6" s="18">
        <v>2025</v>
      </c>
      <c r="D6" s="2" t="s">
        <v>79</v>
      </c>
      <c r="E6" s="2" t="s">
        <v>80</v>
      </c>
      <c r="F6" s="3">
        <v>1230000</v>
      </c>
      <c r="G6" s="16">
        <v>46240</v>
      </c>
      <c r="H6" s="16">
        <v>46245</v>
      </c>
      <c r="I6" s="17">
        <f t="shared" ca="1" si="1"/>
        <v>5</v>
      </c>
      <c r="J6" s="13">
        <f>IF(F6="","",'GİDER AYARLARI'!$B$4)</f>
        <v>2602</v>
      </c>
      <c r="K6" s="13">
        <f>IF(F6="","",'GİDER AYARLARI'!$B$5)</f>
        <v>3900</v>
      </c>
      <c r="L6" s="13">
        <f>IF(F6="","",'GİDER AYARLARI'!$B$6)</f>
        <v>1900</v>
      </c>
      <c r="M6" s="13">
        <f>IF(F6="","",'GİDER AYARLARI'!$B$7)</f>
        <v>2500</v>
      </c>
      <c r="N6" s="3">
        <v>900</v>
      </c>
      <c r="O6" s="13">
        <f ca="1">IF(OR(F6="",I6=""),"",IFERROR(IF(VLOOKUP(E6,'ALIM AYARLARI'!$A$4:$D$20,2,FALSE)="EVET",F6*'GİDER AYARLARI'!$B$8*I6/30,0),0))</f>
        <v>7175.0000000000009</v>
      </c>
      <c r="P6" s="14">
        <f t="shared" ca="1" si="2"/>
        <v>18977</v>
      </c>
      <c r="Q6" s="14">
        <f t="shared" ca="1" si="3"/>
        <v>1248977</v>
      </c>
      <c r="R6" s="2" t="s">
        <v>81</v>
      </c>
      <c r="S6" s="2" t="s">
        <v>76</v>
      </c>
      <c r="T6" s="3">
        <v>1270000</v>
      </c>
      <c r="U6" s="14">
        <f t="shared" si="4"/>
        <v>40000</v>
      </c>
      <c r="V6" s="14">
        <f t="shared" ca="1" si="5"/>
        <v>21023</v>
      </c>
      <c r="W6" s="15">
        <f t="shared" ca="1" si="6"/>
        <v>1.6553543307086614E-2</v>
      </c>
      <c r="X6" s="12" t="str">
        <f t="shared" si="7"/>
        <v>SATILDI</v>
      </c>
      <c r="Y6" s="2" t="s">
        <v>71</v>
      </c>
      <c r="Z6" s="3">
        <v>0</v>
      </c>
      <c r="AA6" s="3">
        <v>0</v>
      </c>
      <c r="AB6" s="3">
        <v>0</v>
      </c>
      <c r="AC6" s="14">
        <v>0</v>
      </c>
      <c r="AD6" s="14">
        <f t="shared" ca="1" si="8"/>
        <v>21023</v>
      </c>
    </row>
    <row r="7" spans="1:30">
      <c r="A7">
        <f t="shared" si="0"/>
        <v>4</v>
      </c>
      <c r="B7" s="2" t="s">
        <v>82</v>
      </c>
      <c r="C7" s="18">
        <v>2025</v>
      </c>
      <c r="D7" s="2" t="s">
        <v>83</v>
      </c>
      <c r="E7" s="2" t="s">
        <v>68</v>
      </c>
      <c r="F7" s="3">
        <v>1300000</v>
      </c>
      <c r="G7" s="16">
        <v>46240</v>
      </c>
      <c r="H7" s="16">
        <v>46240</v>
      </c>
      <c r="I7" s="17">
        <f t="shared" ca="1" si="1"/>
        <v>0</v>
      </c>
      <c r="J7" s="13">
        <v>0</v>
      </c>
      <c r="K7" s="13">
        <f>IF(F7="","",'GİDER AYARLARI'!$B$5)</f>
        <v>3900</v>
      </c>
      <c r="L7" s="13">
        <f>IF(F7="","",'GİDER AYARLARI'!$B$6)</f>
        <v>1900</v>
      </c>
      <c r="M7" s="13">
        <v>0</v>
      </c>
      <c r="N7" s="3"/>
      <c r="O7" s="13">
        <f ca="1">IF(OR(F7="",I7=""),"",IFERROR(IF(VLOOKUP(E7,'ALIM AYARLARI'!$A$4:$D$20,2,FALSE)="EVET",F7*'GİDER AYARLARI'!$B$8*I7/30,0),0))</f>
        <v>0</v>
      </c>
      <c r="P7" s="14">
        <f t="shared" ca="1" si="2"/>
        <v>5800</v>
      </c>
      <c r="Q7" s="14">
        <f t="shared" ca="1" si="3"/>
        <v>1305800</v>
      </c>
      <c r="R7" s="2" t="s">
        <v>84</v>
      </c>
      <c r="S7" s="2" t="s">
        <v>70</v>
      </c>
      <c r="T7" s="3">
        <v>1395000</v>
      </c>
      <c r="U7" s="14">
        <f t="shared" si="4"/>
        <v>95000</v>
      </c>
      <c r="V7" s="14">
        <f t="shared" ca="1" si="5"/>
        <v>89200</v>
      </c>
      <c r="W7" s="15">
        <f t="shared" ca="1" si="6"/>
        <v>6.3942652329749106E-2</v>
      </c>
      <c r="X7" s="12" t="str">
        <f t="shared" si="7"/>
        <v>SATILDI</v>
      </c>
      <c r="Y7" s="2" t="s">
        <v>71</v>
      </c>
      <c r="Z7" s="3"/>
      <c r="AA7" s="3"/>
      <c r="AB7" s="3"/>
      <c r="AC7" s="14">
        <f t="shared" si="9"/>
        <v>0</v>
      </c>
      <c r="AD7" s="14">
        <f t="shared" ca="1" si="8"/>
        <v>89200</v>
      </c>
    </row>
    <row r="8" spans="1:30">
      <c r="A8">
        <f t="shared" si="0"/>
        <v>5</v>
      </c>
      <c r="B8" s="2" t="s">
        <v>85</v>
      </c>
      <c r="C8" s="18">
        <v>2022</v>
      </c>
      <c r="D8" s="2" t="s">
        <v>86</v>
      </c>
      <c r="E8" s="2" t="s">
        <v>74</v>
      </c>
      <c r="F8" s="3">
        <v>1340000</v>
      </c>
      <c r="G8" s="16">
        <v>46196</v>
      </c>
      <c r="H8" s="16">
        <v>46240</v>
      </c>
      <c r="I8" s="17">
        <f t="shared" ca="1" si="1"/>
        <v>44</v>
      </c>
      <c r="J8" s="13">
        <f>IF(F8="","",'GİDER AYARLARI'!$B$4)</f>
        <v>2602</v>
      </c>
      <c r="K8" s="13">
        <f>IF(F8="","",'GİDER AYARLARI'!$B$5)</f>
        <v>3900</v>
      </c>
      <c r="L8" s="13">
        <f>IF(F8="","",'GİDER AYARLARI'!$B$6)</f>
        <v>1900</v>
      </c>
      <c r="M8" s="13">
        <f>IF(F8="","",'GİDER AYARLARI'!$B$7)</f>
        <v>2500</v>
      </c>
      <c r="N8" s="3">
        <v>8500</v>
      </c>
      <c r="O8" s="13">
        <f ca="1">IF(OR(F8="",I8=""),"",IFERROR(IF(VLOOKUP(E8,'ALIM AYARLARI'!$A$4:$D$20,2,FALSE)="EVET",F8*'GİDER AYARLARI'!$B$8*I8/30,0),0))</f>
        <v>68786.666666666672</v>
      </c>
      <c r="P8" s="14">
        <f t="shared" ca="1" si="2"/>
        <v>88188.666666666672</v>
      </c>
      <c r="Q8" s="14">
        <f t="shared" ca="1" si="3"/>
        <v>1428188.6666666667</v>
      </c>
      <c r="R8" s="2" t="s">
        <v>87</v>
      </c>
      <c r="S8" s="2" t="s">
        <v>76</v>
      </c>
      <c r="T8" s="3">
        <v>1375000</v>
      </c>
      <c r="U8" s="14">
        <f t="shared" si="4"/>
        <v>35000</v>
      </c>
      <c r="V8" s="14">
        <f t="shared" ca="1" si="5"/>
        <v>-53188.666666666744</v>
      </c>
      <c r="W8" s="15">
        <f t="shared" ca="1" si="6"/>
        <v>-3.8682666666666726E-2</v>
      </c>
      <c r="X8" s="12" t="str">
        <f t="shared" si="7"/>
        <v>SATILDI</v>
      </c>
      <c r="Y8" s="2" t="s">
        <v>71</v>
      </c>
      <c r="Z8" s="3"/>
      <c r="AA8" s="3"/>
      <c r="AB8" s="3"/>
      <c r="AC8" s="14">
        <f t="shared" si="9"/>
        <v>0</v>
      </c>
      <c r="AD8" s="14">
        <f t="shared" ca="1" si="8"/>
        <v>-53188.666666666744</v>
      </c>
    </row>
    <row r="9" spans="1:30">
      <c r="A9">
        <f t="shared" si="0"/>
        <v>6</v>
      </c>
      <c r="B9" s="2" t="s">
        <v>78</v>
      </c>
      <c r="C9" s="18">
        <v>2025</v>
      </c>
      <c r="D9" s="2" t="s">
        <v>218</v>
      </c>
      <c r="E9" s="2" t="s">
        <v>68</v>
      </c>
      <c r="F9" s="3">
        <v>1200000</v>
      </c>
      <c r="G9" s="16">
        <v>46251</v>
      </c>
      <c r="H9" s="16">
        <v>46251</v>
      </c>
      <c r="I9" s="17">
        <f t="shared" ca="1" si="1"/>
        <v>0</v>
      </c>
      <c r="J9" s="13">
        <v>0</v>
      </c>
      <c r="K9" s="13">
        <f>IF(F9="","",'GİDER AYARLARI'!$B$5)</f>
        <v>3900</v>
      </c>
      <c r="L9" s="13">
        <f>IF(F9="","",'GİDER AYARLARI'!$B$6)</f>
        <v>1900</v>
      </c>
      <c r="M9" s="13">
        <v>0</v>
      </c>
      <c r="N9" s="3"/>
      <c r="O9" s="13">
        <f ca="1">IF(OR(F9="",I9=""),"",IFERROR(IF(VLOOKUP(E9,'ALIM AYARLARI'!$A$4:$D$20,2,FALSE)="EVET",F9*'GİDER AYARLARI'!$B$8*I9/30,0),0))</f>
        <v>0</v>
      </c>
      <c r="P9" s="14">
        <f t="shared" ca="1" si="2"/>
        <v>5800</v>
      </c>
      <c r="Q9" s="14">
        <f t="shared" ca="1" si="3"/>
        <v>1205800</v>
      </c>
      <c r="R9" s="2" t="s">
        <v>217</v>
      </c>
      <c r="S9" s="2" t="s">
        <v>70</v>
      </c>
      <c r="T9" s="3">
        <v>1275000</v>
      </c>
      <c r="U9" s="14">
        <f t="shared" si="4"/>
        <v>75000</v>
      </c>
      <c r="V9" s="14">
        <f t="shared" ca="1" si="5"/>
        <v>69200</v>
      </c>
      <c r="W9" s="15">
        <f t="shared" ca="1" si="6"/>
        <v>5.4274509803921567E-2</v>
      </c>
      <c r="X9" s="12" t="str">
        <f t="shared" si="7"/>
        <v>SATILDI</v>
      </c>
      <c r="Y9" s="2" t="s">
        <v>71</v>
      </c>
      <c r="Z9" s="3"/>
      <c r="AA9" s="3"/>
      <c r="AB9" s="3"/>
      <c r="AC9" s="14">
        <f t="shared" si="9"/>
        <v>0</v>
      </c>
      <c r="AD9" s="14">
        <f t="shared" ca="1" si="8"/>
        <v>69200</v>
      </c>
    </row>
    <row r="10" spans="1:30">
      <c r="A10">
        <f t="shared" si="0"/>
        <v>7</v>
      </c>
      <c r="B10" s="2"/>
      <c r="C10" s="18"/>
      <c r="D10" s="2"/>
      <c r="E10" s="2"/>
      <c r="F10" s="3"/>
      <c r="G10" s="16"/>
      <c r="H10" s="16"/>
      <c r="I10" s="17" t="str">
        <f t="shared" ca="1" si="1"/>
        <v/>
      </c>
      <c r="J10" s="13" t="str">
        <f>IF(F10="","",'GİDER AYARLARI'!$B$4)</f>
        <v/>
      </c>
      <c r="K10" s="13" t="str">
        <f>IF(F10="","",'GİDER AYARLARI'!$B$5)</f>
        <v/>
      </c>
      <c r="L10" s="13" t="str">
        <f>IF(F10="","",'GİDER AYARLARI'!$B$6)</f>
        <v/>
      </c>
      <c r="M10" s="13" t="str">
        <f>IF(F10="","",'GİDER AYARLARI'!$B$7)</f>
        <v/>
      </c>
      <c r="N10" s="3"/>
      <c r="O10" s="13" t="str">
        <f ca="1">IF(OR(F10="",I10=""),"",IFERROR(IF(VLOOKUP(E10,'ALIM AYARLARI'!$A$4:$D$20,2,FALSE)="EVET",F10*'GİDER AYARLARI'!$B$8*I10/30,0),0))</f>
        <v/>
      </c>
      <c r="P10" s="14" t="str">
        <f t="shared" si="2"/>
        <v/>
      </c>
      <c r="Q10" s="14" t="str">
        <f t="shared" si="3"/>
        <v/>
      </c>
      <c r="R10" s="2"/>
      <c r="S10" s="2"/>
      <c r="T10" s="3"/>
      <c r="U10" s="14" t="str">
        <f t="shared" si="4"/>
        <v/>
      </c>
      <c r="V10" s="14" t="str">
        <f t="shared" si="5"/>
        <v/>
      </c>
      <c r="W10" s="15" t="str">
        <f t="shared" si="6"/>
        <v/>
      </c>
      <c r="X10" s="12" t="str">
        <f t="shared" si="7"/>
        <v/>
      </c>
      <c r="Y10" s="2"/>
      <c r="Z10" s="3"/>
      <c r="AA10" s="3"/>
      <c r="AB10" s="3"/>
      <c r="AC10" s="14" t="str">
        <f t="shared" si="9"/>
        <v/>
      </c>
      <c r="AD10" s="14" t="str">
        <f t="shared" si="8"/>
        <v/>
      </c>
    </row>
    <row r="11" spans="1:30">
      <c r="A11">
        <f t="shared" si="0"/>
        <v>8</v>
      </c>
      <c r="B11" s="2"/>
      <c r="C11" s="18"/>
      <c r="D11" s="2"/>
      <c r="E11" s="2"/>
      <c r="F11" s="3"/>
      <c r="G11" s="16"/>
      <c r="H11" s="16"/>
      <c r="I11" s="17" t="str">
        <f t="shared" ca="1" si="1"/>
        <v/>
      </c>
      <c r="J11" s="13" t="str">
        <f>IF(F11="","",'GİDER AYARLARI'!$B$4)</f>
        <v/>
      </c>
      <c r="K11" s="13" t="str">
        <f>IF(F11="","",'GİDER AYARLARI'!$B$5)</f>
        <v/>
      </c>
      <c r="L11" s="13" t="str">
        <f>IF(F11="","",'GİDER AYARLARI'!$B$6)</f>
        <v/>
      </c>
      <c r="M11" s="13" t="str">
        <f>IF(F11="","",'GİDER AYARLARI'!$B$7)</f>
        <v/>
      </c>
      <c r="N11" s="3"/>
      <c r="O11" s="13" t="str">
        <f ca="1">IF(OR(F11="",I11=""),"",IFERROR(IF(VLOOKUP(E11,'ALIM AYARLARI'!$A$4:$D$20,2,FALSE)="EVET",F11*'GİDER AYARLARI'!$B$8*I11/30,0),0))</f>
        <v/>
      </c>
      <c r="P11" s="14" t="str">
        <f t="shared" si="2"/>
        <v/>
      </c>
      <c r="Q11" s="14" t="str">
        <f t="shared" si="3"/>
        <v/>
      </c>
      <c r="R11" s="2"/>
      <c r="S11" s="2"/>
      <c r="T11" s="3"/>
      <c r="U11" s="14" t="str">
        <f t="shared" si="4"/>
        <v/>
      </c>
      <c r="V11" s="14" t="str">
        <f t="shared" si="5"/>
        <v/>
      </c>
      <c r="W11" s="15" t="str">
        <f t="shared" si="6"/>
        <v/>
      </c>
      <c r="X11" s="12" t="str">
        <f t="shared" si="7"/>
        <v/>
      </c>
      <c r="Y11" s="2"/>
      <c r="Z11" s="3"/>
      <c r="AA11" s="3"/>
      <c r="AB11" s="3"/>
      <c r="AC11" s="14" t="str">
        <f t="shared" si="9"/>
        <v/>
      </c>
      <c r="AD11" s="14" t="str">
        <f t="shared" si="8"/>
        <v/>
      </c>
    </row>
    <row r="12" spans="1:30">
      <c r="A12">
        <f t="shared" si="0"/>
        <v>9</v>
      </c>
      <c r="B12" s="2"/>
      <c r="C12" s="18"/>
      <c r="D12" s="2"/>
      <c r="E12" s="2"/>
      <c r="F12" s="3"/>
      <c r="G12" s="16"/>
      <c r="H12" s="16"/>
      <c r="I12" s="17" t="str">
        <f t="shared" ca="1" si="1"/>
        <v/>
      </c>
      <c r="J12" s="13" t="str">
        <f>IF(F12="","",'GİDER AYARLARI'!$B$4)</f>
        <v/>
      </c>
      <c r="K12" s="13" t="str">
        <f>IF(F12="","",'GİDER AYARLARI'!$B$5)</f>
        <v/>
      </c>
      <c r="L12" s="13" t="str">
        <f>IF(F12="","",'GİDER AYARLARI'!$B$6)</f>
        <v/>
      </c>
      <c r="M12" s="13" t="str">
        <f>IF(F12="","",'GİDER AYARLARI'!$B$7)</f>
        <v/>
      </c>
      <c r="N12" s="3"/>
      <c r="O12" s="13" t="str">
        <f ca="1">IF(OR(F12="",I12=""),"",IFERROR(IF(VLOOKUP(E12,'ALIM AYARLARI'!$A$4:$D$20,2,FALSE)="EVET",F12*'GİDER AYARLARI'!$B$8*I12/30,0),0))</f>
        <v/>
      </c>
      <c r="P12" s="14" t="str">
        <f t="shared" si="2"/>
        <v/>
      </c>
      <c r="Q12" s="14" t="str">
        <f t="shared" si="3"/>
        <v/>
      </c>
      <c r="R12" s="2"/>
      <c r="S12" s="2"/>
      <c r="T12" s="3"/>
      <c r="U12" s="14" t="str">
        <f t="shared" si="4"/>
        <v/>
      </c>
      <c r="V12" s="14" t="str">
        <f t="shared" si="5"/>
        <v/>
      </c>
      <c r="W12" s="15" t="str">
        <f t="shared" si="6"/>
        <v/>
      </c>
      <c r="X12" s="12" t="str">
        <f t="shared" si="7"/>
        <v/>
      </c>
      <c r="Y12" s="2"/>
      <c r="Z12" s="3"/>
      <c r="AA12" s="3"/>
      <c r="AB12" s="3"/>
      <c r="AC12" s="14" t="str">
        <f t="shared" si="9"/>
        <v/>
      </c>
      <c r="AD12" s="14" t="str">
        <f t="shared" si="8"/>
        <v/>
      </c>
    </row>
    <row r="13" spans="1:30">
      <c r="A13">
        <f t="shared" si="0"/>
        <v>10</v>
      </c>
      <c r="B13" s="2"/>
      <c r="C13" s="18"/>
      <c r="D13" s="2"/>
      <c r="E13" s="2"/>
      <c r="F13" s="3"/>
      <c r="G13" s="16"/>
      <c r="H13" s="16"/>
      <c r="I13" s="17" t="str">
        <f t="shared" ca="1" si="1"/>
        <v/>
      </c>
      <c r="J13" s="13" t="str">
        <f>IF(F13="","",'GİDER AYARLARI'!$B$4)</f>
        <v/>
      </c>
      <c r="K13" s="13" t="str">
        <f>IF(F13="","",'GİDER AYARLARI'!$B$5)</f>
        <v/>
      </c>
      <c r="L13" s="13" t="str">
        <f>IF(F13="","",'GİDER AYARLARI'!$B$6)</f>
        <v/>
      </c>
      <c r="M13" s="13" t="str">
        <f>IF(F13="","",'GİDER AYARLARI'!$B$7)</f>
        <v/>
      </c>
      <c r="N13" s="3"/>
      <c r="O13" s="13" t="str">
        <f ca="1">IF(OR(F13="",I13=""),"",IFERROR(IF(VLOOKUP(E13,'ALIM AYARLARI'!$A$4:$D$20,2,FALSE)="EVET",F13*'GİDER AYARLARI'!$B$8*I13/30,0),0))</f>
        <v/>
      </c>
      <c r="P13" s="14" t="str">
        <f t="shared" si="2"/>
        <v/>
      </c>
      <c r="Q13" s="14" t="str">
        <f t="shared" si="3"/>
        <v/>
      </c>
      <c r="R13" s="2"/>
      <c r="S13" s="2"/>
      <c r="T13" s="3"/>
      <c r="U13" s="14" t="str">
        <f t="shared" si="4"/>
        <v/>
      </c>
      <c r="V13" s="14" t="str">
        <f t="shared" si="5"/>
        <v/>
      </c>
      <c r="W13" s="15" t="str">
        <f t="shared" si="6"/>
        <v/>
      </c>
      <c r="X13" s="12" t="str">
        <f t="shared" si="7"/>
        <v/>
      </c>
      <c r="Y13" s="2"/>
      <c r="Z13" s="3"/>
      <c r="AA13" s="3"/>
      <c r="AB13" s="3"/>
      <c r="AC13" s="14" t="str">
        <f t="shared" si="9"/>
        <v/>
      </c>
      <c r="AD13" s="14" t="str">
        <f t="shared" si="8"/>
        <v/>
      </c>
    </row>
    <row r="14" spans="1:30">
      <c r="A14">
        <f t="shared" si="0"/>
        <v>11</v>
      </c>
      <c r="B14" s="2"/>
      <c r="C14" s="18"/>
      <c r="D14" s="2"/>
      <c r="E14" s="2"/>
      <c r="F14" s="3"/>
      <c r="G14" s="16"/>
      <c r="H14" s="16"/>
      <c r="I14" s="17" t="str">
        <f t="shared" ca="1" si="1"/>
        <v/>
      </c>
      <c r="J14" s="13" t="str">
        <f>IF(F14="","",'GİDER AYARLARI'!$B$4)</f>
        <v/>
      </c>
      <c r="K14" s="13" t="str">
        <f>IF(F14="","",'GİDER AYARLARI'!$B$5)</f>
        <v/>
      </c>
      <c r="L14" s="13" t="str">
        <f>IF(F14="","",'GİDER AYARLARI'!$B$6)</f>
        <v/>
      </c>
      <c r="M14" s="13" t="str">
        <f>IF(F14="","",'GİDER AYARLARI'!$B$7)</f>
        <v/>
      </c>
      <c r="N14" s="3"/>
      <c r="O14" s="13" t="str">
        <f ca="1">IF(OR(F14="",I14=""),"",IFERROR(IF(VLOOKUP(E14,'ALIM AYARLARI'!$A$4:$D$20,2,FALSE)="EVET",F14*'GİDER AYARLARI'!$B$8*I14/30,0),0))</f>
        <v/>
      </c>
      <c r="P14" s="14" t="str">
        <f t="shared" si="2"/>
        <v/>
      </c>
      <c r="Q14" s="14" t="str">
        <f t="shared" si="3"/>
        <v/>
      </c>
      <c r="R14" s="2"/>
      <c r="S14" s="2"/>
      <c r="T14" s="3"/>
      <c r="U14" s="14" t="str">
        <f t="shared" si="4"/>
        <v/>
      </c>
      <c r="V14" s="14" t="str">
        <f t="shared" si="5"/>
        <v/>
      </c>
      <c r="W14" s="15" t="str">
        <f t="shared" si="6"/>
        <v/>
      </c>
      <c r="X14" s="12" t="str">
        <f t="shared" si="7"/>
        <v/>
      </c>
      <c r="Y14" s="2"/>
      <c r="Z14" s="3"/>
      <c r="AA14" s="3"/>
      <c r="AB14" s="3"/>
      <c r="AC14" s="14" t="str">
        <f t="shared" si="9"/>
        <v/>
      </c>
      <c r="AD14" s="14" t="str">
        <f t="shared" si="8"/>
        <v/>
      </c>
    </row>
    <row r="15" spans="1:30">
      <c r="A15">
        <f t="shared" si="0"/>
        <v>12</v>
      </c>
      <c r="B15" s="2"/>
      <c r="C15" s="18"/>
      <c r="D15" s="2"/>
      <c r="E15" s="2"/>
      <c r="F15" s="3"/>
      <c r="G15" s="16"/>
      <c r="H15" s="16"/>
      <c r="I15" s="17" t="str">
        <f t="shared" ca="1" si="1"/>
        <v/>
      </c>
      <c r="J15" s="13" t="str">
        <f>IF(F15="","",'GİDER AYARLARI'!$B$4)</f>
        <v/>
      </c>
      <c r="K15" s="13" t="str">
        <f>IF(F15="","",'GİDER AYARLARI'!$B$5)</f>
        <v/>
      </c>
      <c r="L15" s="13" t="str">
        <f>IF(F15="","",'GİDER AYARLARI'!$B$6)</f>
        <v/>
      </c>
      <c r="M15" s="13" t="str">
        <f>IF(F15="","",'GİDER AYARLARI'!$B$7)</f>
        <v/>
      </c>
      <c r="N15" s="3"/>
      <c r="O15" s="13" t="str">
        <f ca="1">IF(OR(F15="",I15=""),"",IFERROR(IF(VLOOKUP(E15,'ALIM AYARLARI'!$A$4:$D$20,2,FALSE)="EVET",F15*'GİDER AYARLARI'!$B$8*I15/30,0),0))</f>
        <v/>
      </c>
      <c r="P15" s="14" t="str">
        <f t="shared" si="2"/>
        <v/>
      </c>
      <c r="Q15" s="14" t="str">
        <f t="shared" si="3"/>
        <v/>
      </c>
      <c r="R15" s="2"/>
      <c r="S15" s="2"/>
      <c r="T15" s="3"/>
      <c r="U15" s="14" t="str">
        <f t="shared" si="4"/>
        <v/>
      </c>
      <c r="V15" s="14" t="str">
        <f t="shared" si="5"/>
        <v/>
      </c>
      <c r="W15" s="15" t="str">
        <f t="shared" si="6"/>
        <v/>
      </c>
      <c r="X15" s="12" t="str">
        <f t="shared" si="7"/>
        <v/>
      </c>
      <c r="Y15" s="2"/>
      <c r="Z15" s="3"/>
      <c r="AA15" s="3"/>
      <c r="AB15" s="3"/>
      <c r="AC15" s="14" t="str">
        <f t="shared" si="9"/>
        <v/>
      </c>
      <c r="AD15" s="14" t="str">
        <f t="shared" si="8"/>
        <v/>
      </c>
    </row>
    <row r="16" spans="1:30">
      <c r="A16">
        <f t="shared" si="0"/>
        <v>13</v>
      </c>
      <c r="B16" s="2"/>
      <c r="C16" s="18"/>
      <c r="D16" s="2"/>
      <c r="E16" s="2"/>
      <c r="F16" s="3"/>
      <c r="G16" s="16"/>
      <c r="H16" s="16"/>
      <c r="I16" s="17" t="str">
        <f t="shared" ca="1" si="1"/>
        <v/>
      </c>
      <c r="J16" s="13" t="str">
        <f>IF(F16="","",'GİDER AYARLARI'!$B$4)</f>
        <v/>
      </c>
      <c r="K16" s="13" t="str">
        <f>IF(F16="","",'GİDER AYARLARI'!$B$5)</f>
        <v/>
      </c>
      <c r="L16" s="13" t="str">
        <f>IF(F16="","",'GİDER AYARLARI'!$B$6)</f>
        <v/>
      </c>
      <c r="M16" s="13" t="str">
        <f>IF(F16="","",'GİDER AYARLARI'!$B$7)</f>
        <v/>
      </c>
      <c r="N16" s="3"/>
      <c r="O16" s="13" t="str">
        <f ca="1">IF(OR(F16="",I16=""),"",IFERROR(IF(VLOOKUP(E16,'ALIM AYARLARI'!$A$4:$D$20,2,FALSE)="EVET",F16*'GİDER AYARLARI'!$B$8*I16/30,0),0))</f>
        <v/>
      </c>
      <c r="P16" s="14" t="str">
        <f t="shared" si="2"/>
        <v/>
      </c>
      <c r="Q16" s="14" t="str">
        <f t="shared" si="3"/>
        <v/>
      </c>
      <c r="R16" s="2"/>
      <c r="S16" s="2"/>
      <c r="T16" s="3"/>
      <c r="U16" s="14" t="str">
        <f t="shared" si="4"/>
        <v/>
      </c>
      <c r="V16" s="14" t="str">
        <f t="shared" si="5"/>
        <v/>
      </c>
      <c r="W16" s="15" t="str">
        <f t="shared" si="6"/>
        <v/>
      </c>
      <c r="X16" s="12" t="str">
        <f t="shared" si="7"/>
        <v/>
      </c>
      <c r="Y16" s="2"/>
      <c r="Z16" s="3"/>
      <c r="AA16" s="3"/>
      <c r="AB16" s="3"/>
      <c r="AC16" s="14" t="str">
        <f t="shared" si="9"/>
        <v/>
      </c>
      <c r="AD16" s="14" t="str">
        <f t="shared" si="8"/>
        <v/>
      </c>
    </row>
    <row r="17" spans="1:30">
      <c r="A17">
        <f t="shared" si="0"/>
        <v>14</v>
      </c>
      <c r="B17" s="2"/>
      <c r="C17" s="18"/>
      <c r="D17" s="2"/>
      <c r="E17" s="2"/>
      <c r="F17" s="3"/>
      <c r="G17" s="16"/>
      <c r="H17" s="16"/>
      <c r="I17" s="17" t="str">
        <f t="shared" ca="1" si="1"/>
        <v/>
      </c>
      <c r="J17" s="13" t="str">
        <f>IF(F17="","",'GİDER AYARLARI'!$B$4)</f>
        <v/>
      </c>
      <c r="K17" s="13" t="str">
        <f>IF(F17="","",'GİDER AYARLARI'!$B$5)</f>
        <v/>
      </c>
      <c r="L17" s="13" t="str">
        <f>IF(F17="","",'GİDER AYARLARI'!$B$6)</f>
        <v/>
      </c>
      <c r="M17" s="13" t="str">
        <f>IF(F17="","",'GİDER AYARLARI'!$B$7)</f>
        <v/>
      </c>
      <c r="N17" s="3"/>
      <c r="O17" s="13" t="str">
        <f ca="1">IF(OR(F17="",I17=""),"",IFERROR(IF(VLOOKUP(E17,'ALIM AYARLARI'!$A$4:$D$20,2,FALSE)="EVET",F17*'GİDER AYARLARI'!$B$8*I17/30,0),0))</f>
        <v/>
      </c>
      <c r="P17" s="14" t="str">
        <f t="shared" si="2"/>
        <v/>
      </c>
      <c r="Q17" s="14" t="str">
        <f t="shared" si="3"/>
        <v/>
      </c>
      <c r="R17" s="2"/>
      <c r="S17" s="2"/>
      <c r="T17" s="3"/>
      <c r="U17" s="14" t="str">
        <f t="shared" si="4"/>
        <v/>
      </c>
      <c r="V17" s="14" t="str">
        <f t="shared" si="5"/>
        <v/>
      </c>
      <c r="W17" s="15" t="str">
        <f t="shared" si="6"/>
        <v/>
      </c>
      <c r="X17" s="12" t="str">
        <f t="shared" si="7"/>
        <v/>
      </c>
      <c r="Y17" s="2"/>
      <c r="Z17" s="3"/>
      <c r="AA17" s="3"/>
      <c r="AB17" s="3"/>
      <c r="AC17" s="14" t="str">
        <f t="shared" si="9"/>
        <v/>
      </c>
      <c r="AD17" s="14" t="str">
        <f t="shared" si="8"/>
        <v/>
      </c>
    </row>
    <row r="18" spans="1:30">
      <c r="A18">
        <f t="shared" si="0"/>
        <v>15</v>
      </c>
      <c r="B18" s="2"/>
      <c r="C18" s="18"/>
      <c r="D18" s="2"/>
      <c r="E18" s="2"/>
      <c r="F18" s="3"/>
      <c r="G18" s="16"/>
      <c r="H18" s="16"/>
      <c r="I18" s="17" t="str">
        <f t="shared" ca="1" si="1"/>
        <v/>
      </c>
      <c r="J18" s="13" t="str">
        <f>IF(F18="","",'GİDER AYARLARI'!$B$4)</f>
        <v/>
      </c>
      <c r="K18" s="13" t="str">
        <f>IF(F18="","",'GİDER AYARLARI'!$B$5)</f>
        <v/>
      </c>
      <c r="L18" s="13" t="str">
        <f>IF(F18="","",'GİDER AYARLARI'!$B$6)</f>
        <v/>
      </c>
      <c r="M18" s="13" t="str">
        <f>IF(F18="","",'GİDER AYARLARI'!$B$7)</f>
        <v/>
      </c>
      <c r="N18" s="3"/>
      <c r="O18" s="13" t="str">
        <f ca="1">IF(OR(F18="",I18=""),"",IFERROR(IF(VLOOKUP(E18,'ALIM AYARLARI'!$A$4:$D$20,2,FALSE)="EVET",F18*'GİDER AYARLARI'!$B$8*I18/30,0),0))</f>
        <v/>
      </c>
      <c r="P18" s="14" t="str">
        <f t="shared" si="2"/>
        <v/>
      </c>
      <c r="Q18" s="14" t="str">
        <f t="shared" si="3"/>
        <v/>
      </c>
      <c r="R18" s="2"/>
      <c r="S18" s="2"/>
      <c r="T18" s="3"/>
      <c r="U18" s="14" t="str">
        <f t="shared" si="4"/>
        <v/>
      </c>
      <c r="V18" s="14" t="str">
        <f t="shared" si="5"/>
        <v/>
      </c>
      <c r="W18" s="15" t="str">
        <f t="shared" si="6"/>
        <v/>
      </c>
      <c r="X18" s="12" t="str">
        <f t="shared" si="7"/>
        <v/>
      </c>
      <c r="Y18" s="2"/>
      <c r="Z18" s="3"/>
      <c r="AA18" s="3"/>
      <c r="AB18" s="3"/>
      <c r="AC18" s="14" t="str">
        <f t="shared" si="9"/>
        <v/>
      </c>
      <c r="AD18" s="14" t="str">
        <f t="shared" si="8"/>
        <v/>
      </c>
    </row>
    <row r="19" spans="1:30">
      <c r="A19">
        <f t="shared" si="0"/>
        <v>16</v>
      </c>
      <c r="B19" s="2"/>
      <c r="C19" s="18"/>
      <c r="D19" s="2"/>
      <c r="E19" s="2"/>
      <c r="F19" s="3"/>
      <c r="G19" s="16"/>
      <c r="H19" s="16"/>
      <c r="I19" s="17" t="str">
        <f t="shared" ca="1" si="1"/>
        <v/>
      </c>
      <c r="J19" s="13" t="str">
        <f>IF(F19="","",'GİDER AYARLARI'!$B$4)</f>
        <v/>
      </c>
      <c r="K19" s="13" t="str">
        <f>IF(F19="","",'GİDER AYARLARI'!$B$5)</f>
        <v/>
      </c>
      <c r="L19" s="13" t="str">
        <f>IF(F19="","",'GİDER AYARLARI'!$B$6)</f>
        <v/>
      </c>
      <c r="M19" s="13" t="str">
        <f>IF(F19="","",'GİDER AYARLARI'!$B$7)</f>
        <v/>
      </c>
      <c r="N19" s="3"/>
      <c r="O19" s="13" t="str">
        <f ca="1">IF(OR(F19="",I19=""),"",IFERROR(IF(VLOOKUP(E19,'ALIM AYARLARI'!$A$4:$D$20,2,FALSE)="EVET",F19*'GİDER AYARLARI'!$B$8*I19/30,0),0))</f>
        <v/>
      </c>
      <c r="P19" s="14" t="str">
        <f t="shared" si="2"/>
        <v/>
      </c>
      <c r="Q19" s="14" t="str">
        <f t="shared" si="3"/>
        <v/>
      </c>
      <c r="R19" s="2"/>
      <c r="S19" s="2"/>
      <c r="T19" s="3"/>
      <c r="U19" s="14" t="str">
        <f t="shared" si="4"/>
        <v/>
      </c>
      <c r="V19" s="14" t="str">
        <f t="shared" si="5"/>
        <v/>
      </c>
      <c r="W19" s="15" t="str">
        <f t="shared" si="6"/>
        <v/>
      </c>
      <c r="X19" s="12" t="str">
        <f t="shared" si="7"/>
        <v/>
      </c>
      <c r="Y19" s="2"/>
      <c r="Z19" s="3"/>
      <c r="AA19" s="3"/>
      <c r="AB19" s="3"/>
      <c r="AC19" s="14" t="str">
        <f t="shared" si="9"/>
        <v/>
      </c>
      <c r="AD19" s="14" t="str">
        <f t="shared" si="8"/>
        <v/>
      </c>
    </row>
    <row r="20" spans="1:30">
      <c r="A20">
        <f t="shared" si="0"/>
        <v>17</v>
      </c>
      <c r="B20" s="2"/>
      <c r="C20" s="18"/>
      <c r="D20" s="2"/>
      <c r="E20" s="2"/>
      <c r="F20" s="3"/>
      <c r="G20" s="16"/>
      <c r="H20" s="16"/>
      <c r="I20" s="17" t="str">
        <f t="shared" ca="1" si="1"/>
        <v/>
      </c>
      <c r="J20" s="13" t="str">
        <f>IF(F20="","",'GİDER AYARLARI'!$B$4)</f>
        <v/>
      </c>
      <c r="K20" s="13" t="str">
        <f>IF(F20="","",'GİDER AYARLARI'!$B$5)</f>
        <v/>
      </c>
      <c r="L20" s="13" t="str">
        <f>IF(F20="","",'GİDER AYARLARI'!$B$6)</f>
        <v/>
      </c>
      <c r="M20" s="13" t="str">
        <f>IF(F20="","",'GİDER AYARLARI'!$B$7)</f>
        <v/>
      </c>
      <c r="N20" s="3"/>
      <c r="O20" s="13" t="str">
        <f ca="1">IF(OR(F20="",I20=""),"",IFERROR(IF(VLOOKUP(E20,'ALIM AYARLARI'!$A$4:$D$20,2,FALSE)="EVET",F20*'GİDER AYARLARI'!$B$8*I20/30,0),0))</f>
        <v/>
      </c>
      <c r="P20" s="14" t="str">
        <f t="shared" si="2"/>
        <v/>
      </c>
      <c r="Q20" s="14" t="str">
        <f t="shared" si="3"/>
        <v/>
      </c>
      <c r="R20" s="2"/>
      <c r="S20" s="2"/>
      <c r="T20" s="3"/>
      <c r="U20" s="14" t="str">
        <f t="shared" si="4"/>
        <v/>
      </c>
      <c r="V20" s="14" t="str">
        <f t="shared" si="5"/>
        <v/>
      </c>
      <c r="W20" s="15" t="str">
        <f t="shared" si="6"/>
        <v/>
      </c>
      <c r="X20" s="12" t="str">
        <f t="shared" si="7"/>
        <v/>
      </c>
      <c r="Y20" s="2"/>
      <c r="Z20" s="3"/>
      <c r="AA20" s="3"/>
      <c r="AB20" s="3"/>
      <c r="AC20" s="14" t="str">
        <f t="shared" si="9"/>
        <v/>
      </c>
      <c r="AD20" s="14" t="str">
        <f t="shared" si="8"/>
        <v/>
      </c>
    </row>
    <row r="21" spans="1:30">
      <c r="A21">
        <f t="shared" si="0"/>
        <v>18</v>
      </c>
      <c r="B21" s="2"/>
      <c r="C21" s="18"/>
      <c r="D21" s="2"/>
      <c r="E21" s="2"/>
      <c r="F21" s="3"/>
      <c r="G21" s="16"/>
      <c r="H21" s="16"/>
      <c r="I21" s="17" t="str">
        <f t="shared" ca="1" si="1"/>
        <v/>
      </c>
      <c r="J21" s="13" t="str">
        <f>IF(F21="","",'GİDER AYARLARI'!$B$4)</f>
        <v/>
      </c>
      <c r="K21" s="13" t="str">
        <f>IF(F21="","",'GİDER AYARLARI'!$B$5)</f>
        <v/>
      </c>
      <c r="L21" s="13" t="str">
        <f>IF(F21="","",'GİDER AYARLARI'!$B$6)</f>
        <v/>
      </c>
      <c r="M21" s="13" t="str">
        <f>IF(F21="","",'GİDER AYARLARI'!$B$7)</f>
        <v/>
      </c>
      <c r="N21" s="3"/>
      <c r="O21" s="13" t="str">
        <f ca="1">IF(OR(F21="",I21=""),"",IFERROR(IF(VLOOKUP(E21,'ALIM AYARLARI'!$A$4:$D$20,2,FALSE)="EVET",F21*'GİDER AYARLARI'!$B$8*I21/30,0),0))</f>
        <v/>
      </c>
      <c r="P21" s="14" t="str">
        <f t="shared" si="2"/>
        <v/>
      </c>
      <c r="Q21" s="14" t="str">
        <f t="shared" si="3"/>
        <v/>
      </c>
      <c r="R21" s="2"/>
      <c r="S21" s="2"/>
      <c r="T21" s="3"/>
      <c r="U21" s="14" t="str">
        <f t="shared" si="4"/>
        <v/>
      </c>
      <c r="V21" s="14" t="str">
        <f t="shared" si="5"/>
        <v/>
      </c>
      <c r="W21" s="15" t="str">
        <f t="shared" si="6"/>
        <v/>
      </c>
      <c r="X21" s="12" t="str">
        <f t="shared" si="7"/>
        <v/>
      </c>
      <c r="Y21" s="2"/>
      <c r="Z21" s="3"/>
      <c r="AA21" s="3"/>
      <c r="AB21" s="3"/>
      <c r="AC21" s="14" t="str">
        <f t="shared" si="9"/>
        <v/>
      </c>
      <c r="AD21" s="14" t="str">
        <f t="shared" si="8"/>
        <v/>
      </c>
    </row>
    <row r="22" spans="1:30">
      <c r="A22">
        <f t="shared" si="0"/>
        <v>19</v>
      </c>
      <c r="B22" s="2"/>
      <c r="C22" s="18"/>
      <c r="D22" s="2"/>
      <c r="E22" s="2"/>
      <c r="F22" s="3"/>
      <c r="G22" s="16"/>
      <c r="H22" s="16"/>
      <c r="I22" s="17" t="str">
        <f t="shared" ca="1" si="1"/>
        <v/>
      </c>
      <c r="J22" s="13" t="str">
        <f>IF(F22="","",'GİDER AYARLARI'!$B$4)</f>
        <v/>
      </c>
      <c r="K22" s="13" t="str">
        <f>IF(F22="","",'GİDER AYARLARI'!$B$5)</f>
        <v/>
      </c>
      <c r="L22" s="13" t="str">
        <f>IF(F22="","",'GİDER AYARLARI'!$B$6)</f>
        <v/>
      </c>
      <c r="M22" s="13" t="str">
        <f>IF(F22="","",'GİDER AYARLARI'!$B$7)</f>
        <v/>
      </c>
      <c r="N22" s="3"/>
      <c r="O22" s="13" t="str">
        <f ca="1">IF(OR(F22="",I22=""),"",IFERROR(IF(VLOOKUP(E22,'ALIM AYARLARI'!$A$4:$D$20,2,FALSE)="EVET",F22*'GİDER AYARLARI'!$B$8*I22/30,0),0))</f>
        <v/>
      </c>
      <c r="P22" s="14" t="str">
        <f t="shared" si="2"/>
        <v/>
      </c>
      <c r="Q22" s="14" t="str">
        <f t="shared" si="3"/>
        <v/>
      </c>
      <c r="R22" s="2"/>
      <c r="S22" s="2"/>
      <c r="T22" s="3"/>
      <c r="U22" s="14" t="str">
        <f t="shared" si="4"/>
        <v/>
      </c>
      <c r="V22" s="14" t="str">
        <f t="shared" si="5"/>
        <v/>
      </c>
      <c r="W22" s="15" t="str">
        <f t="shared" si="6"/>
        <v/>
      </c>
      <c r="X22" s="12" t="str">
        <f t="shared" si="7"/>
        <v/>
      </c>
      <c r="Y22" s="2"/>
      <c r="Z22" s="3"/>
      <c r="AA22" s="3"/>
      <c r="AB22" s="3"/>
      <c r="AC22" s="14" t="str">
        <f t="shared" si="9"/>
        <v/>
      </c>
      <c r="AD22" s="14" t="str">
        <f t="shared" si="8"/>
        <v/>
      </c>
    </row>
    <row r="23" spans="1:30">
      <c r="A23">
        <f t="shared" si="0"/>
        <v>20</v>
      </c>
      <c r="B23" s="2"/>
      <c r="C23" s="18"/>
      <c r="D23" s="2"/>
      <c r="E23" s="2"/>
      <c r="F23" s="3"/>
      <c r="G23" s="16"/>
      <c r="H23" s="16"/>
      <c r="I23" s="17" t="str">
        <f t="shared" ca="1" si="1"/>
        <v/>
      </c>
      <c r="J23" s="13" t="str">
        <f>IF(F23="","",'GİDER AYARLARI'!$B$4)</f>
        <v/>
      </c>
      <c r="K23" s="13" t="str">
        <f>IF(F23="","",'GİDER AYARLARI'!$B$5)</f>
        <v/>
      </c>
      <c r="L23" s="13" t="str">
        <f>IF(F23="","",'GİDER AYARLARI'!$B$6)</f>
        <v/>
      </c>
      <c r="M23" s="13" t="str">
        <f>IF(F23="","",'GİDER AYARLARI'!$B$7)</f>
        <v/>
      </c>
      <c r="N23" s="3"/>
      <c r="O23" s="13" t="str">
        <f ca="1">IF(OR(F23="",I23=""),"",IFERROR(IF(VLOOKUP(E23,'ALIM AYARLARI'!$A$4:$D$20,2,FALSE)="EVET",F23*'GİDER AYARLARI'!$B$8*I23/30,0),0))</f>
        <v/>
      </c>
      <c r="P23" s="14" t="str">
        <f t="shared" si="2"/>
        <v/>
      </c>
      <c r="Q23" s="14" t="str">
        <f t="shared" si="3"/>
        <v/>
      </c>
      <c r="R23" s="2"/>
      <c r="S23" s="2"/>
      <c r="T23" s="3"/>
      <c r="U23" s="14" t="str">
        <f t="shared" si="4"/>
        <v/>
      </c>
      <c r="V23" s="14" t="str">
        <f t="shared" si="5"/>
        <v/>
      </c>
      <c r="W23" s="15" t="str">
        <f t="shared" si="6"/>
        <v/>
      </c>
      <c r="X23" s="12" t="str">
        <f t="shared" si="7"/>
        <v/>
      </c>
      <c r="Y23" s="2"/>
      <c r="Z23" s="3"/>
      <c r="AA23" s="3"/>
      <c r="AB23" s="3"/>
      <c r="AC23" s="14" t="str">
        <f t="shared" si="9"/>
        <v/>
      </c>
      <c r="AD23" s="14" t="str">
        <f t="shared" si="8"/>
        <v/>
      </c>
    </row>
    <row r="24" spans="1:30">
      <c r="A24">
        <f t="shared" si="0"/>
        <v>21</v>
      </c>
      <c r="B24" s="2"/>
      <c r="C24" s="18"/>
      <c r="D24" s="2"/>
      <c r="E24" s="2"/>
      <c r="F24" s="3"/>
      <c r="G24" s="16"/>
      <c r="H24" s="16"/>
      <c r="I24" s="17" t="str">
        <f t="shared" ca="1" si="1"/>
        <v/>
      </c>
      <c r="J24" s="13" t="str">
        <f>IF(F24="","",'GİDER AYARLARI'!$B$4)</f>
        <v/>
      </c>
      <c r="K24" s="13" t="str">
        <f>IF(F24="","",'GİDER AYARLARI'!$B$5)</f>
        <v/>
      </c>
      <c r="L24" s="13" t="str">
        <f>IF(F24="","",'GİDER AYARLARI'!$B$6)</f>
        <v/>
      </c>
      <c r="M24" s="13" t="str">
        <f>IF(F24="","",'GİDER AYARLARI'!$B$7)</f>
        <v/>
      </c>
      <c r="N24" s="3"/>
      <c r="O24" s="13" t="str">
        <f ca="1">IF(OR(F24="",I24=""),"",IFERROR(IF(VLOOKUP(E24,'ALIM AYARLARI'!$A$4:$D$20,2,FALSE)="EVET",F24*'GİDER AYARLARI'!$B$8*I24/30,0),0))</f>
        <v/>
      </c>
      <c r="P24" s="14" t="str">
        <f t="shared" si="2"/>
        <v/>
      </c>
      <c r="Q24" s="14" t="str">
        <f t="shared" si="3"/>
        <v/>
      </c>
      <c r="R24" s="2"/>
      <c r="S24" s="2"/>
      <c r="T24" s="3"/>
      <c r="U24" s="14" t="str">
        <f t="shared" si="4"/>
        <v/>
      </c>
      <c r="V24" s="14" t="str">
        <f t="shared" si="5"/>
        <v/>
      </c>
      <c r="W24" s="15" t="str">
        <f t="shared" si="6"/>
        <v/>
      </c>
      <c r="X24" s="12" t="str">
        <f t="shared" si="7"/>
        <v/>
      </c>
      <c r="Y24" s="2"/>
      <c r="Z24" s="3"/>
      <c r="AA24" s="3"/>
      <c r="AB24" s="3"/>
      <c r="AC24" s="14" t="str">
        <f t="shared" si="9"/>
        <v/>
      </c>
      <c r="AD24" s="14" t="str">
        <f t="shared" si="8"/>
        <v/>
      </c>
    </row>
    <row r="25" spans="1:30">
      <c r="A25">
        <f t="shared" si="0"/>
        <v>22</v>
      </c>
      <c r="B25" s="2"/>
      <c r="C25" s="18"/>
      <c r="D25" s="2"/>
      <c r="E25" s="2"/>
      <c r="F25" s="3"/>
      <c r="G25" s="16"/>
      <c r="H25" s="16"/>
      <c r="I25" s="17" t="str">
        <f t="shared" ca="1" si="1"/>
        <v/>
      </c>
      <c r="J25" s="13" t="str">
        <f>IF(F25="","",'GİDER AYARLARI'!$B$4)</f>
        <v/>
      </c>
      <c r="K25" s="13" t="str">
        <f>IF(F25="","",'GİDER AYARLARI'!$B$5)</f>
        <v/>
      </c>
      <c r="L25" s="13" t="str">
        <f>IF(F25="","",'GİDER AYARLARI'!$B$6)</f>
        <v/>
      </c>
      <c r="M25" s="13" t="str">
        <f>IF(F25="","",'GİDER AYARLARI'!$B$7)</f>
        <v/>
      </c>
      <c r="N25" s="3"/>
      <c r="O25" s="13" t="str">
        <f ca="1">IF(OR(F25="",I25=""),"",IFERROR(IF(VLOOKUP(E25,'ALIM AYARLARI'!$A$4:$D$20,2,FALSE)="EVET",F25*'GİDER AYARLARI'!$B$8*I25/30,0),0))</f>
        <v/>
      </c>
      <c r="P25" s="14" t="str">
        <f t="shared" si="2"/>
        <v/>
      </c>
      <c r="Q25" s="14" t="str">
        <f t="shared" si="3"/>
        <v/>
      </c>
      <c r="R25" s="2"/>
      <c r="S25" s="2"/>
      <c r="T25" s="3"/>
      <c r="U25" s="14" t="str">
        <f t="shared" si="4"/>
        <v/>
      </c>
      <c r="V25" s="14" t="str">
        <f t="shared" si="5"/>
        <v/>
      </c>
      <c r="W25" s="15" t="str">
        <f t="shared" si="6"/>
        <v/>
      </c>
      <c r="X25" s="12" t="str">
        <f t="shared" si="7"/>
        <v/>
      </c>
      <c r="Y25" s="2"/>
      <c r="Z25" s="3"/>
      <c r="AA25" s="3"/>
      <c r="AB25" s="3"/>
      <c r="AC25" s="14" t="str">
        <f t="shared" si="9"/>
        <v/>
      </c>
      <c r="AD25" s="14" t="str">
        <f t="shared" si="8"/>
        <v/>
      </c>
    </row>
    <row r="26" spans="1:30">
      <c r="A26">
        <f t="shared" si="0"/>
        <v>23</v>
      </c>
      <c r="B26" s="2"/>
      <c r="C26" s="18"/>
      <c r="D26" s="2"/>
      <c r="E26" s="2"/>
      <c r="F26" s="3"/>
      <c r="G26" s="16"/>
      <c r="H26" s="16"/>
      <c r="I26" s="17" t="str">
        <f t="shared" ca="1" si="1"/>
        <v/>
      </c>
      <c r="J26" s="13" t="str">
        <f>IF(F26="","",'GİDER AYARLARI'!$B$4)</f>
        <v/>
      </c>
      <c r="K26" s="13" t="str">
        <f>IF(F26="","",'GİDER AYARLARI'!$B$5)</f>
        <v/>
      </c>
      <c r="L26" s="13" t="str">
        <f>IF(F26="","",'GİDER AYARLARI'!$B$6)</f>
        <v/>
      </c>
      <c r="M26" s="13" t="str">
        <f>IF(F26="","",'GİDER AYARLARI'!$B$7)</f>
        <v/>
      </c>
      <c r="N26" s="3"/>
      <c r="O26" s="13" t="str">
        <f ca="1">IF(OR(F26="",I26=""),"",IFERROR(IF(VLOOKUP(E26,'ALIM AYARLARI'!$A$4:$D$20,2,FALSE)="EVET",F26*'GİDER AYARLARI'!$B$8*I26/30,0),0))</f>
        <v/>
      </c>
      <c r="P26" s="14" t="str">
        <f t="shared" si="2"/>
        <v/>
      </c>
      <c r="Q26" s="14" t="str">
        <f t="shared" si="3"/>
        <v/>
      </c>
      <c r="R26" s="2"/>
      <c r="S26" s="2"/>
      <c r="T26" s="3"/>
      <c r="U26" s="14" t="str">
        <f t="shared" si="4"/>
        <v/>
      </c>
      <c r="V26" s="14" t="str">
        <f t="shared" si="5"/>
        <v/>
      </c>
      <c r="W26" s="15" t="str">
        <f t="shared" si="6"/>
        <v/>
      </c>
      <c r="X26" s="12" t="str">
        <f t="shared" si="7"/>
        <v/>
      </c>
      <c r="Y26" s="2"/>
      <c r="Z26" s="3"/>
      <c r="AA26" s="3"/>
      <c r="AB26" s="3"/>
      <c r="AC26" s="14" t="str">
        <f t="shared" si="9"/>
        <v/>
      </c>
      <c r="AD26" s="14" t="str">
        <f t="shared" si="8"/>
        <v/>
      </c>
    </row>
    <row r="27" spans="1:30">
      <c r="A27">
        <f t="shared" si="0"/>
        <v>24</v>
      </c>
      <c r="B27" s="2"/>
      <c r="C27" s="18"/>
      <c r="D27" s="2"/>
      <c r="E27" s="2"/>
      <c r="F27" s="3"/>
      <c r="G27" s="16"/>
      <c r="H27" s="16"/>
      <c r="I27" s="17" t="str">
        <f t="shared" ca="1" si="1"/>
        <v/>
      </c>
      <c r="J27" s="13" t="str">
        <f>IF(F27="","",'GİDER AYARLARI'!$B$4)</f>
        <v/>
      </c>
      <c r="K27" s="13" t="str">
        <f>IF(F27="","",'GİDER AYARLARI'!$B$5)</f>
        <v/>
      </c>
      <c r="L27" s="13" t="str">
        <f>IF(F27="","",'GİDER AYARLARI'!$B$6)</f>
        <v/>
      </c>
      <c r="M27" s="13" t="str">
        <f>IF(F27="","",'GİDER AYARLARI'!$B$7)</f>
        <v/>
      </c>
      <c r="N27" s="3"/>
      <c r="O27" s="13" t="str">
        <f ca="1">IF(OR(F27="",I27=""),"",IFERROR(IF(VLOOKUP(E27,'ALIM AYARLARI'!$A$4:$D$20,2,FALSE)="EVET",F27*'GİDER AYARLARI'!$B$8*I27/30,0),0))</f>
        <v/>
      </c>
      <c r="P27" s="14" t="str">
        <f t="shared" si="2"/>
        <v/>
      </c>
      <c r="Q27" s="14" t="str">
        <f t="shared" si="3"/>
        <v/>
      </c>
      <c r="R27" s="2"/>
      <c r="S27" s="2"/>
      <c r="T27" s="3"/>
      <c r="U27" s="14" t="str">
        <f t="shared" si="4"/>
        <v/>
      </c>
      <c r="V27" s="14" t="str">
        <f t="shared" si="5"/>
        <v/>
      </c>
      <c r="W27" s="15" t="str">
        <f t="shared" si="6"/>
        <v/>
      </c>
      <c r="X27" s="12" t="str">
        <f t="shared" si="7"/>
        <v/>
      </c>
      <c r="Y27" s="2"/>
      <c r="Z27" s="3"/>
      <c r="AA27" s="3"/>
      <c r="AB27" s="3"/>
      <c r="AC27" s="14" t="str">
        <f t="shared" si="9"/>
        <v/>
      </c>
      <c r="AD27" s="14" t="str">
        <f t="shared" si="8"/>
        <v/>
      </c>
    </row>
    <row r="28" spans="1:30">
      <c r="A28">
        <f t="shared" si="0"/>
        <v>25</v>
      </c>
      <c r="B28" s="2"/>
      <c r="C28" s="18"/>
      <c r="D28" s="2"/>
      <c r="E28" s="2"/>
      <c r="F28" s="3"/>
      <c r="G28" s="16"/>
      <c r="H28" s="16"/>
      <c r="I28" s="17" t="str">
        <f t="shared" ca="1" si="1"/>
        <v/>
      </c>
      <c r="J28" s="13" t="str">
        <f>IF(F28="","",'GİDER AYARLARI'!$B$4)</f>
        <v/>
      </c>
      <c r="K28" s="13" t="str">
        <f>IF(F28="","",'GİDER AYARLARI'!$B$5)</f>
        <v/>
      </c>
      <c r="L28" s="13" t="str">
        <f>IF(F28="","",'GİDER AYARLARI'!$B$6)</f>
        <v/>
      </c>
      <c r="M28" s="13" t="str">
        <f>IF(F28="","",'GİDER AYARLARI'!$B$7)</f>
        <v/>
      </c>
      <c r="N28" s="3"/>
      <c r="O28" s="13" t="str">
        <f ca="1">IF(OR(F28="",I28=""),"",IFERROR(IF(VLOOKUP(E28,'ALIM AYARLARI'!$A$4:$D$20,2,FALSE)="EVET",F28*'GİDER AYARLARI'!$B$8*I28/30,0),0))</f>
        <v/>
      </c>
      <c r="P28" s="14" t="str">
        <f t="shared" si="2"/>
        <v/>
      </c>
      <c r="Q28" s="14" t="str">
        <f t="shared" si="3"/>
        <v/>
      </c>
      <c r="R28" s="2"/>
      <c r="S28" s="2"/>
      <c r="T28" s="3"/>
      <c r="U28" s="14" t="str">
        <f t="shared" si="4"/>
        <v/>
      </c>
      <c r="V28" s="14" t="str">
        <f t="shared" si="5"/>
        <v/>
      </c>
      <c r="W28" s="15" t="str">
        <f t="shared" si="6"/>
        <v/>
      </c>
      <c r="X28" s="12" t="str">
        <f t="shared" si="7"/>
        <v/>
      </c>
      <c r="Y28" s="2"/>
      <c r="Z28" s="3"/>
      <c r="AA28" s="3"/>
      <c r="AB28" s="3"/>
      <c r="AC28" s="14" t="str">
        <f t="shared" si="9"/>
        <v/>
      </c>
      <c r="AD28" s="14" t="str">
        <f t="shared" si="8"/>
        <v/>
      </c>
    </row>
    <row r="29" spans="1:30">
      <c r="A29">
        <f t="shared" si="0"/>
        <v>26</v>
      </c>
      <c r="B29" s="2"/>
      <c r="C29" s="18"/>
      <c r="D29" s="2"/>
      <c r="E29" s="2"/>
      <c r="F29" s="3"/>
      <c r="G29" s="16"/>
      <c r="H29" s="16"/>
      <c r="I29" s="17" t="str">
        <f t="shared" ca="1" si="1"/>
        <v/>
      </c>
      <c r="J29" s="13" t="str">
        <f>IF(F29="","",'GİDER AYARLARI'!$B$4)</f>
        <v/>
      </c>
      <c r="K29" s="13" t="str">
        <f>IF(F29="","",'GİDER AYARLARI'!$B$5)</f>
        <v/>
      </c>
      <c r="L29" s="13" t="str">
        <f>IF(F29="","",'GİDER AYARLARI'!$B$6)</f>
        <v/>
      </c>
      <c r="M29" s="13" t="str">
        <f>IF(F29="","",'GİDER AYARLARI'!$B$7)</f>
        <v/>
      </c>
      <c r="N29" s="3"/>
      <c r="O29" s="13" t="str">
        <f ca="1">IF(OR(F29="",I29=""),"",IFERROR(IF(VLOOKUP(E29,'ALIM AYARLARI'!$A$4:$D$20,2,FALSE)="EVET",F29*'GİDER AYARLARI'!$B$8*I29/30,0),0))</f>
        <v/>
      </c>
      <c r="P29" s="14" t="str">
        <f t="shared" si="2"/>
        <v/>
      </c>
      <c r="Q29" s="14" t="str">
        <f t="shared" si="3"/>
        <v/>
      </c>
      <c r="R29" s="2"/>
      <c r="S29" s="2"/>
      <c r="T29" s="3"/>
      <c r="U29" s="14" t="str">
        <f t="shared" si="4"/>
        <v/>
      </c>
      <c r="V29" s="14" t="str">
        <f t="shared" si="5"/>
        <v/>
      </c>
      <c r="W29" s="15" t="str">
        <f t="shared" si="6"/>
        <v/>
      </c>
      <c r="X29" s="12" t="str">
        <f t="shared" si="7"/>
        <v/>
      </c>
      <c r="Y29" s="2"/>
      <c r="Z29" s="3"/>
      <c r="AA29" s="3"/>
      <c r="AB29" s="3"/>
      <c r="AC29" s="14" t="str">
        <f t="shared" si="9"/>
        <v/>
      </c>
      <c r="AD29" s="14" t="str">
        <f t="shared" si="8"/>
        <v/>
      </c>
    </row>
    <row r="30" spans="1:30">
      <c r="A30">
        <f t="shared" si="0"/>
        <v>27</v>
      </c>
      <c r="B30" s="2"/>
      <c r="C30" s="18"/>
      <c r="D30" s="2"/>
      <c r="E30" s="2"/>
      <c r="F30" s="3"/>
      <c r="G30" s="16"/>
      <c r="H30" s="16"/>
      <c r="I30" s="17" t="str">
        <f t="shared" ca="1" si="1"/>
        <v/>
      </c>
      <c r="J30" s="13" t="str">
        <f>IF(F30="","",'GİDER AYARLARI'!$B$4)</f>
        <v/>
      </c>
      <c r="K30" s="13" t="str">
        <f>IF(F30="","",'GİDER AYARLARI'!$B$5)</f>
        <v/>
      </c>
      <c r="L30" s="13" t="str">
        <f>IF(F30="","",'GİDER AYARLARI'!$B$6)</f>
        <v/>
      </c>
      <c r="M30" s="13" t="str">
        <f>IF(F30="","",'GİDER AYARLARI'!$B$7)</f>
        <v/>
      </c>
      <c r="N30" s="3"/>
      <c r="O30" s="13" t="str">
        <f ca="1">IF(OR(F30="",I30=""),"",IFERROR(IF(VLOOKUP(E30,'ALIM AYARLARI'!$A$4:$D$20,2,FALSE)="EVET",F30*'GİDER AYARLARI'!$B$8*I30/30,0),0))</f>
        <v/>
      </c>
      <c r="P30" s="14" t="str">
        <f t="shared" si="2"/>
        <v/>
      </c>
      <c r="Q30" s="14" t="str">
        <f t="shared" si="3"/>
        <v/>
      </c>
      <c r="R30" s="2"/>
      <c r="S30" s="2"/>
      <c r="T30" s="3"/>
      <c r="U30" s="14" t="str">
        <f t="shared" si="4"/>
        <v/>
      </c>
      <c r="V30" s="14" t="str">
        <f t="shared" si="5"/>
        <v/>
      </c>
      <c r="W30" s="15" t="str">
        <f t="shared" si="6"/>
        <v/>
      </c>
      <c r="X30" s="12" t="str">
        <f t="shared" si="7"/>
        <v/>
      </c>
      <c r="Y30" s="2"/>
      <c r="Z30" s="3"/>
      <c r="AA30" s="3"/>
      <c r="AB30" s="3"/>
      <c r="AC30" s="14" t="str">
        <f t="shared" si="9"/>
        <v/>
      </c>
      <c r="AD30" s="14" t="str">
        <f t="shared" si="8"/>
        <v/>
      </c>
    </row>
    <row r="31" spans="1:30">
      <c r="A31">
        <f t="shared" si="0"/>
        <v>28</v>
      </c>
      <c r="B31" s="2"/>
      <c r="C31" s="18"/>
      <c r="D31" s="2"/>
      <c r="E31" s="2"/>
      <c r="F31" s="3"/>
      <c r="G31" s="16"/>
      <c r="H31" s="16"/>
      <c r="I31" s="17" t="str">
        <f t="shared" ca="1" si="1"/>
        <v/>
      </c>
      <c r="J31" s="13" t="str">
        <f>IF(F31="","",'GİDER AYARLARI'!$B$4)</f>
        <v/>
      </c>
      <c r="K31" s="13" t="str">
        <f>IF(F31="","",'GİDER AYARLARI'!$B$5)</f>
        <v/>
      </c>
      <c r="L31" s="13" t="str">
        <f>IF(F31="","",'GİDER AYARLARI'!$B$6)</f>
        <v/>
      </c>
      <c r="M31" s="13" t="str">
        <f>IF(F31="","",'GİDER AYARLARI'!$B$7)</f>
        <v/>
      </c>
      <c r="N31" s="3"/>
      <c r="O31" s="13" t="str">
        <f ca="1">IF(OR(F31="",I31=""),"",IFERROR(IF(VLOOKUP(E31,'ALIM AYARLARI'!$A$4:$D$20,2,FALSE)="EVET",F31*'GİDER AYARLARI'!$B$8*I31/30,0),0))</f>
        <v/>
      </c>
      <c r="P31" s="14" t="str">
        <f t="shared" si="2"/>
        <v/>
      </c>
      <c r="Q31" s="14" t="str">
        <f t="shared" si="3"/>
        <v/>
      </c>
      <c r="R31" s="2"/>
      <c r="S31" s="2"/>
      <c r="T31" s="3"/>
      <c r="U31" s="14" t="str">
        <f t="shared" si="4"/>
        <v/>
      </c>
      <c r="V31" s="14" t="str">
        <f t="shared" si="5"/>
        <v/>
      </c>
      <c r="W31" s="15" t="str">
        <f t="shared" si="6"/>
        <v/>
      </c>
      <c r="X31" s="12" t="str">
        <f t="shared" si="7"/>
        <v/>
      </c>
      <c r="Y31" s="2"/>
      <c r="Z31" s="3"/>
      <c r="AA31" s="3"/>
      <c r="AB31" s="3"/>
      <c r="AC31" s="14" t="str">
        <f t="shared" si="9"/>
        <v/>
      </c>
      <c r="AD31" s="14" t="str">
        <f t="shared" si="8"/>
        <v/>
      </c>
    </row>
    <row r="32" spans="1:30">
      <c r="A32">
        <f t="shared" si="0"/>
        <v>29</v>
      </c>
      <c r="B32" s="2"/>
      <c r="C32" s="18"/>
      <c r="D32" s="2"/>
      <c r="E32" s="2"/>
      <c r="F32" s="3"/>
      <c r="G32" s="16"/>
      <c r="H32" s="16"/>
      <c r="I32" s="17" t="str">
        <f t="shared" ca="1" si="1"/>
        <v/>
      </c>
      <c r="J32" s="13" t="str">
        <f>IF(F32="","",'GİDER AYARLARI'!$B$4)</f>
        <v/>
      </c>
      <c r="K32" s="13" t="str">
        <f>IF(F32="","",'GİDER AYARLARI'!$B$5)</f>
        <v/>
      </c>
      <c r="L32" s="13" t="str">
        <f>IF(F32="","",'GİDER AYARLARI'!$B$6)</f>
        <v/>
      </c>
      <c r="M32" s="13" t="str">
        <f>IF(F32="","",'GİDER AYARLARI'!$B$7)</f>
        <v/>
      </c>
      <c r="N32" s="3"/>
      <c r="O32" s="13" t="str">
        <f ca="1">IF(OR(F32="",I32=""),"",IFERROR(IF(VLOOKUP(E32,'ALIM AYARLARI'!$A$4:$D$20,2,FALSE)="EVET",F32*'GİDER AYARLARI'!$B$8*I32/30,0),0))</f>
        <v/>
      </c>
      <c r="P32" s="14" t="str">
        <f t="shared" si="2"/>
        <v/>
      </c>
      <c r="Q32" s="14" t="str">
        <f t="shared" si="3"/>
        <v/>
      </c>
      <c r="R32" s="2"/>
      <c r="S32" s="2"/>
      <c r="T32" s="3"/>
      <c r="U32" s="14" t="str">
        <f t="shared" si="4"/>
        <v/>
      </c>
      <c r="V32" s="14" t="str">
        <f t="shared" si="5"/>
        <v/>
      </c>
      <c r="W32" s="15" t="str">
        <f t="shared" si="6"/>
        <v/>
      </c>
      <c r="X32" s="12" t="str">
        <f t="shared" si="7"/>
        <v/>
      </c>
      <c r="Y32" s="2"/>
      <c r="Z32" s="3"/>
      <c r="AA32" s="3"/>
      <c r="AB32" s="3"/>
      <c r="AC32" s="14" t="str">
        <f t="shared" si="9"/>
        <v/>
      </c>
      <c r="AD32" s="14" t="str">
        <f t="shared" si="8"/>
        <v/>
      </c>
    </row>
    <row r="33" spans="1:30">
      <c r="A33">
        <f t="shared" si="0"/>
        <v>30</v>
      </c>
      <c r="B33" s="2"/>
      <c r="C33" s="18"/>
      <c r="D33" s="2"/>
      <c r="E33" s="2"/>
      <c r="F33" s="3"/>
      <c r="G33" s="16"/>
      <c r="H33" s="16"/>
      <c r="I33" s="17" t="str">
        <f t="shared" ca="1" si="1"/>
        <v/>
      </c>
      <c r="J33" s="13" t="str">
        <f>IF(F33="","",'GİDER AYARLARI'!$B$4)</f>
        <v/>
      </c>
      <c r="K33" s="13" t="str">
        <f>IF(F33="","",'GİDER AYARLARI'!$B$5)</f>
        <v/>
      </c>
      <c r="L33" s="13" t="str">
        <f>IF(F33="","",'GİDER AYARLARI'!$B$6)</f>
        <v/>
      </c>
      <c r="M33" s="13" t="str">
        <f>IF(F33="","",'GİDER AYARLARI'!$B$7)</f>
        <v/>
      </c>
      <c r="N33" s="3"/>
      <c r="O33" s="13" t="str">
        <f ca="1">IF(OR(F33="",I33=""),"",IFERROR(IF(VLOOKUP(E33,'ALIM AYARLARI'!$A$4:$D$20,2,FALSE)="EVET",F33*'GİDER AYARLARI'!$B$8*I33/30,0),0))</f>
        <v/>
      </c>
      <c r="P33" s="14" t="str">
        <f t="shared" si="2"/>
        <v/>
      </c>
      <c r="Q33" s="14" t="str">
        <f t="shared" si="3"/>
        <v/>
      </c>
      <c r="R33" s="2"/>
      <c r="S33" s="2"/>
      <c r="T33" s="3"/>
      <c r="U33" s="14" t="str">
        <f t="shared" si="4"/>
        <v/>
      </c>
      <c r="V33" s="14" t="str">
        <f t="shared" si="5"/>
        <v/>
      </c>
      <c r="W33" s="15" t="str">
        <f t="shared" si="6"/>
        <v/>
      </c>
      <c r="X33" s="12" t="str">
        <f t="shared" si="7"/>
        <v/>
      </c>
      <c r="Y33" s="2"/>
      <c r="Z33" s="3"/>
      <c r="AA33" s="3"/>
      <c r="AB33" s="3"/>
      <c r="AC33" s="14" t="str">
        <f t="shared" si="9"/>
        <v/>
      </c>
      <c r="AD33" s="14" t="str">
        <f t="shared" si="8"/>
        <v/>
      </c>
    </row>
    <row r="34" spans="1:30">
      <c r="A34">
        <f t="shared" si="0"/>
        <v>31</v>
      </c>
      <c r="B34" s="2"/>
      <c r="C34" s="18"/>
      <c r="D34" s="2"/>
      <c r="E34" s="2"/>
      <c r="F34" s="3"/>
      <c r="G34" s="16"/>
      <c r="H34" s="16"/>
      <c r="I34" s="17" t="str">
        <f t="shared" ca="1" si="1"/>
        <v/>
      </c>
      <c r="J34" s="13" t="str">
        <f>IF(F34="","",'GİDER AYARLARI'!$B$4)</f>
        <v/>
      </c>
      <c r="K34" s="13" t="str">
        <f>IF(F34="","",'GİDER AYARLARI'!$B$5)</f>
        <v/>
      </c>
      <c r="L34" s="13" t="str">
        <f>IF(F34="","",'GİDER AYARLARI'!$B$6)</f>
        <v/>
      </c>
      <c r="M34" s="13" t="str">
        <f>IF(F34="","",'GİDER AYARLARI'!$B$7)</f>
        <v/>
      </c>
      <c r="N34" s="3"/>
      <c r="O34" s="13" t="str">
        <f ca="1">IF(OR(F34="",I34=""),"",IFERROR(IF(VLOOKUP(E34,'ALIM AYARLARI'!$A$4:$D$20,2,FALSE)="EVET",F34*'GİDER AYARLARI'!$B$8*I34/30,0),0))</f>
        <v/>
      </c>
      <c r="P34" s="14" t="str">
        <f t="shared" si="2"/>
        <v/>
      </c>
      <c r="Q34" s="14" t="str">
        <f t="shared" si="3"/>
        <v/>
      </c>
      <c r="R34" s="2"/>
      <c r="S34" s="2"/>
      <c r="T34" s="3"/>
      <c r="U34" s="14" t="str">
        <f t="shared" si="4"/>
        <v/>
      </c>
      <c r="V34" s="14" t="str">
        <f t="shared" si="5"/>
        <v/>
      </c>
      <c r="W34" s="15" t="str">
        <f t="shared" si="6"/>
        <v/>
      </c>
      <c r="X34" s="12" t="str">
        <f t="shared" si="7"/>
        <v/>
      </c>
      <c r="Y34" s="2"/>
      <c r="Z34" s="3"/>
      <c r="AA34" s="3"/>
      <c r="AB34" s="3"/>
      <c r="AC34" s="14" t="str">
        <f t="shared" si="9"/>
        <v/>
      </c>
      <c r="AD34" s="14" t="str">
        <f t="shared" si="8"/>
        <v/>
      </c>
    </row>
    <row r="35" spans="1:30">
      <c r="A35">
        <f t="shared" si="0"/>
        <v>32</v>
      </c>
      <c r="B35" s="2"/>
      <c r="C35" s="18"/>
      <c r="D35" s="2"/>
      <c r="E35" s="2"/>
      <c r="F35" s="3"/>
      <c r="G35" s="16"/>
      <c r="H35" s="16"/>
      <c r="I35" s="17" t="str">
        <f t="shared" ca="1" si="1"/>
        <v/>
      </c>
      <c r="J35" s="13" t="str">
        <f>IF(F35="","",'GİDER AYARLARI'!$B$4)</f>
        <v/>
      </c>
      <c r="K35" s="13" t="str">
        <f>IF(F35="","",'GİDER AYARLARI'!$B$5)</f>
        <v/>
      </c>
      <c r="L35" s="13" t="str">
        <f>IF(F35="","",'GİDER AYARLARI'!$B$6)</f>
        <v/>
      </c>
      <c r="M35" s="13" t="str">
        <f>IF(F35="","",'GİDER AYARLARI'!$B$7)</f>
        <v/>
      </c>
      <c r="N35" s="3"/>
      <c r="O35" s="13" t="str">
        <f ca="1">IF(OR(F35="",I35=""),"",IFERROR(IF(VLOOKUP(E35,'ALIM AYARLARI'!$A$4:$D$20,2,FALSE)="EVET",F35*'GİDER AYARLARI'!$B$8*I35/30,0),0))</f>
        <v/>
      </c>
      <c r="P35" s="14" t="str">
        <f t="shared" si="2"/>
        <v/>
      </c>
      <c r="Q35" s="14" t="str">
        <f t="shared" si="3"/>
        <v/>
      </c>
      <c r="R35" s="2"/>
      <c r="S35" s="2"/>
      <c r="T35" s="3"/>
      <c r="U35" s="14" t="str">
        <f t="shared" si="4"/>
        <v/>
      </c>
      <c r="V35" s="14" t="str">
        <f t="shared" si="5"/>
        <v/>
      </c>
      <c r="W35" s="15" t="str">
        <f t="shared" si="6"/>
        <v/>
      </c>
      <c r="X35" s="12" t="str">
        <f t="shared" si="7"/>
        <v/>
      </c>
      <c r="Y35" s="2"/>
      <c r="Z35" s="3"/>
      <c r="AA35" s="3"/>
      <c r="AB35" s="3"/>
      <c r="AC35" s="14" t="str">
        <f t="shared" si="9"/>
        <v/>
      </c>
      <c r="AD35" s="14" t="str">
        <f t="shared" si="8"/>
        <v/>
      </c>
    </row>
    <row r="36" spans="1:30">
      <c r="A36">
        <f t="shared" si="0"/>
        <v>33</v>
      </c>
      <c r="B36" s="2"/>
      <c r="C36" s="18"/>
      <c r="D36" s="2"/>
      <c r="E36" s="2"/>
      <c r="F36" s="3"/>
      <c r="G36" s="16"/>
      <c r="H36" s="16"/>
      <c r="I36" s="17" t="str">
        <f t="shared" ca="1" si="1"/>
        <v/>
      </c>
      <c r="J36" s="13" t="str">
        <f>IF(F36="","",'GİDER AYARLARI'!$B$4)</f>
        <v/>
      </c>
      <c r="K36" s="13" t="str">
        <f>IF(F36="","",'GİDER AYARLARI'!$B$5)</f>
        <v/>
      </c>
      <c r="L36" s="13" t="str">
        <f>IF(F36="","",'GİDER AYARLARI'!$B$6)</f>
        <v/>
      </c>
      <c r="M36" s="13" t="str">
        <f>IF(F36="","",'GİDER AYARLARI'!$B$7)</f>
        <v/>
      </c>
      <c r="N36" s="3"/>
      <c r="O36" s="13" t="str">
        <f ca="1">IF(OR(F36="",I36=""),"",IFERROR(IF(VLOOKUP(E36,'ALIM AYARLARI'!$A$4:$D$20,2,FALSE)="EVET",F36*'GİDER AYARLARI'!$B$8*I36/30,0),0))</f>
        <v/>
      </c>
      <c r="P36" s="14" t="str">
        <f t="shared" si="2"/>
        <v/>
      </c>
      <c r="Q36" s="14" t="str">
        <f t="shared" si="3"/>
        <v/>
      </c>
      <c r="R36" s="2"/>
      <c r="S36" s="2"/>
      <c r="T36" s="3"/>
      <c r="U36" s="14" t="str">
        <f t="shared" si="4"/>
        <v/>
      </c>
      <c r="V36" s="14" t="str">
        <f t="shared" si="5"/>
        <v/>
      </c>
      <c r="W36" s="15" t="str">
        <f t="shared" si="6"/>
        <v/>
      </c>
      <c r="X36" s="12" t="str">
        <f t="shared" si="7"/>
        <v/>
      </c>
      <c r="Y36" s="2"/>
      <c r="Z36" s="3"/>
      <c r="AA36" s="3"/>
      <c r="AB36" s="3"/>
      <c r="AC36" s="14" t="str">
        <f t="shared" si="9"/>
        <v/>
      </c>
      <c r="AD36" s="14" t="str">
        <f t="shared" si="8"/>
        <v/>
      </c>
    </row>
    <row r="37" spans="1:30">
      <c r="A37">
        <f t="shared" si="0"/>
        <v>34</v>
      </c>
      <c r="B37" s="2"/>
      <c r="C37" s="18"/>
      <c r="D37" s="2"/>
      <c r="E37" s="2"/>
      <c r="F37" s="3"/>
      <c r="G37" s="16"/>
      <c r="H37" s="16"/>
      <c r="I37" s="17" t="str">
        <f t="shared" ca="1" si="1"/>
        <v/>
      </c>
      <c r="J37" s="13" t="str">
        <f>IF(F37="","",'GİDER AYARLARI'!$B$4)</f>
        <v/>
      </c>
      <c r="K37" s="13" t="str">
        <f>IF(F37="","",'GİDER AYARLARI'!$B$5)</f>
        <v/>
      </c>
      <c r="L37" s="13" t="str">
        <f>IF(F37="","",'GİDER AYARLARI'!$B$6)</f>
        <v/>
      </c>
      <c r="M37" s="13" t="str">
        <f>IF(F37="","",'GİDER AYARLARI'!$B$7)</f>
        <v/>
      </c>
      <c r="N37" s="3"/>
      <c r="O37" s="13" t="str">
        <f ca="1">IF(OR(F37="",I37=""),"",IFERROR(IF(VLOOKUP(E37,'ALIM AYARLARI'!$A$4:$D$20,2,FALSE)="EVET",F37*'GİDER AYARLARI'!$B$8*I37/30,0),0))</f>
        <v/>
      </c>
      <c r="P37" s="14" t="str">
        <f t="shared" si="2"/>
        <v/>
      </c>
      <c r="Q37" s="14" t="str">
        <f t="shared" si="3"/>
        <v/>
      </c>
      <c r="R37" s="2"/>
      <c r="S37" s="2"/>
      <c r="T37" s="3"/>
      <c r="U37" s="14" t="str">
        <f t="shared" si="4"/>
        <v/>
      </c>
      <c r="V37" s="14" t="str">
        <f t="shared" si="5"/>
        <v/>
      </c>
      <c r="W37" s="15" t="str">
        <f t="shared" si="6"/>
        <v/>
      </c>
      <c r="X37" s="12" t="str">
        <f t="shared" si="7"/>
        <v/>
      </c>
      <c r="Y37" s="2"/>
      <c r="Z37" s="3"/>
      <c r="AA37" s="3"/>
      <c r="AB37" s="3"/>
      <c r="AC37" s="14" t="str">
        <f t="shared" si="9"/>
        <v/>
      </c>
      <c r="AD37" s="14" t="str">
        <f t="shared" si="8"/>
        <v/>
      </c>
    </row>
    <row r="38" spans="1:30">
      <c r="A38">
        <f t="shared" si="0"/>
        <v>35</v>
      </c>
      <c r="B38" s="2"/>
      <c r="C38" s="18"/>
      <c r="D38" s="2"/>
      <c r="E38" s="2"/>
      <c r="F38" s="3"/>
      <c r="G38" s="16"/>
      <c r="H38" s="16"/>
      <c r="I38" s="17" t="str">
        <f t="shared" ca="1" si="1"/>
        <v/>
      </c>
      <c r="J38" s="13" t="str">
        <f>IF(F38="","",'GİDER AYARLARI'!$B$4)</f>
        <v/>
      </c>
      <c r="K38" s="13" t="str">
        <f>IF(F38="","",'GİDER AYARLARI'!$B$5)</f>
        <v/>
      </c>
      <c r="L38" s="13" t="str">
        <f>IF(F38="","",'GİDER AYARLARI'!$B$6)</f>
        <v/>
      </c>
      <c r="M38" s="13" t="str">
        <f>IF(F38="","",'GİDER AYARLARI'!$B$7)</f>
        <v/>
      </c>
      <c r="N38" s="3"/>
      <c r="O38" s="13" t="str">
        <f ca="1">IF(OR(F38="",I38=""),"",IFERROR(IF(VLOOKUP(E38,'ALIM AYARLARI'!$A$4:$D$20,2,FALSE)="EVET",F38*'GİDER AYARLARI'!$B$8*I38/30,0),0))</f>
        <v/>
      </c>
      <c r="P38" s="14" t="str">
        <f t="shared" si="2"/>
        <v/>
      </c>
      <c r="Q38" s="14" t="str">
        <f t="shared" si="3"/>
        <v/>
      </c>
      <c r="R38" s="2"/>
      <c r="S38" s="2"/>
      <c r="T38" s="3"/>
      <c r="U38" s="14" t="str">
        <f t="shared" si="4"/>
        <v/>
      </c>
      <c r="V38" s="14" t="str">
        <f t="shared" si="5"/>
        <v/>
      </c>
      <c r="W38" s="15" t="str">
        <f t="shared" si="6"/>
        <v/>
      </c>
      <c r="X38" s="12" t="str">
        <f t="shared" si="7"/>
        <v/>
      </c>
      <c r="Y38" s="2"/>
      <c r="Z38" s="3"/>
      <c r="AA38" s="3"/>
      <c r="AB38" s="3"/>
      <c r="AC38" s="14" t="str">
        <f t="shared" si="9"/>
        <v/>
      </c>
      <c r="AD38" s="14" t="str">
        <f t="shared" si="8"/>
        <v/>
      </c>
    </row>
    <row r="39" spans="1:30">
      <c r="A39">
        <f t="shared" si="0"/>
        <v>36</v>
      </c>
      <c r="B39" s="2"/>
      <c r="C39" s="18"/>
      <c r="D39" s="2"/>
      <c r="E39" s="2"/>
      <c r="F39" s="3"/>
      <c r="G39" s="16"/>
      <c r="H39" s="16"/>
      <c r="I39" s="17" t="str">
        <f t="shared" ca="1" si="1"/>
        <v/>
      </c>
      <c r="J39" s="13" t="str">
        <f>IF(F39="","",'GİDER AYARLARI'!$B$4)</f>
        <v/>
      </c>
      <c r="K39" s="13" t="str">
        <f>IF(F39="","",'GİDER AYARLARI'!$B$5)</f>
        <v/>
      </c>
      <c r="L39" s="13" t="str">
        <f>IF(F39="","",'GİDER AYARLARI'!$B$6)</f>
        <v/>
      </c>
      <c r="M39" s="13" t="str">
        <f>IF(F39="","",'GİDER AYARLARI'!$B$7)</f>
        <v/>
      </c>
      <c r="N39" s="3"/>
      <c r="O39" s="13" t="str">
        <f ca="1">IF(OR(F39="",I39=""),"",IFERROR(IF(VLOOKUP(E39,'ALIM AYARLARI'!$A$4:$D$20,2,FALSE)="EVET",F39*'GİDER AYARLARI'!$B$8*I39/30,0),0))</f>
        <v/>
      </c>
      <c r="P39" s="14" t="str">
        <f t="shared" si="2"/>
        <v/>
      </c>
      <c r="Q39" s="14" t="str">
        <f t="shared" si="3"/>
        <v/>
      </c>
      <c r="R39" s="2"/>
      <c r="S39" s="2"/>
      <c r="T39" s="3"/>
      <c r="U39" s="14" t="str">
        <f t="shared" si="4"/>
        <v/>
      </c>
      <c r="V39" s="14" t="str">
        <f t="shared" si="5"/>
        <v/>
      </c>
      <c r="W39" s="15" t="str">
        <f t="shared" si="6"/>
        <v/>
      </c>
      <c r="X39" s="12" t="str">
        <f t="shared" si="7"/>
        <v/>
      </c>
      <c r="Y39" s="2"/>
      <c r="Z39" s="3"/>
      <c r="AA39" s="3"/>
      <c r="AB39" s="3"/>
      <c r="AC39" s="14" t="str">
        <f t="shared" si="9"/>
        <v/>
      </c>
      <c r="AD39" s="14" t="str">
        <f t="shared" si="8"/>
        <v/>
      </c>
    </row>
    <row r="40" spans="1:30">
      <c r="A40">
        <f t="shared" si="0"/>
        <v>37</v>
      </c>
      <c r="B40" s="2"/>
      <c r="C40" s="18"/>
      <c r="D40" s="2"/>
      <c r="E40" s="2"/>
      <c r="F40" s="3"/>
      <c r="G40" s="16"/>
      <c r="H40" s="16"/>
      <c r="I40" s="17" t="str">
        <f t="shared" ca="1" si="1"/>
        <v/>
      </c>
      <c r="J40" s="13" t="str">
        <f>IF(F40="","",'GİDER AYARLARI'!$B$4)</f>
        <v/>
      </c>
      <c r="K40" s="13" t="str">
        <f>IF(F40="","",'GİDER AYARLARI'!$B$5)</f>
        <v/>
      </c>
      <c r="L40" s="13" t="str">
        <f>IF(F40="","",'GİDER AYARLARI'!$B$6)</f>
        <v/>
      </c>
      <c r="M40" s="13" t="str">
        <f>IF(F40="","",'GİDER AYARLARI'!$B$7)</f>
        <v/>
      </c>
      <c r="N40" s="3"/>
      <c r="O40" s="13" t="str">
        <f ca="1">IF(OR(F40="",I40=""),"",IFERROR(IF(VLOOKUP(E40,'ALIM AYARLARI'!$A$4:$D$20,2,FALSE)="EVET",F40*'GİDER AYARLARI'!$B$8*I40/30,0),0))</f>
        <v/>
      </c>
      <c r="P40" s="14" t="str">
        <f t="shared" si="2"/>
        <v/>
      </c>
      <c r="Q40" s="14" t="str">
        <f t="shared" si="3"/>
        <v/>
      </c>
      <c r="R40" s="2"/>
      <c r="S40" s="2"/>
      <c r="T40" s="3"/>
      <c r="U40" s="14" t="str">
        <f t="shared" si="4"/>
        <v/>
      </c>
      <c r="V40" s="14" t="str">
        <f t="shared" si="5"/>
        <v/>
      </c>
      <c r="W40" s="15" t="str">
        <f t="shared" si="6"/>
        <v/>
      </c>
      <c r="X40" s="12" t="str">
        <f t="shared" si="7"/>
        <v/>
      </c>
      <c r="Y40" s="2"/>
      <c r="Z40" s="3"/>
      <c r="AA40" s="3"/>
      <c r="AB40" s="3"/>
      <c r="AC40" s="14" t="str">
        <f t="shared" si="9"/>
        <v/>
      </c>
      <c r="AD40" s="14" t="str">
        <f t="shared" si="8"/>
        <v/>
      </c>
    </row>
    <row r="41" spans="1:30">
      <c r="A41">
        <f t="shared" si="0"/>
        <v>38</v>
      </c>
      <c r="B41" s="2"/>
      <c r="C41" s="18"/>
      <c r="D41" s="2"/>
      <c r="E41" s="2"/>
      <c r="F41" s="3"/>
      <c r="G41" s="16"/>
      <c r="H41" s="16"/>
      <c r="I41" s="17" t="str">
        <f t="shared" ca="1" si="1"/>
        <v/>
      </c>
      <c r="J41" s="13" t="str">
        <f>IF(F41="","",'GİDER AYARLARI'!$B$4)</f>
        <v/>
      </c>
      <c r="K41" s="13" t="str">
        <f>IF(F41="","",'GİDER AYARLARI'!$B$5)</f>
        <v/>
      </c>
      <c r="L41" s="13" t="str">
        <f>IF(F41="","",'GİDER AYARLARI'!$B$6)</f>
        <v/>
      </c>
      <c r="M41" s="13" t="str">
        <f>IF(F41="","",'GİDER AYARLARI'!$B$7)</f>
        <v/>
      </c>
      <c r="N41" s="3"/>
      <c r="O41" s="13" t="str">
        <f ca="1">IF(OR(F41="",I41=""),"",IFERROR(IF(VLOOKUP(E41,'ALIM AYARLARI'!$A$4:$D$20,2,FALSE)="EVET",F41*'GİDER AYARLARI'!$B$8*I41/30,0),0))</f>
        <v/>
      </c>
      <c r="P41" s="14" t="str">
        <f t="shared" si="2"/>
        <v/>
      </c>
      <c r="Q41" s="14" t="str">
        <f t="shared" si="3"/>
        <v/>
      </c>
      <c r="R41" s="2"/>
      <c r="S41" s="2"/>
      <c r="T41" s="3"/>
      <c r="U41" s="14" t="str">
        <f t="shared" si="4"/>
        <v/>
      </c>
      <c r="V41" s="14" t="str">
        <f t="shared" si="5"/>
        <v/>
      </c>
      <c r="W41" s="15" t="str">
        <f t="shared" si="6"/>
        <v/>
      </c>
      <c r="X41" s="12" t="str">
        <f t="shared" si="7"/>
        <v/>
      </c>
      <c r="Y41" s="2"/>
      <c r="Z41" s="3"/>
      <c r="AA41" s="3"/>
      <c r="AB41" s="3"/>
      <c r="AC41" s="14" t="str">
        <f t="shared" si="9"/>
        <v/>
      </c>
      <c r="AD41" s="14" t="str">
        <f t="shared" si="8"/>
        <v/>
      </c>
    </row>
    <row r="42" spans="1:30">
      <c r="A42">
        <f t="shared" si="0"/>
        <v>39</v>
      </c>
      <c r="B42" s="2"/>
      <c r="C42" s="18"/>
      <c r="D42" s="2"/>
      <c r="E42" s="2"/>
      <c r="F42" s="3"/>
      <c r="G42" s="16"/>
      <c r="H42" s="16"/>
      <c r="I42" s="17" t="str">
        <f t="shared" ca="1" si="1"/>
        <v/>
      </c>
      <c r="J42" s="13" t="str">
        <f>IF(F42="","",'GİDER AYARLARI'!$B$4)</f>
        <v/>
      </c>
      <c r="K42" s="13" t="str">
        <f>IF(F42="","",'GİDER AYARLARI'!$B$5)</f>
        <v/>
      </c>
      <c r="L42" s="13" t="str">
        <f>IF(F42="","",'GİDER AYARLARI'!$B$6)</f>
        <v/>
      </c>
      <c r="M42" s="13" t="str">
        <f>IF(F42="","",'GİDER AYARLARI'!$B$7)</f>
        <v/>
      </c>
      <c r="N42" s="3"/>
      <c r="O42" s="13" t="str">
        <f ca="1">IF(OR(F42="",I42=""),"",IFERROR(IF(VLOOKUP(E42,'ALIM AYARLARI'!$A$4:$D$20,2,FALSE)="EVET",F42*'GİDER AYARLARI'!$B$8*I42/30,0),0))</f>
        <v/>
      </c>
      <c r="P42" s="14" t="str">
        <f t="shared" si="2"/>
        <v/>
      </c>
      <c r="Q42" s="14" t="str">
        <f t="shared" si="3"/>
        <v/>
      </c>
      <c r="R42" s="2"/>
      <c r="S42" s="2"/>
      <c r="T42" s="3"/>
      <c r="U42" s="14" t="str">
        <f t="shared" si="4"/>
        <v/>
      </c>
      <c r="V42" s="14" t="str">
        <f t="shared" si="5"/>
        <v/>
      </c>
      <c r="W42" s="15" t="str">
        <f t="shared" si="6"/>
        <v/>
      </c>
      <c r="X42" s="12" t="str">
        <f t="shared" si="7"/>
        <v/>
      </c>
      <c r="Y42" s="2"/>
      <c r="Z42" s="3"/>
      <c r="AA42" s="3"/>
      <c r="AB42" s="3"/>
      <c r="AC42" s="14" t="str">
        <f t="shared" si="9"/>
        <v/>
      </c>
      <c r="AD42" s="14" t="str">
        <f t="shared" si="8"/>
        <v/>
      </c>
    </row>
    <row r="43" spans="1:30">
      <c r="A43">
        <f t="shared" si="0"/>
        <v>40</v>
      </c>
      <c r="B43" s="2"/>
      <c r="C43" s="18"/>
      <c r="D43" s="2"/>
      <c r="E43" s="2"/>
      <c r="F43" s="3"/>
      <c r="G43" s="16"/>
      <c r="H43" s="16"/>
      <c r="I43" s="17" t="str">
        <f t="shared" ca="1" si="1"/>
        <v/>
      </c>
      <c r="J43" s="13" t="str">
        <f>IF(F43="","",'GİDER AYARLARI'!$B$4)</f>
        <v/>
      </c>
      <c r="K43" s="13" t="str">
        <f>IF(F43="","",'GİDER AYARLARI'!$B$5)</f>
        <v/>
      </c>
      <c r="L43" s="13" t="str">
        <f>IF(F43="","",'GİDER AYARLARI'!$B$6)</f>
        <v/>
      </c>
      <c r="M43" s="13" t="str">
        <f>IF(F43="","",'GİDER AYARLARI'!$B$7)</f>
        <v/>
      </c>
      <c r="N43" s="3"/>
      <c r="O43" s="13" t="str">
        <f ca="1">IF(OR(F43="",I43=""),"",IFERROR(IF(VLOOKUP(E43,'ALIM AYARLARI'!$A$4:$D$20,2,FALSE)="EVET",F43*'GİDER AYARLARI'!$B$8*I43/30,0),0))</f>
        <v/>
      </c>
      <c r="P43" s="14" t="str">
        <f t="shared" si="2"/>
        <v/>
      </c>
      <c r="Q43" s="14" t="str">
        <f t="shared" si="3"/>
        <v/>
      </c>
      <c r="R43" s="2"/>
      <c r="S43" s="2"/>
      <c r="T43" s="3"/>
      <c r="U43" s="14" t="str">
        <f t="shared" si="4"/>
        <v/>
      </c>
      <c r="V43" s="14" t="str">
        <f t="shared" si="5"/>
        <v/>
      </c>
      <c r="W43" s="15" t="str">
        <f t="shared" si="6"/>
        <v/>
      </c>
      <c r="X43" s="12" t="str">
        <f t="shared" si="7"/>
        <v/>
      </c>
      <c r="Y43" s="2"/>
      <c r="Z43" s="3"/>
      <c r="AA43" s="3"/>
      <c r="AB43" s="3"/>
      <c r="AC43" s="14" t="str">
        <f t="shared" si="9"/>
        <v/>
      </c>
      <c r="AD43" s="14" t="str">
        <f t="shared" si="8"/>
        <v/>
      </c>
    </row>
    <row r="44" spans="1:30">
      <c r="A44">
        <f t="shared" si="0"/>
        <v>41</v>
      </c>
      <c r="B44" s="2"/>
      <c r="C44" s="18"/>
      <c r="D44" s="2"/>
      <c r="E44" s="2"/>
      <c r="F44" s="3"/>
      <c r="G44" s="16"/>
      <c r="H44" s="16"/>
      <c r="I44" s="17" t="str">
        <f t="shared" ca="1" si="1"/>
        <v/>
      </c>
      <c r="J44" s="13" t="str">
        <f>IF(F44="","",'GİDER AYARLARI'!$B$4)</f>
        <v/>
      </c>
      <c r="K44" s="13" t="str">
        <f>IF(F44="","",'GİDER AYARLARI'!$B$5)</f>
        <v/>
      </c>
      <c r="L44" s="13" t="str">
        <f>IF(F44="","",'GİDER AYARLARI'!$B$6)</f>
        <v/>
      </c>
      <c r="M44" s="13" t="str">
        <f>IF(F44="","",'GİDER AYARLARI'!$B$7)</f>
        <v/>
      </c>
      <c r="N44" s="3"/>
      <c r="O44" s="13" t="str">
        <f ca="1">IF(OR(F44="",I44=""),"",IFERROR(IF(VLOOKUP(E44,'ALIM AYARLARI'!$A$4:$D$20,2,FALSE)="EVET",F44*'GİDER AYARLARI'!$B$8*I44/30,0),0))</f>
        <v/>
      </c>
      <c r="P44" s="14" t="str">
        <f t="shared" si="2"/>
        <v/>
      </c>
      <c r="Q44" s="14" t="str">
        <f t="shared" si="3"/>
        <v/>
      </c>
      <c r="R44" s="2"/>
      <c r="S44" s="2"/>
      <c r="T44" s="3"/>
      <c r="U44" s="14" t="str">
        <f t="shared" si="4"/>
        <v/>
      </c>
      <c r="V44" s="14" t="str">
        <f t="shared" si="5"/>
        <v/>
      </c>
      <c r="W44" s="15" t="str">
        <f t="shared" si="6"/>
        <v/>
      </c>
      <c r="X44" s="12" t="str">
        <f t="shared" si="7"/>
        <v/>
      </c>
      <c r="Y44" s="2"/>
      <c r="Z44" s="3"/>
      <c r="AA44" s="3"/>
      <c r="AB44" s="3"/>
      <c r="AC44" s="14" t="str">
        <f t="shared" si="9"/>
        <v/>
      </c>
      <c r="AD44" s="14" t="str">
        <f t="shared" si="8"/>
        <v/>
      </c>
    </row>
    <row r="45" spans="1:30">
      <c r="A45">
        <f t="shared" si="0"/>
        <v>42</v>
      </c>
      <c r="B45" s="2"/>
      <c r="C45" s="18"/>
      <c r="D45" s="2"/>
      <c r="E45" s="2"/>
      <c r="F45" s="3"/>
      <c r="G45" s="16"/>
      <c r="H45" s="16"/>
      <c r="I45" s="17" t="str">
        <f t="shared" ca="1" si="1"/>
        <v/>
      </c>
      <c r="J45" s="13" t="str">
        <f>IF(F45="","",'GİDER AYARLARI'!$B$4)</f>
        <v/>
      </c>
      <c r="K45" s="13" t="str">
        <f>IF(F45="","",'GİDER AYARLARI'!$B$5)</f>
        <v/>
      </c>
      <c r="L45" s="13" t="str">
        <f>IF(F45="","",'GİDER AYARLARI'!$B$6)</f>
        <v/>
      </c>
      <c r="M45" s="13" t="str">
        <f>IF(F45="","",'GİDER AYARLARI'!$B$7)</f>
        <v/>
      </c>
      <c r="N45" s="3"/>
      <c r="O45" s="13" t="str">
        <f ca="1">IF(OR(F45="",I45=""),"",IFERROR(IF(VLOOKUP(E45,'ALIM AYARLARI'!$A$4:$D$20,2,FALSE)="EVET",F45*'GİDER AYARLARI'!$B$8*I45/30,0),0))</f>
        <v/>
      </c>
      <c r="P45" s="14" t="str">
        <f t="shared" si="2"/>
        <v/>
      </c>
      <c r="Q45" s="14" t="str">
        <f t="shared" si="3"/>
        <v/>
      </c>
      <c r="R45" s="2"/>
      <c r="S45" s="2"/>
      <c r="T45" s="3"/>
      <c r="U45" s="14" t="str">
        <f t="shared" si="4"/>
        <v/>
      </c>
      <c r="V45" s="14" t="str">
        <f t="shared" si="5"/>
        <v/>
      </c>
      <c r="W45" s="15" t="str">
        <f t="shared" si="6"/>
        <v/>
      </c>
      <c r="X45" s="12" t="str">
        <f t="shared" si="7"/>
        <v/>
      </c>
      <c r="Y45" s="2"/>
      <c r="Z45" s="3"/>
      <c r="AA45" s="3"/>
      <c r="AB45" s="3"/>
      <c r="AC45" s="14" t="str">
        <f t="shared" si="9"/>
        <v/>
      </c>
      <c r="AD45" s="14" t="str">
        <f t="shared" si="8"/>
        <v/>
      </c>
    </row>
    <row r="46" spans="1:30">
      <c r="A46">
        <f t="shared" si="0"/>
        <v>43</v>
      </c>
      <c r="B46" s="2"/>
      <c r="C46" s="18"/>
      <c r="D46" s="2"/>
      <c r="E46" s="2"/>
      <c r="F46" s="3"/>
      <c r="G46" s="16"/>
      <c r="H46" s="16"/>
      <c r="I46" s="17" t="str">
        <f t="shared" ca="1" si="1"/>
        <v/>
      </c>
      <c r="J46" s="13" t="str">
        <f>IF(F46="","",'GİDER AYARLARI'!$B$4)</f>
        <v/>
      </c>
      <c r="K46" s="13" t="str">
        <f>IF(F46="","",'GİDER AYARLARI'!$B$5)</f>
        <v/>
      </c>
      <c r="L46" s="13" t="str">
        <f>IF(F46="","",'GİDER AYARLARI'!$B$6)</f>
        <v/>
      </c>
      <c r="M46" s="13" t="str">
        <f>IF(F46="","",'GİDER AYARLARI'!$B$7)</f>
        <v/>
      </c>
      <c r="N46" s="3"/>
      <c r="O46" s="13" t="str">
        <f ca="1">IF(OR(F46="",I46=""),"",IFERROR(IF(VLOOKUP(E46,'ALIM AYARLARI'!$A$4:$D$20,2,FALSE)="EVET",F46*'GİDER AYARLARI'!$B$8*I46/30,0),0))</f>
        <v/>
      </c>
      <c r="P46" s="14" t="str">
        <f t="shared" si="2"/>
        <v/>
      </c>
      <c r="Q46" s="14" t="str">
        <f t="shared" si="3"/>
        <v/>
      </c>
      <c r="R46" s="2"/>
      <c r="S46" s="2"/>
      <c r="T46" s="3"/>
      <c r="U46" s="14" t="str">
        <f t="shared" si="4"/>
        <v/>
      </c>
      <c r="V46" s="14" t="str">
        <f t="shared" si="5"/>
        <v/>
      </c>
      <c r="W46" s="15" t="str">
        <f t="shared" si="6"/>
        <v/>
      </c>
      <c r="X46" s="12" t="str">
        <f t="shared" si="7"/>
        <v/>
      </c>
      <c r="Y46" s="2"/>
      <c r="Z46" s="3"/>
      <c r="AA46" s="3"/>
      <c r="AB46" s="3"/>
      <c r="AC46" s="14" t="str">
        <f t="shared" si="9"/>
        <v/>
      </c>
      <c r="AD46" s="14" t="str">
        <f t="shared" si="8"/>
        <v/>
      </c>
    </row>
    <row r="47" spans="1:30">
      <c r="A47">
        <f t="shared" si="0"/>
        <v>44</v>
      </c>
      <c r="B47" s="2"/>
      <c r="C47" s="18"/>
      <c r="D47" s="2"/>
      <c r="E47" s="2"/>
      <c r="F47" s="3"/>
      <c r="G47" s="16"/>
      <c r="H47" s="16"/>
      <c r="I47" s="17" t="str">
        <f t="shared" ca="1" si="1"/>
        <v/>
      </c>
      <c r="J47" s="13" t="str">
        <f>IF(F47="","",'GİDER AYARLARI'!$B$4)</f>
        <v/>
      </c>
      <c r="K47" s="13" t="str">
        <f>IF(F47="","",'GİDER AYARLARI'!$B$5)</f>
        <v/>
      </c>
      <c r="L47" s="13" t="str">
        <f>IF(F47="","",'GİDER AYARLARI'!$B$6)</f>
        <v/>
      </c>
      <c r="M47" s="13" t="str">
        <f>IF(F47="","",'GİDER AYARLARI'!$B$7)</f>
        <v/>
      </c>
      <c r="N47" s="3"/>
      <c r="O47" s="13" t="str">
        <f ca="1">IF(OR(F47="",I47=""),"",IFERROR(IF(VLOOKUP(E47,'ALIM AYARLARI'!$A$4:$D$20,2,FALSE)="EVET",F47*'GİDER AYARLARI'!$B$8*I47/30,0),0))</f>
        <v/>
      </c>
      <c r="P47" s="14" t="str">
        <f t="shared" si="2"/>
        <v/>
      </c>
      <c r="Q47" s="14" t="str">
        <f t="shared" si="3"/>
        <v/>
      </c>
      <c r="R47" s="2"/>
      <c r="S47" s="2"/>
      <c r="T47" s="3"/>
      <c r="U47" s="14" t="str">
        <f t="shared" si="4"/>
        <v/>
      </c>
      <c r="V47" s="14" t="str">
        <f t="shared" si="5"/>
        <v/>
      </c>
      <c r="W47" s="15" t="str">
        <f t="shared" si="6"/>
        <v/>
      </c>
      <c r="X47" s="12" t="str">
        <f t="shared" si="7"/>
        <v/>
      </c>
      <c r="Y47" s="2"/>
      <c r="Z47" s="3"/>
      <c r="AA47" s="3"/>
      <c r="AB47" s="3"/>
      <c r="AC47" s="14" t="str">
        <f t="shared" si="9"/>
        <v/>
      </c>
      <c r="AD47" s="14" t="str">
        <f t="shared" si="8"/>
        <v/>
      </c>
    </row>
    <row r="48" spans="1:30">
      <c r="A48">
        <f t="shared" si="0"/>
        <v>45</v>
      </c>
      <c r="B48" s="2"/>
      <c r="C48" s="18"/>
      <c r="D48" s="2"/>
      <c r="E48" s="2"/>
      <c r="F48" s="3"/>
      <c r="G48" s="16"/>
      <c r="H48" s="16"/>
      <c r="I48" s="17" t="str">
        <f t="shared" ca="1" si="1"/>
        <v/>
      </c>
      <c r="J48" s="13" t="str">
        <f>IF(F48="","",'GİDER AYARLARI'!$B$4)</f>
        <v/>
      </c>
      <c r="K48" s="13" t="str">
        <f>IF(F48="","",'GİDER AYARLARI'!$B$5)</f>
        <v/>
      </c>
      <c r="L48" s="13" t="str">
        <f>IF(F48="","",'GİDER AYARLARI'!$B$6)</f>
        <v/>
      </c>
      <c r="M48" s="13" t="str">
        <f>IF(F48="","",'GİDER AYARLARI'!$B$7)</f>
        <v/>
      </c>
      <c r="N48" s="3"/>
      <c r="O48" s="13" t="str">
        <f ca="1">IF(OR(F48="",I48=""),"",IFERROR(IF(VLOOKUP(E48,'ALIM AYARLARI'!$A$4:$D$20,2,FALSE)="EVET",F48*'GİDER AYARLARI'!$B$8*I48/30,0),0))</f>
        <v/>
      </c>
      <c r="P48" s="14" t="str">
        <f t="shared" si="2"/>
        <v/>
      </c>
      <c r="Q48" s="14" t="str">
        <f t="shared" si="3"/>
        <v/>
      </c>
      <c r="R48" s="2"/>
      <c r="S48" s="2"/>
      <c r="T48" s="3"/>
      <c r="U48" s="14" t="str">
        <f t="shared" si="4"/>
        <v/>
      </c>
      <c r="V48" s="14" t="str">
        <f t="shared" si="5"/>
        <v/>
      </c>
      <c r="W48" s="15" t="str">
        <f t="shared" si="6"/>
        <v/>
      </c>
      <c r="X48" s="12" t="str">
        <f t="shared" si="7"/>
        <v/>
      </c>
      <c r="Y48" s="2"/>
      <c r="Z48" s="3"/>
      <c r="AA48" s="3"/>
      <c r="AB48" s="3"/>
      <c r="AC48" s="14" t="str">
        <f t="shared" si="9"/>
        <v/>
      </c>
      <c r="AD48" s="14" t="str">
        <f t="shared" si="8"/>
        <v/>
      </c>
    </row>
    <row r="49" spans="1:30">
      <c r="A49">
        <f t="shared" si="0"/>
        <v>46</v>
      </c>
      <c r="B49" s="2"/>
      <c r="C49" s="18"/>
      <c r="D49" s="2"/>
      <c r="E49" s="2"/>
      <c r="F49" s="3"/>
      <c r="G49" s="16"/>
      <c r="H49" s="16"/>
      <c r="I49" s="17" t="str">
        <f t="shared" ca="1" si="1"/>
        <v/>
      </c>
      <c r="J49" s="13" t="str">
        <f>IF(F49="","",'GİDER AYARLARI'!$B$4)</f>
        <v/>
      </c>
      <c r="K49" s="13" t="str">
        <f>IF(F49="","",'GİDER AYARLARI'!$B$5)</f>
        <v/>
      </c>
      <c r="L49" s="13" t="str">
        <f>IF(F49="","",'GİDER AYARLARI'!$B$6)</f>
        <v/>
      </c>
      <c r="M49" s="13" t="str">
        <f>IF(F49="","",'GİDER AYARLARI'!$B$7)</f>
        <v/>
      </c>
      <c r="N49" s="3"/>
      <c r="O49" s="13" t="str">
        <f ca="1">IF(OR(F49="",I49=""),"",IFERROR(IF(VLOOKUP(E49,'ALIM AYARLARI'!$A$4:$D$20,2,FALSE)="EVET",F49*'GİDER AYARLARI'!$B$8*I49/30,0),0))</f>
        <v/>
      </c>
      <c r="P49" s="14" t="str">
        <f t="shared" si="2"/>
        <v/>
      </c>
      <c r="Q49" s="14" t="str">
        <f t="shared" si="3"/>
        <v/>
      </c>
      <c r="R49" s="2"/>
      <c r="S49" s="2"/>
      <c r="T49" s="3"/>
      <c r="U49" s="14" t="str">
        <f t="shared" si="4"/>
        <v/>
      </c>
      <c r="V49" s="14" t="str">
        <f t="shared" si="5"/>
        <v/>
      </c>
      <c r="W49" s="15" t="str">
        <f t="shared" si="6"/>
        <v/>
      </c>
      <c r="X49" s="12" t="str">
        <f t="shared" si="7"/>
        <v/>
      </c>
      <c r="Y49" s="2"/>
      <c r="Z49" s="3"/>
      <c r="AA49" s="3"/>
      <c r="AB49" s="3"/>
      <c r="AC49" s="14" t="str">
        <f t="shared" si="9"/>
        <v/>
      </c>
      <c r="AD49" s="14" t="str">
        <f t="shared" si="8"/>
        <v/>
      </c>
    </row>
    <row r="50" spans="1:30">
      <c r="A50">
        <f t="shared" si="0"/>
        <v>47</v>
      </c>
      <c r="B50" s="2"/>
      <c r="C50" s="18"/>
      <c r="D50" s="2"/>
      <c r="E50" s="2"/>
      <c r="F50" s="3"/>
      <c r="G50" s="16"/>
      <c r="H50" s="16"/>
      <c r="I50" s="17" t="str">
        <f t="shared" ca="1" si="1"/>
        <v/>
      </c>
      <c r="J50" s="13" t="str">
        <f>IF(F50="","",'GİDER AYARLARI'!$B$4)</f>
        <v/>
      </c>
      <c r="K50" s="13" t="str">
        <f>IF(F50="","",'GİDER AYARLARI'!$B$5)</f>
        <v/>
      </c>
      <c r="L50" s="13" t="str">
        <f>IF(F50="","",'GİDER AYARLARI'!$B$6)</f>
        <v/>
      </c>
      <c r="M50" s="13" t="str">
        <f>IF(F50="","",'GİDER AYARLARI'!$B$7)</f>
        <v/>
      </c>
      <c r="N50" s="3"/>
      <c r="O50" s="13" t="str">
        <f ca="1">IF(OR(F50="",I50=""),"",IFERROR(IF(VLOOKUP(E50,'ALIM AYARLARI'!$A$4:$D$20,2,FALSE)="EVET",F50*'GİDER AYARLARI'!$B$8*I50/30,0),0))</f>
        <v/>
      </c>
      <c r="P50" s="14" t="str">
        <f t="shared" si="2"/>
        <v/>
      </c>
      <c r="Q50" s="14" t="str">
        <f t="shared" si="3"/>
        <v/>
      </c>
      <c r="R50" s="2"/>
      <c r="S50" s="2"/>
      <c r="T50" s="3"/>
      <c r="U50" s="14" t="str">
        <f t="shared" si="4"/>
        <v/>
      </c>
      <c r="V50" s="14" t="str">
        <f t="shared" si="5"/>
        <v/>
      </c>
      <c r="W50" s="15" t="str">
        <f t="shared" si="6"/>
        <v/>
      </c>
      <c r="X50" s="12" t="str">
        <f t="shared" si="7"/>
        <v/>
      </c>
      <c r="Y50" s="2"/>
      <c r="Z50" s="3"/>
      <c r="AA50" s="3"/>
      <c r="AB50" s="3"/>
      <c r="AC50" s="14" t="str">
        <f t="shared" si="9"/>
        <v/>
      </c>
      <c r="AD50" s="14" t="str">
        <f t="shared" si="8"/>
        <v/>
      </c>
    </row>
    <row r="51" spans="1:30">
      <c r="A51">
        <f t="shared" si="0"/>
        <v>48</v>
      </c>
      <c r="B51" s="2"/>
      <c r="C51" s="18"/>
      <c r="D51" s="2"/>
      <c r="E51" s="2"/>
      <c r="F51" s="3"/>
      <c r="G51" s="16"/>
      <c r="H51" s="16"/>
      <c r="I51" s="17" t="str">
        <f t="shared" ca="1" si="1"/>
        <v/>
      </c>
      <c r="J51" s="13" t="str">
        <f>IF(F51="","",'GİDER AYARLARI'!$B$4)</f>
        <v/>
      </c>
      <c r="K51" s="13" t="str">
        <f>IF(F51="","",'GİDER AYARLARI'!$B$5)</f>
        <v/>
      </c>
      <c r="L51" s="13" t="str">
        <f>IF(F51="","",'GİDER AYARLARI'!$B$6)</f>
        <v/>
      </c>
      <c r="M51" s="13" t="str">
        <f>IF(F51="","",'GİDER AYARLARI'!$B$7)</f>
        <v/>
      </c>
      <c r="N51" s="3"/>
      <c r="O51" s="13" t="str">
        <f ca="1">IF(OR(F51="",I51=""),"",IFERROR(IF(VLOOKUP(E51,'ALIM AYARLARI'!$A$4:$D$20,2,FALSE)="EVET",F51*'GİDER AYARLARI'!$B$8*I51/30,0),0))</f>
        <v/>
      </c>
      <c r="P51" s="14" t="str">
        <f t="shared" si="2"/>
        <v/>
      </c>
      <c r="Q51" s="14" t="str">
        <f t="shared" si="3"/>
        <v/>
      </c>
      <c r="R51" s="2"/>
      <c r="S51" s="2"/>
      <c r="T51" s="3"/>
      <c r="U51" s="14" t="str">
        <f t="shared" si="4"/>
        <v/>
      </c>
      <c r="V51" s="14" t="str">
        <f t="shared" si="5"/>
        <v/>
      </c>
      <c r="W51" s="15" t="str">
        <f t="shared" si="6"/>
        <v/>
      </c>
      <c r="X51" s="12" t="str">
        <f t="shared" si="7"/>
        <v/>
      </c>
      <c r="Y51" s="2"/>
      <c r="Z51" s="3"/>
      <c r="AA51" s="3"/>
      <c r="AB51" s="3"/>
      <c r="AC51" s="14" t="str">
        <f t="shared" si="9"/>
        <v/>
      </c>
      <c r="AD51" s="14" t="str">
        <f t="shared" si="8"/>
        <v/>
      </c>
    </row>
    <row r="52" spans="1:30">
      <c r="A52">
        <f t="shared" si="0"/>
        <v>49</v>
      </c>
      <c r="B52" s="2"/>
      <c r="C52" s="18"/>
      <c r="D52" s="2"/>
      <c r="E52" s="2"/>
      <c r="F52" s="3"/>
      <c r="G52" s="16"/>
      <c r="H52" s="16"/>
      <c r="I52" s="17" t="str">
        <f t="shared" ca="1" si="1"/>
        <v/>
      </c>
      <c r="J52" s="13" t="str">
        <f>IF(F52="","",'GİDER AYARLARI'!$B$4)</f>
        <v/>
      </c>
      <c r="K52" s="13" t="str">
        <f>IF(F52="","",'GİDER AYARLARI'!$B$5)</f>
        <v/>
      </c>
      <c r="L52" s="13" t="str">
        <f>IF(F52="","",'GİDER AYARLARI'!$B$6)</f>
        <v/>
      </c>
      <c r="M52" s="13" t="str">
        <f>IF(F52="","",'GİDER AYARLARI'!$B$7)</f>
        <v/>
      </c>
      <c r="N52" s="3"/>
      <c r="O52" s="13" t="str">
        <f ca="1">IF(OR(F52="",I52=""),"",IFERROR(IF(VLOOKUP(E52,'ALIM AYARLARI'!$A$4:$D$20,2,FALSE)="EVET",F52*'GİDER AYARLARI'!$B$8*I52/30,0),0))</f>
        <v/>
      </c>
      <c r="P52" s="14" t="str">
        <f t="shared" si="2"/>
        <v/>
      </c>
      <c r="Q52" s="14" t="str">
        <f t="shared" si="3"/>
        <v/>
      </c>
      <c r="R52" s="2"/>
      <c r="S52" s="2"/>
      <c r="T52" s="3"/>
      <c r="U52" s="14" t="str">
        <f t="shared" si="4"/>
        <v/>
      </c>
      <c r="V52" s="14" t="str">
        <f t="shared" si="5"/>
        <v/>
      </c>
      <c r="W52" s="15" t="str">
        <f t="shared" si="6"/>
        <v/>
      </c>
      <c r="X52" s="12" t="str">
        <f t="shared" si="7"/>
        <v/>
      </c>
      <c r="Y52" s="2"/>
      <c r="Z52" s="3"/>
      <c r="AA52" s="3"/>
      <c r="AB52" s="3"/>
      <c r="AC52" s="14" t="str">
        <f t="shared" si="9"/>
        <v/>
      </c>
      <c r="AD52" s="14" t="str">
        <f t="shared" si="8"/>
        <v/>
      </c>
    </row>
    <row r="53" spans="1:30">
      <c r="A53">
        <f t="shared" si="0"/>
        <v>50</v>
      </c>
      <c r="B53" s="2"/>
      <c r="C53" s="18"/>
      <c r="D53" s="2"/>
      <c r="E53" s="2"/>
      <c r="F53" s="3"/>
      <c r="G53" s="16"/>
      <c r="H53" s="16"/>
      <c r="I53" s="17" t="str">
        <f t="shared" ca="1" si="1"/>
        <v/>
      </c>
      <c r="J53" s="13" t="str">
        <f>IF(F53="","",'GİDER AYARLARI'!$B$4)</f>
        <v/>
      </c>
      <c r="K53" s="13" t="str">
        <f>IF(F53="","",'GİDER AYARLARI'!$B$5)</f>
        <v/>
      </c>
      <c r="L53" s="13" t="str">
        <f>IF(F53="","",'GİDER AYARLARI'!$B$6)</f>
        <v/>
      </c>
      <c r="M53" s="13" t="str">
        <f>IF(F53="","",'GİDER AYARLARI'!$B$7)</f>
        <v/>
      </c>
      <c r="N53" s="3"/>
      <c r="O53" s="13" t="str">
        <f ca="1">IF(OR(F53="",I53=""),"",IFERROR(IF(VLOOKUP(E53,'ALIM AYARLARI'!$A$4:$D$20,2,FALSE)="EVET",F53*'GİDER AYARLARI'!$B$8*I53/30,0),0))</f>
        <v/>
      </c>
      <c r="P53" s="14" t="str">
        <f t="shared" si="2"/>
        <v/>
      </c>
      <c r="Q53" s="14" t="str">
        <f t="shared" si="3"/>
        <v/>
      </c>
      <c r="R53" s="2"/>
      <c r="S53" s="2"/>
      <c r="T53" s="3"/>
      <c r="U53" s="14" t="str">
        <f t="shared" si="4"/>
        <v/>
      </c>
      <c r="V53" s="14" t="str">
        <f t="shared" si="5"/>
        <v/>
      </c>
      <c r="W53" s="15" t="str">
        <f t="shared" si="6"/>
        <v/>
      </c>
      <c r="X53" s="12" t="str">
        <f t="shared" si="7"/>
        <v/>
      </c>
      <c r="Y53" s="2"/>
      <c r="Z53" s="3"/>
      <c r="AA53" s="3"/>
      <c r="AB53" s="3"/>
      <c r="AC53" s="14" t="str">
        <f t="shared" si="9"/>
        <v/>
      </c>
      <c r="AD53" s="14" t="str">
        <f t="shared" si="8"/>
        <v/>
      </c>
    </row>
    <row r="54" spans="1:30">
      <c r="A54">
        <f t="shared" si="0"/>
        <v>51</v>
      </c>
      <c r="B54" s="2"/>
      <c r="C54" s="18"/>
      <c r="D54" s="2"/>
      <c r="E54" s="2"/>
      <c r="F54" s="3"/>
      <c r="G54" s="16"/>
      <c r="H54" s="16"/>
      <c r="I54" s="17" t="str">
        <f t="shared" ca="1" si="1"/>
        <v/>
      </c>
      <c r="J54" s="13" t="str">
        <f>IF(F54="","",'GİDER AYARLARI'!$B$4)</f>
        <v/>
      </c>
      <c r="K54" s="13" t="str">
        <f>IF(F54="","",'GİDER AYARLARI'!$B$5)</f>
        <v/>
      </c>
      <c r="L54" s="13" t="str">
        <f>IF(F54="","",'GİDER AYARLARI'!$B$6)</f>
        <v/>
      </c>
      <c r="M54" s="13" t="str">
        <f>IF(F54="","",'GİDER AYARLARI'!$B$7)</f>
        <v/>
      </c>
      <c r="N54" s="3"/>
      <c r="O54" s="13" t="str">
        <f ca="1">IF(OR(F54="",I54=""),"",IFERROR(IF(VLOOKUP(E54,'ALIM AYARLARI'!$A$4:$D$20,2,FALSE)="EVET",F54*'GİDER AYARLARI'!$B$8*I54/30,0),0))</f>
        <v/>
      </c>
      <c r="P54" s="14" t="str">
        <f t="shared" si="2"/>
        <v/>
      </c>
      <c r="Q54" s="14" t="str">
        <f t="shared" si="3"/>
        <v/>
      </c>
      <c r="R54" s="2"/>
      <c r="S54" s="2"/>
      <c r="T54" s="3"/>
      <c r="U54" s="14" t="str">
        <f t="shared" si="4"/>
        <v/>
      </c>
      <c r="V54" s="14" t="str">
        <f t="shared" si="5"/>
        <v/>
      </c>
      <c r="W54" s="15" t="str">
        <f t="shared" si="6"/>
        <v/>
      </c>
      <c r="X54" s="12" t="str">
        <f t="shared" si="7"/>
        <v/>
      </c>
      <c r="Y54" s="2"/>
      <c r="Z54" s="3"/>
      <c r="AA54" s="3"/>
      <c r="AB54" s="3"/>
      <c r="AC54" s="14" t="str">
        <f t="shared" si="9"/>
        <v/>
      </c>
      <c r="AD54" s="14" t="str">
        <f t="shared" si="8"/>
        <v/>
      </c>
    </row>
    <row r="55" spans="1:30">
      <c r="A55">
        <f t="shared" si="0"/>
        <v>52</v>
      </c>
      <c r="B55" s="2"/>
      <c r="C55" s="18"/>
      <c r="D55" s="2"/>
      <c r="E55" s="2"/>
      <c r="F55" s="3"/>
      <c r="G55" s="16"/>
      <c r="H55" s="16"/>
      <c r="I55" s="17" t="str">
        <f t="shared" ca="1" si="1"/>
        <v/>
      </c>
      <c r="J55" s="13" t="str">
        <f>IF(F55="","",'GİDER AYARLARI'!$B$4)</f>
        <v/>
      </c>
      <c r="K55" s="13" t="str">
        <f>IF(F55="","",'GİDER AYARLARI'!$B$5)</f>
        <v/>
      </c>
      <c r="L55" s="13" t="str">
        <f>IF(F55="","",'GİDER AYARLARI'!$B$6)</f>
        <v/>
      </c>
      <c r="M55" s="13" t="str">
        <f>IF(F55="","",'GİDER AYARLARI'!$B$7)</f>
        <v/>
      </c>
      <c r="N55" s="3"/>
      <c r="O55" s="13" t="str">
        <f ca="1">IF(OR(F55="",I55=""),"",IFERROR(IF(VLOOKUP(E55,'ALIM AYARLARI'!$A$4:$D$20,2,FALSE)="EVET",F55*'GİDER AYARLARI'!$B$8*I55/30,0),0))</f>
        <v/>
      </c>
      <c r="P55" s="14" t="str">
        <f t="shared" si="2"/>
        <v/>
      </c>
      <c r="Q55" s="14" t="str">
        <f t="shared" si="3"/>
        <v/>
      </c>
      <c r="R55" s="2"/>
      <c r="S55" s="2"/>
      <c r="T55" s="3"/>
      <c r="U55" s="14" t="str">
        <f t="shared" si="4"/>
        <v/>
      </c>
      <c r="V55" s="14" t="str">
        <f t="shared" si="5"/>
        <v/>
      </c>
      <c r="W55" s="15" t="str">
        <f t="shared" si="6"/>
        <v/>
      </c>
      <c r="X55" s="12" t="str">
        <f t="shared" si="7"/>
        <v/>
      </c>
      <c r="Y55" s="2"/>
      <c r="Z55" s="3"/>
      <c r="AA55" s="3"/>
      <c r="AB55" s="3"/>
      <c r="AC55" s="14" t="str">
        <f t="shared" si="9"/>
        <v/>
      </c>
      <c r="AD55" s="14" t="str">
        <f t="shared" si="8"/>
        <v/>
      </c>
    </row>
    <row r="56" spans="1:30">
      <c r="A56">
        <f t="shared" si="0"/>
        <v>53</v>
      </c>
      <c r="B56" s="2"/>
      <c r="C56" s="18"/>
      <c r="D56" s="2"/>
      <c r="E56" s="2"/>
      <c r="F56" s="3"/>
      <c r="G56" s="16"/>
      <c r="H56" s="16"/>
      <c r="I56" s="17" t="str">
        <f t="shared" ca="1" si="1"/>
        <v/>
      </c>
      <c r="J56" s="13" t="str">
        <f>IF(F56="","",'GİDER AYARLARI'!$B$4)</f>
        <v/>
      </c>
      <c r="K56" s="13" t="str">
        <f>IF(F56="","",'GİDER AYARLARI'!$B$5)</f>
        <v/>
      </c>
      <c r="L56" s="13" t="str">
        <f>IF(F56="","",'GİDER AYARLARI'!$B$6)</f>
        <v/>
      </c>
      <c r="M56" s="13" t="str">
        <f>IF(F56="","",'GİDER AYARLARI'!$B$7)</f>
        <v/>
      </c>
      <c r="N56" s="3"/>
      <c r="O56" s="13" t="str">
        <f ca="1">IF(OR(F56="",I56=""),"",IFERROR(IF(VLOOKUP(E56,'ALIM AYARLARI'!$A$4:$D$20,2,FALSE)="EVET",F56*'GİDER AYARLARI'!$B$8*I56/30,0),0))</f>
        <v/>
      </c>
      <c r="P56" s="14" t="str">
        <f t="shared" si="2"/>
        <v/>
      </c>
      <c r="Q56" s="14" t="str">
        <f t="shared" si="3"/>
        <v/>
      </c>
      <c r="R56" s="2"/>
      <c r="S56" s="2"/>
      <c r="T56" s="3"/>
      <c r="U56" s="14" t="str">
        <f t="shared" si="4"/>
        <v/>
      </c>
      <c r="V56" s="14" t="str">
        <f t="shared" si="5"/>
        <v/>
      </c>
      <c r="W56" s="15" t="str">
        <f t="shared" si="6"/>
        <v/>
      </c>
      <c r="X56" s="12" t="str">
        <f t="shared" si="7"/>
        <v/>
      </c>
      <c r="Y56" s="2"/>
      <c r="Z56" s="3"/>
      <c r="AA56" s="3"/>
      <c r="AB56" s="3"/>
      <c r="AC56" s="14" t="str">
        <f t="shared" si="9"/>
        <v/>
      </c>
      <c r="AD56" s="14" t="str">
        <f t="shared" si="8"/>
        <v/>
      </c>
    </row>
    <row r="57" spans="1:30">
      <c r="A57">
        <f t="shared" si="0"/>
        <v>54</v>
      </c>
      <c r="B57" s="2"/>
      <c r="C57" s="18"/>
      <c r="D57" s="2"/>
      <c r="E57" s="2"/>
      <c r="F57" s="3"/>
      <c r="G57" s="16"/>
      <c r="H57" s="16"/>
      <c r="I57" s="17" t="str">
        <f t="shared" ca="1" si="1"/>
        <v/>
      </c>
      <c r="J57" s="13" t="str">
        <f>IF(F57="","",'GİDER AYARLARI'!$B$4)</f>
        <v/>
      </c>
      <c r="K57" s="13" t="str">
        <f>IF(F57="","",'GİDER AYARLARI'!$B$5)</f>
        <v/>
      </c>
      <c r="L57" s="13" t="str">
        <f>IF(F57="","",'GİDER AYARLARI'!$B$6)</f>
        <v/>
      </c>
      <c r="M57" s="13" t="str">
        <f>IF(F57="","",'GİDER AYARLARI'!$B$7)</f>
        <v/>
      </c>
      <c r="N57" s="3"/>
      <c r="O57" s="13" t="str">
        <f ca="1">IF(OR(F57="",I57=""),"",IFERROR(IF(VLOOKUP(E57,'ALIM AYARLARI'!$A$4:$D$20,2,FALSE)="EVET",F57*'GİDER AYARLARI'!$B$8*I57/30,0),0))</f>
        <v/>
      </c>
      <c r="P57" s="14" t="str">
        <f t="shared" si="2"/>
        <v/>
      </c>
      <c r="Q57" s="14" t="str">
        <f t="shared" si="3"/>
        <v/>
      </c>
      <c r="R57" s="2"/>
      <c r="S57" s="2"/>
      <c r="T57" s="3"/>
      <c r="U57" s="14" t="str">
        <f t="shared" si="4"/>
        <v/>
      </c>
      <c r="V57" s="14" t="str">
        <f t="shared" si="5"/>
        <v/>
      </c>
      <c r="W57" s="15" t="str">
        <f t="shared" si="6"/>
        <v/>
      </c>
      <c r="X57" s="12" t="str">
        <f t="shared" si="7"/>
        <v/>
      </c>
      <c r="Y57" s="2"/>
      <c r="Z57" s="3"/>
      <c r="AA57" s="3"/>
      <c r="AB57" s="3"/>
      <c r="AC57" s="14" t="str">
        <f t="shared" si="9"/>
        <v/>
      </c>
      <c r="AD57" s="14" t="str">
        <f t="shared" si="8"/>
        <v/>
      </c>
    </row>
    <row r="58" spans="1:30">
      <c r="A58">
        <f t="shared" si="0"/>
        <v>55</v>
      </c>
      <c r="B58" s="2"/>
      <c r="C58" s="18"/>
      <c r="D58" s="2"/>
      <c r="E58" s="2"/>
      <c r="F58" s="3"/>
      <c r="G58" s="16"/>
      <c r="H58" s="16"/>
      <c r="I58" s="17" t="str">
        <f t="shared" ca="1" si="1"/>
        <v/>
      </c>
      <c r="J58" s="13" t="str">
        <f>IF(F58="","",'GİDER AYARLARI'!$B$4)</f>
        <v/>
      </c>
      <c r="K58" s="13" t="str">
        <f>IF(F58="","",'GİDER AYARLARI'!$B$5)</f>
        <v/>
      </c>
      <c r="L58" s="13" t="str">
        <f>IF(F58="","",'GİDER AYARLARI'!$B$6)</f>
        <v/>
      </c>
      <c r="M58" s="13" t="str">
        <f>IF(F58="","",'GİDER AYARLARI'!$B$7)</f>
        <v/>
      </c>
      <c r="N58" s="3"/>
      <c r="O58" s="13" t="str">
        <f ca="1">IF(OR(F58="",I58=""),"",IFERROR(IF(VLOOKUP(E58,'ALIM AYARLARI'!$A$4:$D$20,2,FALSE)="EVET",F58*'GİDER AYARLARI'!$B$8*I58/30,0),0))</f>
        <v/>
      </c>
      <c r="P58" s="14" t="str">
        <f t="shared" si="2"/>
        <v/>
      </c>
      <c r="Q58" s="14" t="str">
        <f t="shared" si="3"/>
        <v/>
      </c>
      <c r="R58" s="2"/>
      <c r="S58" s="2"/>
      <c r="T58" s="3"/>
      <c r="U58" s="14" t="str">
        <f t="shared" si="4"/>
        <v/>
      </c>
      <c r="V58" s="14" t="str">
        <f t="shared" si="5"/>
        <v/>
      </c>
      <c r="W58" s="15" t="str">
        <f t="shared" si="6"/>
        <v/>
      </c>
      <c r="X58" s="12" t="str">
        <f t="shared" si="7"/>
        <v/>
      </c>
      <c r="Y58" s="2"/>
      <c r="Z58" s="3"/>
      <c r="AA58" s="3"/>
      <c r="AB58" s="3"/>
      <c r="AC58" s="14" t="str">
        <f t="shared" si="9"/>
        <v/>
      </c>
      <c r="AD58" s="14" t="str">
        <f t="shared" si="8"/>
        <v/>
      </c>
    </row>
    <row r="59" spans="1:30">
      <c r="A59">
        <f t="shared" si="0"/>
        <v>56</v>
      </c>
      <c r="B59" s="2"/>
      <c r="C59" s="18"/>
      <c r="D59" s="2"/>
      <c r="E59" s="2"/>
      <c r="F59" s="3"/>
      <c r="G59" s="16"/>
      <c r="H59" s="16"/>
      <c r="I59" s="17" t="str">
        <f t="shared" ca="1" si="1"/>
        <v/>
      </c>
      <c r="J59" s="13" t="str">
        <f>IF(F59="","",'GİDER AYARLARI'!$B$4)</f>
        <v/>
      </c>
      <c r="K59" s="13" t="str">
        <f>IF(F59="","",'GİDER AYARLARI'!$B$5)</f>
        <v/>
      </c>
      <c r="L59" s="13" t="str">
        <f>IF(F59="","",'GİDER AYARLARI'!$B$6)</f>
        <v/>
      </c>
      <c r="M59" s="13" t="str">
        <f>IF(F59="","",'GİDER AYARLARI'!$B$7)</f>
        <v/>
      </c>
      <c r="N59" s="3"/>
      <c r="O59" s="13" t="str">
        <f ca="1">IF(OR(F59="",I59=""),"",IFERROR(IF(VLOOKUP(E59,'ALIM AYARLARI'!$A$4:$D$20,2,FALSE)="EVET",F59*'GİDER AYARLARI'!$B$8*I59/30,0),0))</f>
        <v/>
      </c>
      <c r="P59" s="14" t="str">
        <f t="shared" si="2"/>
        <v/>
      </c>
      <c r="Q59" s="14" t="str">
        <f t="shared" si="3"/>
        <v/>
      </c>
      <c r="R59" s="2"/>
      <c r="S59" s="2"/>
      <c r="T59" s="3"/>
      <c r="U59" s="14" t="str">
        <f t="shared" si="4"/>
        <v/>
      </c>
      <c r="V59" s="14" t="str">
        <f t="shared" si="5"/>
        <v/>
      </c>
      <c r="W59" s="15" t="str">
        <f t="shared" si="6"/>
        <v/>
      </c>
      <c r="X59" s="12" t="str">
        <f t="shared" si="7"/>
        <v/>
      </c>
      <c r="Y59" s="2"/>
      <c r="Z59" s="3"/>
      <c r="AA59" s="3"/>
      <c r="AB59" s="3"/>
      <c r="AC59" s="14" t="str">
        <f t="shared" si="9"/>
        <v/>
      </c>
      <c r="AD59" s="14" t="str">
        <f t="shared" si="8"/>
        <v/>
      </c>
    </row>
    <row r="60" spans="1:30">
      <c r="A60">
        <f t="shared" si="0"/>
        <v>57</v>
      </c>
      <c r="B60" s="2"/>
      <c r="C60" s="18"/>
      <c r="D60" s="2"/>
      <c r="E60" s="2"/>
      <c r="F60" s="3"/>
      <c r="G60" s="16"/>
      <c r="H60" s="16"/>
      <c r="I60" s="17" t="str">
        <f t="shared" ca="1" si="1"/>
        <v/>
      </c>
      <c r="J60" s="13" t="str">
        <f>IF(F60="","",'GİDER AYARLARI'!$B$4)</f>
        <v/>
      </c>
      <c r="K60" s="13" t="str">
        <f>IF(F60="","",'GİDER AYARLARI'!$B$5)</f>
        <v/>
      </c>
      <c r="L60" s="13" t="str">
        <f>IF(F60="","",'GİDER AYARLARI'!$B$6)</f>
        <v/>
      </c>
      <c r="M60" s="13" t="str">
        <f>IF(F60="","",'GİDER AYARLARI'!$B$7)</f>
        <v/>
      </c>
      <c r="N60" s="3"/>
      <c r="O60" s="13" t="str">
        <f ca="1">IF(OR(F60="",I60=""),"",IFERROR(IF(VLOOKUP(E60,'ALIM AYARLARI'!$A$4:$D$20,2,FALSE)="EVET",F60*'GİDER AYARLARI'!$B$8*I60/30,0),0))</f>
        <v/>
      </c>
      <c r="P60" s="14" t="str">
        <f t="shared" si="2"/>
        <v/>
      </c>
      <c r="Q60" s="14" t="str">
        <f t="shared" si="3"/>
        <v/>
      </c>
      <c r="R60" s="2"/>
      <c r="S60" s="2"/>
      <c r="T60" s="3"/>
      <c r="U60" s="14" t="str">
        <f t="shared" si="4"/>
        <v/>
      </c>
      <c r="V60" s="14" t="str">
        <f t="shared" si="5"/>
        <v/>
      </c>
      <c r="W60" s="15" t="str">
        <f t="shared" si="6"/>
        <v/>
      </c>
      <c r="X60" s="12" t="str">
        <f t="shared" si="7"/>
        <v/>
      </c>
      <c r="Y60" s="2"/>
      <c r="Z60" s="3"/>
      <c r="AA60" s="3"/>
      <c r="AB60" s="3"/>
      <c r="AC60" s="14" t="str">
        <f t="shared" si="9"/>
        <v/>
      </c>
      <c r="AD60" s="14" t="str">
        <f t="shared" si="8"/>
        <v/>
      </c>
    </row>
    <row r="61" spans="1:30">
      <c r="A61">
        <f t="shared" si="0"/>
        <v>58</v>
      </c>
      <c r="B61" s="2"/>
      <c r="C61" s="18"/>
      <c r="D61" s="2"/>
      <c r="E61" s="2"/>
      <c r="F61" s="3"/>
      <c r="G61" s="16"/>
      <c r="H61" s="16"/>
      <c r="I61" s="17" t="str">
        <f t="shared" ca="1" si="1"/>
        <v/>
      </c>
      <c r="J61" s="13" t="str">
        <f>IF(F61="","",'GİDER AYARLARI'!$B$4)</f>
        <v/>
      </c>
      <c r="K61" s="13" t="str">
        <f>IF(F61="","",'GİDER AYARLARI'!$B$5)</f>
        <v/>
      </c>
      <c r="L61" s="13" t="str">
        <f>IF(F61="","",'GİDER AYARLARI'!$B$6)</f>
        <v/>
      </c>
      <c r="M61" s="13" t="str">
        <f>IF(F61="","",'GİDER AYARLARI'!$B$7)</f>
        <v/>
      </c>
      <c r="N61" s="3"/>
      <c r="O61" s="13" t="str">
        <f ca="1">IF(OR(F61="",I61=""),"",IFERROR(IF(VLOOKUP(E61,'ALIM AYARLARI'!$A$4:$D$20,2,FALSE)="EVET",F61*'GİDER AYARLARI'!$B$8*I61/30,0),0))</f>
        <v/>
      </c>
      <c r="P61" s="14" t="str">
        <f t="shared" si="2"/>
        <v/>
      </c>
      <c r="Q61" s="14" t="str">
        <f t="shared" si="3"/>
        <v/>
      </c>
      <c r="R61" s="2"/>
      <c r="S61" s="2"/>
      <c r="T61" s="3"/>
      <c r="U61" s="14" t="str">
        <f t="shared" si="4"/>
        <v/>
      </c>
      <c r="V61" s="14" t="str">
        <f t="shared" si="5"/>
        <v/>
      </c>
      <c r="W61" s="15" t="str">
        <f t="shared" si="6"/>
        <v/>
      </c>
      <c r="X61" s="12" t="str">
        <f t="shared" si="7"/>
        <v/>
      </c>
      <c r="Y61" s="2"/>
      <c r="Z61" s="3"/>
      <c r="AA61" s="3"/>
      <c r="AB61" s="3"/>
      <c r="AC61" s="14" t="str">
        <f t="shared" si="9"/>
        <v/>
      </c>
      <c r="AD61" s="14" t="str">
        <f t="shared" si="8"/>
        <v/>
      </c>
    </row>
    <row r="62" spans="1:30">
      <c r="A62">
        <f t="shared" si="0"/>
        <v>59</v>
      </c>
      <c r="B62" s="2"/>
      <c r="C62" s="18"/>
      <c r="D62" s="2"/>
      <c r="E62" s="2"/>
      <c r="F62" s="3"/>
      <c r="G62" s="16"/>
      <c r="H62" s="16"/>
      <c r="I62" s="17" t="str">
        <f t="shared" ca="1" si="1"/>
        <v/>
      </c>
      <c r="J62" s="13" t="str">
        <f>IF(F62="","",'GİDER AYARLARI'!$B$4)</f>
        <v/>
      </c>
      <c r="K62" s="13" t="str">
        <f>IF(F62="","",'GİDER AYARLARI'!$B$5)</f>
        <v/>
      </c>
      <c r="L62" s="13" t="str">
        <f>IF(F62="","",'GİDER AYARLARI'!$B$6)</f>
        <v/>
      </c>
      <c r="M62" s="13" t="str">
        <f>IF(F62="","",'GİDER AYARLARI'!$B$7)</f>
        <v/>
      </c>
      <c r="N62" s="3"/>
      <c r="O62" s="13" t="str">
        <f ca="1">IF(OR(F62="",I62=""),"",IFERROR(IF(VLOOKUP(E62,'ALIM AYARLARI'!$A$4:$D$20,2,FALSE)="EVET",F62*'GİDER AYARLARI'!$B$8*I62/30,0),0))</f>
        <v/>
      </c>
      <c r="P62" s="14" t="str">
        <f t="shared" si="2"/>
        <v/>
      </c>
      <c r="Q62" s="14" t="str">
        <f t="shared" si="3"/>
        <v/>
      </c>
      <c r="R62" s="2"/>
      <c r="S62" s="2"/>
      <c r="T62" s="3"/>
      <c r="U62" s="14" t="str">
        <f t="shared" si="4"/>
        <v/>
      </c>
      <c r="V62" s="14" t="str">
        <f t="shared" si="5"/>
        <v/>
      </c>
      <c r="W62" s="15" t="str">
        <f t="shared" si="6"/>
        <v/>
      </c>
      <c r="X62" s="12" t="str">
        <f t="shared" si="7"/>
        <v/>
      </c>
      <c r="Y62" s="2"/>
      <c r="Z62" s="3"/>
      <c r="AA62" s="3"/>
      <c r="AB62" s="3"/>
      <c r="AC62" s="14" t="str">
        <f t="shared" si="9"/>
        <v/>
      </c>
      <c r="AD62" s="14" t="str">
        <f t="shared" si="8"/>
        <v/>
      </c>
    </row>
    <row r="63" spans="1:30">
      <c r="A63">
        <f t="shared" si="0"/>
        <v>60</v>
      </c>
      <c r="B63" s="2"/>
      <c r="C63" s="18"/>
      <c r="D63" s="2"/>
      <c r="E63" s="2"/>
      <c r="F63" s="3"/>
      <c r="G63" s="16"/>
      <c r="H63" s="16"/>
      <c r="I63" s="17" t="str">
        <f t="shared" ca="1" si="1"/>
        <v/>
      </c>
      <c r="J63" s="13" t="str">
        <f>IF(F63="","",'GİDER AYARLARI'!$B$4)</f>
        <v/>
      </c>
      <c r="K63" s="13" t="str">
        <f>IF(F63="","",'GİDER AYARLARI'!$B$5)</f>
        <v/>
      </c>
      <c r="L63" s="13" t="str">
        <f>IF(F63="","",'GİDER AYARLARI'!$B$6)</f>
        <v/>
      </c>
      <c r="M63" s="13" t="str">
        <f>IF(F63="","",'GİDER AYARLARI'!$B$7)</f>
        <v/>
      </c>
      <c r="N63" s="3"/>
      <c r="O63" s="13" t="str">
        <f ca="1">IF(OR(F63="",I63=""),"",IFERROR(IF(VLOOKUP(E63,'ALIM AYARLARI'!$A$4:$D$20,2,FALSE)="EVET",F63*'GİDER AYARLARI'!$B$8*I63/30,0),0))</f>
        <v/>
      </c>
      <c r="P63" s="14" t="str">
        <f t="shared" si="2"/>
        <v/>
      </c>
      <c r="Q63" s="14" t="str">
        <f t="shared" si="3"/>
        <v/>
      </c>
      <c r="R63" s="2"/>
      <c r="S63" s="2"/>
      <c r="T63" s="3"/>
      <c r="U63" s="14" t="str">
        <f t="shared" si="4"/>
        <v/>
      </c>
      <c r="V63" s="14" t="str">
        <f t="shared" si="5"/>
        <v/>
      </c>
      <c r="W63" s="15" t="str">
        <f t="shared" si="6"/>
        <v/>
      </c>
      <c r="X63" s="12" t="str">
        <f t="shared" si="7"/>
        <v/>
      </c>
      <c r="Y63" s="2"/>
      <c r="Z63" s="3"/>
      <c r="AA63" s="3"/>
      <c r="AB63" s="3"/>
      <c r="AC63" s="14" t="str">
        <f t="shared" si="9"/>
        <v/>
      </c>
      <c r="AD63" s="14" t="str">
        <f t="shared" si="8"/>
        <v/>
      </c>
    </row>
    <row r="64" spans="1:30">
      <c r="A64">
        <f t="shared" si="0"/>
        <v>61</v>
      </c>
      <c r="B64" s="2"/>
      <c r="C64" s="18"/>
      <c r="D64" s="2"/>
      <c r="E64" s="2"/>
      <c r="F64" s="3"/>
      <c r="G64" s="16"/>
      <c r="H64" s="16"/>
      <c r="I64" s="17" t="str">
        <f t="shared" ca="1" si="1"/>
        <v/>
      </c>
      <c r="J64" s="13" t="str">
        <f>IF(F64="","",'GİDER AYARLARI'!$B$4)</f>
        <v/>
      </c>
      <c r="K64" s="13" t="str">
        <f>IF(F64="","",'GİDER AYARLARI'!$B$5)</f>
        <v/>
      </c>
      <c r="L64" s="13" t="str">
        <f>IF(F64="","",'GİDER AYARLARI'!$B$6)</f>
        <v/>
      </c>
      <c r="M64" s="13" t="str">
        <f>IF(F64="","",'GİDER AYARLARI'!$B$7)</f>
        <v/>
      </c>
      <c r="N64" s="3"/>
      <c r="O64" s="13" t="str">
        <f ca="1">IF(OR(F64="",I64=""),"",IFERROR(IF(VLOOKUP(E64,'ALIM AYARLARI'!$A$4:$D$20,2,FALSE)="EVET",F64*'GİDER AYARLARI'!$B$8*I64/30,0),0))</f>
        <v/>
      </c>
      <c r="P64" s="14" t="str">
        <f t="shared" si="2"/>
        <v/>
      </c>
      <c r="Q64" s="14" t="str">
        <f t="shared" si="3"/>
        <v/>
      </c>
      <c r="R64" s="2"/>
      <c r="S64" s="2"/>
      <c r="T64" s="3"/>
      <c r="U64" s="14" t="str">
        <f t="shared" si="4"/>
        <v/>
      </c>
      <c r="V64" s="14" t="str">
        <f t="shared" si="5"/>
        <v/>
      </c>
      <c r="W64" s="15" t="str">
        <f t="shared" si="6"/>
        <v/>
      </c>
      <c r="X64" s="12" t="str">
        <f t="shared" si="7"/>
        <v/>
      </c>
      <c r="Y64" s="2"/>
      <c r="Z64" s="3"/>
      <c r="AA64" s="3"/>
      <c r="AB64" s="3"/>
      <c r="AC64" s="14" t="str">
        <f t="shared" si="9"/>
        <v/>
      </c>
      <c r="AD64" s="14" t="str">
        <f t="shared" si="8"/>
        <v/>
      </c>
    </row>
    <row r="65" spans="1:30">
      <c r="A65">
        <f t="shared" si="0"/>
        <v>62</v>
      </c>
      <c r="B65" s="2"/>
      <c r="C65" s="18"/>
      <c r="D65" s="2"/>
      <c r="E65" s="2"/>
      <c r="F65" s="3"/>
      <c r="G65" s="16"/>
      <c r="H65" s="16"/>
      <c r="I65" s="17" t="str">
        <f t="shared" ca="1" si="1"/>
        <v/>
      </c>
      <c r="J65" s="13" t="str">
        <f>IF(F65="","",'GİDER AYARLARI'!$B$4)</f>
        <v/>
      </c>
      <c r="K65" s="13" t="str">
        <f>IF(F65="","",'GİDER AYARLARI'!$B$5)</f>
        <v/>
      </c>
      <c r="L65" s="13" t="str">
        <f>IF(F65="","",'GİDER AYARLARI'!$B$6)</f>
        <v/>
      </c>
      <c r="M65" s="13" t="str">
        <f>IF(F65="","",'GİDER AYARLARI'!$B$7)</f>
        <v/>
      </c>
      <c r="N65" s="3"/>
      <c r="O65" s="13" t="str">
        <f ca="1">IF(OR(F65="",I65=""),"",IFERROR(IF(VLOOKUP(E65,'ALIM AYARLARI'!$A$4:$D$20,2,FALSE)="EVET",F65*'GİDER AYARLARI'!$B$8*I65/30,0),0))</f>
        <v/>
      </c>
      <c r="P65" s="14" t="str">
        <f t="shared" si="2"/>
        <v/>
      </c>
      <c r="Q65" s="14" t="str">
        <f t="shared" si="3"/>
        <v/>
      </c>
      <c r="R65" s="2"/>
      <c r="S65" s="2"/>
      <c r="T65" s="3"/>
      <c r="U65" s="14" t="str">
        <f t="shared" si="4"/>
        <v/>
      </c>
      <c r="V65" s="14" t="str">
        <f t="shared" si="5"/>
        <v/>
      </c>
      <c r="W65" s="15" t="str">
        <f t="shared" si="6"/>
        <v/>
      </c>
      <c r="X65" s="12" t="str">
        <f t="shared" si="7"/>
        <v/>
      </c>
      <c r="Y65" s="2"/>
      <c r="Z65" s="3"/>
      <c r="AA65" s="3"/>
      <c r="AB65" s="3"/>
      <c r="AC65" s="14" t="str">
        <f t="shared" si="9"/>
        <v/>
      </c>
      <c r="AD65" s="14" t="str">
        <f t="shared" si="8"/>
        <v/>
      </c>
    </row>
    <row r="66" spans="1:30">
      <c r="A66">
        <f t="shared" si="0"/>
        <v>63</v>
      </c>
      <c r="B66" s="2"/>
      <c r="C66" s="18"/>
      <c r="D66" s="2"/>
      <c r="E66" s="2"/>
      <c r="F66" s="3"/>
      <c r="G66" s="16"/>
      <c r="H66" s="16"/>
      <c r="I66" s="17" t="str">
        <f t="shared" ca="1" si="1"/>
        <v/>
      </c>
      <c r="J66" s="13" t="str">
        <f>IF(F66="","",'GİDER AYARLARI'!$B$4)</f>
        <v/>
      </c>
      <c r="K66" s="13" t="str">
        <f>IF(F66="","",'GİDER AYARLARI'!$B$5)</f>
        <v/>
      </c>
      <c r="L66" s="13" t="str">
        <f>IF(F66="","",'GİDER AYARLARI'!$B$6)</f>
        <v/>
      </c>
      <c r="M66" s="13" t="str">
        <f>IF(F66="","",'GİDER AYARLARI'!$B$7)</f>
        <v/>
      </c>
      <c r="N66" s="3"/>
      <c r="O66" s="13" t="str">
        <f ca="1">IF(OR(F66="",I66=""),"",IFERROR(IF(VLOOKUP(E66,'ALIM AYARLARI'!$A$4:$D$20,2,FALSE)="EVET",F66*'GİDER AYARLARI'!$B$8*I66/30,0),0))</f>
        <v/>
      </c>
      <c r="P66" s="14" t="str">
        <f t="shared" si="2"/>
        <v/>
      </c>
      <c r="Q66" s="14" t="str">
        <f t="shared" si="3"/>
        <v/>
      </c>
      <c r="R66" s="2"/>
      <c r="S66" s="2"/>
      <c r="T66" s="3"/>
      <c r="U66" s="14" t="str">
        <f t="shared" si="4"/>
        <v/>
      </c>
      <c r="V66" s="14" t="str">
        <f t="shared" si="5"/>
        <v/>
      </c>
      <c r="W66" s="15" t="str">
        <f t="shared" si="6"/>
        <v/>
      </c>
      <c r="X66" s="12" t="str">
        <f t="shared" si="7"/>
        <v/>
      </c>
      <c r="Y66" s="2"/>
      <c r="Z66" s="3"/>
      <c r="AA66" s="3"/>
      <c r="AB66" s="3"/>
      <c r="AC66" s="14" t="str">
        <f t="shared" si="9"/>
        <v/>
      </c>
      <c r="AD66" s="14" t="str">
        <f t="shared" si="8"/>
        <v/>
      </c>
    </row>
    <row r="67" spans="1:30">
      <c r="A67">
        <f t="shared" si="0"/>
        <v>64</v>
      </c>
      <c r="B67" s="2"/>
      <c r="C67" s="18"/>
      <c r="D67" s="2"/>
      <c r="E67" s="2"/>
      <c r="F67" s="3"/>
      <c r="G67" s="16"/>
      <c r="H67" s="16"/>
      <c r="I67" s="17" t="str">
        <f t="shared" ca="1" si="1"/>
        <v/>
      </c>
      <c r="J67" s="13" t="str">
        <f>IF(F67="","",'GİDER AYARLARI'!$B$4)</f>
        <v/>
      </c>
      <c r="K67" s="13" t="str">
        <f>IF(F67="","",'GİDER AYARLARI'!$B$5)</f>
        <v/>
      </c>
      <c r="L67" s="13" t="str">
        <f>IF(F67="","",'GİDER AYARLARI'!$B$6)</f>
        <v/>
      </c>
      <c r="M67" s="13" t="str">
        <f>IF(F67="","",'GİDER AYARLARI'!$B$7)</f>
        <v/>
      </c>
      <c r="N67" s="3"/>
      <c r="O67" s="13" t="str">
        <f ca="1">IF(OR(F67="",I67=""),"",IFERROR(IF(VLOOKUP(E67,'ALIM AYARLARI'!$A$4:$D$20,2,FALSE)="EVET",F67*'GİDER AYARLARI'!$B$8*I67/30,0),0))</f>
        <v/>
      </c>
      <c r="P67" s="14" t="str">
        <f t="shared" si="2"/>
        <v/>
      </c>
      <c r="Q67" s="14" t="str">
        <f t="shared" si="3"/>
        <v/>
      </c>
      <c r="R67" s="2"/>
      <c r="S67" s="2"/>
      <c r="T67" s="3"/>
      <c r="U67" s="14" t="str">
        <f t="shared" si="4"/>
        <v/>
      </c>
      <c r="V67" s="14" t="str">
        <f t="shared" si="5"/>
        <v/>
      </c>
      <c r="W67" s="15" t="str">
        <f t="shared" si="6"/>
        <v/>
      </c>
      <c r="X67" s="12" t="str">
        <f t="shared" si="7"/>
        <v/>
      </c>
      <c r="Y67" s="2"/>
      <c r="Z67" s="3"/>
      <c r="AA67" s="3"/>
      <c r="AB67" s="3"/>
      <c r="AC67" s="14" t="str">
        <f t="shared" si="9"/>
        <v/>
      </c>
      <c r="AD67" s="14" t="str">
        <f t="shared" si="8"/>
        <v/>
      </c>
    </row>
    <row r="68" spans="1:30">
      <c r="A68">
        <f t="shared" ref="A68:A131" si="10">ROW()-3</f>
        <v>65</v>
      </c>
      <c r="B68" s="2"/>
      <c r="C68" s="18"/>
      <c r="D68" s="2"/>
      <c r="E68" s="2"/>
      <c r="F68" s="3"/>
      <c r="G68" s="16"/>
      <c r="H68" s="16"/>
      <c r="I68" s="17" t="str">
        <f t="shared" ref="I68:I131" ca="1" si="11">IF(G68="","",IF(H68="",TODAY()-G68,H68-G68))</f>
        <v/>
      </c>
      <c r="J68" s="13" t="str">
        <f>IF(F68="","",'GİDER AYARLARI'!$B$4)</f>
        <v/>
      </c>
      <c r="K68" s="13" t="str">
        <f>IF(F68="","",'GİDER AYARLARI'!$B$5)</f>
        <v/>
      </c>
      <c r="L68" s="13" t="str">
        <f>IF(F68="","",'GİDER AYARLARI'!$B$6)</f>
        <v/>
      </c>
      <c r="M68" s="13" t="str">
        <f>IF(F68="","",'GİDER AYARLARI'!$B$7)</f>
        <v/>
      </c>
      <c r="N68" s="3"/>
      <c r="O68" s="13" t="str">
        <f ca="1">IF(OR(F68="",I68=""),"",IFERROR(IF(VLOOKUP(E68,'ALIM AYARLARI'!$A$4:$D$20,2,FALSE)="EVET",F68*'GİDER AYARLARI'!$B$8*I68/30,0),0))</f>
        <v/>
      </c>
      <c r="P68" s="14" t="str">
        <f t="shared" ref="P68:P131" si="12">IF(F68="","",SUM(J68:O68))</f>
        <v/>
      </c>
      <c r="Q68" s="14" t="str">
        <f t="shared" ref="Q68:Q131" si="13">IF(F68="","",F68+P68)</f>
        <v/>
      </c>
      <c r="R68" s="2"/>
      <c r="S68" s="2"/>
      <c r="T68" s="3"/>
      <c r="U68" s="14" t="str">
        <f t="shared" ref="U68:U131" si="14">IF(OR(F68="",T68=""),"",T68-F68)</f>
        <v/>
      </c>
      <c r="V68" s="14" t="str">
        <f t="shared" ref="V68:V131" si="15">IF(T68="","",T68-Q68)</f>
        <v/>
      </c>
      <c r="W68" s="15" t="str">
        <f t="shared" ref="W68:W131" si="16">IFERROR(V68/T68,"")</f>
        <v/>
      </c>
      <c r="X68" s="12" t="str">
        <f t="shared" ref="X68:X131" si="17">IF(F68="","",IF(H68="","STOKTA","SATILDI"))</f>
        <v/>
      </c>
      <c r="Y68" s="2"/>
      <c r="Z68" s="3"/>
      <c r="AA68" s="3"/>
      <c r="AB68" s="3"/>
      <c r="AC68" s="14" t="str">
        <f t="shared" ref="AC68:AC131" si="18">IF(F68="","",SUM(Z68:AB68))</f>
        <v/>
      </c>
      <c r="AD68" s="14" t="str">
        <f t="shared" ref="AD68:AD131" si="19">IF(T68="","",V68+AC68)</f>
        <v/>
      </c>
    </row>
    <row r="69" spans="1:30">
      <c r="A69">
        <f t="shared" si="10"/>
        <v>66</v>
      </c>
      <c r="B69" s="2"/>
      <c r="C69" s="18"/>
      <c r="D69" s="2"/>
      <c r="E69" s="2"/>
      <c r="F69" s="3"/>
      <c r="G69" s="16"/>
      <c r="H69" s="16"/>
      <c r="I69" s="17" t="str">
        <f t="shared" ca="1" si="11"/>
        <v/>
      </c>
      <c r="J69" s="13" t="str">
        <f>IF(F69="","",'GİDER AYARLARI'!$B$4)</f>
        <v/>
      </c>
      <c r="K69" s="13" t="str">
        <f>IF(F69="","",'GİDER AYARLARI'!$B$5)</f>
        <v/>
      </c>
      <c r="L69" s="13" t="str">
        <f>IF(F69="","",'GİDER AYARLARI'!$B$6)</f>
        <v/>
      </c>
      <c r="M69" s="13" t="str">
        <f>IF(F69="","",'GİDER AYARLARI'!$B$7)</f>
        <v/>
      </c>
      <c r="N69" s="3"/>
      <c r="O69" s="13" t="str">
        <f ca="1">IF(OR(F69="",I69=""),"",IFERROR(IF(VLOOKUP(E69,'ALIM AYARLARI'!$A$4:$D$20,2,FALSE)="EVET",F69*'GİDER AYARLARI'!$B$8*I69/30,0),0))</f>
        <v/>
      </c>
      <c r="P69" s="14" t="str">
        <f t="shared" si="12"/>
        <v/>
      </c>
      <c r="Q69" s="14" t="str">
        <f t="shared" si="13"/>
        <v/>
      </c>
      <c r="R69" s="2"/>
      <c r="S69" s="2"/>
      <c r="T69" s="3"/>
      <c r="U69" s="14" t="str">
        <f t="shared" si="14"/>
        <v/>
      </c>
      <c r="V69" s="14" t="str">
        <f t="shared" si="15"/>
        <v/>
      </c>
      <c r="W69" s="15" t="str">
        <f t="shared" si="16"/>
        <v/>
      </c>
      <c r="X69" s="12" t="str">
        <f t="shared" si="17"/>
        <v/>
      </c>
      <c r="Y69" s="2"/>
      <c r="Z69" s="3"/>
      <c r="AA69" s="3"/>
      <c r="AB69" s="3"/>
      <c r="AC69" s="14" t="str">
        <f t="shared" si="18"/>
        <v/>
      </c>
      <c r="AD69" s="14" t="str">
        <f t="shared" si="19"/>
        <v/>
      </c>
    </row>
    <row r="70" spans="1:30">
      <c r="A70">
        <f t="shared" si="10"/>
        <v>67</v>
      </c>
      <c r="B70" s="2"/>
      <c r="C70" s="18"/>
      <c r="D70" s="2"/>
      <c r="E70" s="2"/>
      <c r="F70" s="3"/>
      <c r="G70" s="16"/>
      <c r="H70" s="16"/>
      <c r="I70" s="17" t="str">
        <f t="shared" ca="1" si="11"/>
        <v/>
      </c>
      <c r="J70" s="13" t="str">
        <f>IF(F70="","",'GİDER AYARLARI'!$B$4)</f>
        <v/>
      </c>
      <c r="K70" s="13" t="str">
        <f>IF(F70="","",'GİDER AYARLARI'!$B$5)</f>
        <v/>
      </c>
      <c r="L70" s="13" t="str">
        <f>IF(F70="","",'GİDER AYARLARI'!$B$6)</f>
        <v/>
      </c>
      <c r="M70" s="13" t="str">
        <f>IF(F70="","",'GİDER AYARLARI'!$B$7)</f>
        <v/>
      </c>
      <c r="N70" s="3"/>
      <c r="O70" s="13" t="str">
        <f ca="1">IF(OR(F70="",I70=""),"",IFERROR(IF(VLOOKUP(E70,'ALIM AYARLARI'!$A$4:$D$20,2,FALSE)="EVET",F70*'GİDER AYARLARI'!$B$8*I70/30,0),0))</f>
        <v/>
      </c>
      <c r="P70" s="14" t="str">
        <f t="shared" si="12"/>
        <v/>
      </c>
      <c r="Q70" s="14" t="str">
        <f t="shared" si="13"/>
        <v/>
      </c>
      <c r="R70" s="2"/>
      <c r="S70" s="2"/>
      <c r="T70" s="3"/>
      <c r="U70" s="14" t="str">
        <f t="shared" si="14"/>
        <v/>
      </c>
      <c r="V70" s="14" t="str">
        <f t="shared" si="15"/>
        <v/>
      </c>
      <c r="W70" s="15" t="str">
        <f t="shared" si="16"/>
        <v/>
      </c>
      <c r="X70" s="12" t="str">
        <f t="shared" si="17"/>
        <v/>
      </c>
      <c r="Y70" s="2"/>
      <c r="Z70" s="3"/>
      <c r="AA70" s="3"/>
      <c r="AB70" s="3"/>
      <c r="AC70" s="14" t="str">
        <f t="shared" si="18"/>
        <v/>
      </c>
      <c r="AD70" s="14" t="str">
        <f t="shared" si="19"/>
        <v/>
      </c>
    </row>
    <row r="71" spans="1:30">
      <c r="A71">
        <f t="shared" si="10"/>
        <v>68</v>
      </c>
      <c r="B71" s="2"/>
      <c r="C71" s="18"/>
      <c r="D71" s="2"/>
      <c r="E71" s="2"/>
      <c r="F71" s="3"/>
      <c r="G71" s="16"/>
      <c r="H71" s="16"/>
      <c r="I71" s="17" t="str">
        <f t="shared" ca="1" si="11"/>
        <v/>
      </c>
      <c r="J71" s="13" t="str">
        <f>IF(F71="","",'GİDER AYARLARI'!$B$4)</f>
        <v/>
      </c>
      <c r="K71" s="13" t="str">
        <f>IF(F71="","",'GİDER AYARLARI'!$B$5)</f>
        <v/>
      </c>
      <c r="L71" s="13" t="str">
        <f>IF(F71="","",'GİDER AYARLARI'!$B$6)</f>
        <v/>
      </c>
      <c r="M71" s="13" t="str">
        <f>IF(F71="","",'GİDER AYARLARI'!$B$7)</f>
        <v/>
      </c>
      <c r="N71" s="3"/>
      <c r="O71" s="13" t="str">
        <f ca="1">IF(OR(F71="",I71=""),"",IFERROR(IF(VLOOKUP(E71,'ALIM AYARLARI'!$A$4:$D$20,2,FALSE)="EVET",F71*'GİDER AYARLARI'!$B$8*I71/30,0),0))</f>
        <v/>
      </c>
      <c r="P71" s="14" t="str">
        <f t="shared" si="12"/>
        <v/>
      </c>
      <c r="Q71" s="14" t="str">
        <f t="shared" si="13"/>
        <v/>
      </c>
      <c r="R71" s="2"/>
      <c r="S71" s="2"/>
      <c r="T71" s="3"/>
      <c r="U71" s="14" t="str">
        <f t="shared" si="14"/>
        <v/>
      </c>
      <c r="V71" s="14" t="str">
        <f t="shared" si="15"/>
        <v/>
      </c>
      <c r="W71" s="15" t="str">
        <f t="shared" si="16"/>
        <v/>
      </c>
      <c r="X71" s="12" t="str">
        <f t="shared" si="17"/>
        <v/>
      </c>
      <c r="Y71" s="2"/>
      <c r="Z71" s="3"/>
      <c r="AA71" s="3"/>
      <c r="AB71" s="3"/>
      <c r="AC71" s="14" t="str">
        <f t="shared" si="18"/>
        <v/>
      </c>
      <c r="AD71" s="14" t="str">
        <f t="shared" si="19"/>
        <v/>
      </c>
    </row>
    <row r="72" spans="1:30">
      <c r="A72">
        <f t="shared" si="10"/>
        <v>69</v>
      </c>
      <c r="B72" s="2"/>
      <c r="C72" s="18"/>
      <c r="D72" s="2"/>
      <c r="E72" s="2"/>
      <c r="F72" s="3"/>
      <c r="G72" s="16"/>
      <c r="H72" s="16"/>
      <c r="I72" s="17" t="str">
        <f t="shared" ca="1" si="11"/>
        <v/>
      </c>
      <c r="J72" s="13" t="str">
        <f>IF(F72="","",'GİDER AYARLARI'!$B$4)</f>
        <v/>
      </c>
      <c r="K72" s="13" t="str">
        <f>IF(F72="","",'GİDER AYARLARI'!$B$5)</f>
        <v/>
      </c>
      <c r="L72" s="13" t="str">
        <f>IF(F72="","",'GİDER AYARLARI'!$B$6)</f>
        <v/>
      </c>
      <c r="M72" s="13" t="str">
        <f>IF(F72="","",'GİDER AYARLARI'!$B$7)</f>
        <v/>
      </c>
      <c r="N72" s="3"/>
      <c r="O72" s="13" t="str">
        <f ca="1">IF(OR(F72="",I72=""),"",IFERROR(IF(VLOOKUP(E72,'ALIM AYARLARI'!$A$4:$D$20,2,FALSE)="EVET",F72*'GİDER AYARLARI'!$B$8*I72/30,0),0))</f>
        <v/>
      </c>
      <c r="P72" s="14" t="str">
        <f t="shared" si="12"/>
        <v/>
      </c>
      <c r="Q72" s="14" t="str">
        <f t="shared" si="13"/>
        <v/>
      </c>
      <c r="R72" s="2"/>
      <c r="S72" s="2"/>
      <c r="T72" s="3"/>
      <c r="U72" s="14" t="str">
        <f t="shared" si="14"/>
        <v/>
      </c>
      <c r="V72" s="14" t="str">
        <f t="shared" si="15"/>
        <v/>
      </c>
      <c r="W72" s="15" t="str">
        <f t="shared" si="16"/>
        <v/>
      </c>
      <c r="X72" s="12" t="str">
        <f t="shared" si="17"/>
        <v/>
      </c>
      <c r="Y72" s="2"/>
      <c r="Z72" s="3"/>
      <c r="AA72" s="3"/>
      <c r="AB72" s="3"/>
      <c r="AC72" s="14" t="str">
        <f t="shared" si="18"/>
        <v/>
      </c>
      <c r="AD72" s="14" t="str">
        <f t="shared" si="19"/>
        <v/>
      </c>
    </row>
    <row r="73" spans="1:30">
      <c r="A73">
        <f t="shared" si="10"/>
        <v>70</v>
      </c>
      <c r="B73" s="2"/>
      <c r="C73" s="18"/>
      <c r="D73" s="2"/>
      <c r="E73" s="2"/>
      <c r="F73" s="3"/>
      <c r="G73" s="16"/>
      <c r="H73" s="16"/>
      <c r="I73" s="17" t="str">
        <f t="shared" ca="1" si="11"/>
        <v/>
      </c>
      <c r="J73" s="13" t="str">
        <f>IF(F73="","",'GİDER AYARLARI'!$B$4)</f>
        <v/>
      </c>
      <c r="K73" s="13" t="str">
        <f>IF(F73="","",'GİDER AYARLARI'!$B$5)</f>
        <v/>
      </c>
      <c r="L73" s="13" t="str">
        <f>IF(F73="","",'GİDER AYARLARI'!$B$6)</f>
        <v/>
      </c>
      <c r="M73" s="13" t="str">
        <f>IF(F73="","",'GİDER AYARLARI'!$B$7)</f>
        <v/>
      </c>
      <c r="N73" s="3"/>
      <c r="O73" s="13" t="str">
        <f ca="1">IF(OR(F73="",I73=""),"",IFERROR(IF(VLOOKUP(E73,'ALIM AYARLARI'!$A$4:$D$20,2,FALSE)="EVET",F73*'GİDER AYARLARI'!$B$8*I73/30,0),0))</f>
        <v/>
      </c>
      <c r="P73" s="14" t="str">
        <f t="shared" si="12"/>
        <v/>
      </c>
      <c r="Q73" s="14" t="str">
        <f t="shared" si="13"/>
        <v/>
      </c>
      <c r="R73" s="2"/>
      <c r="S73" s="2"/>
      <c r="T73" s="3"/>
      <c r="U73" s="14" t="str">
        <f t="shared" si="14"/>
        <v/>
      </c>
      <c r="V73" s="14" t="str">
        <f t="shared" si="15"/>
        <v/>
      </c>
      <c r="W73" s="15" t="str">
        <f t="shared" si="16"/>
        <v/>
      </c>
      <c r="X73" s="12" t="str">
        <f t="shared" si="17"/>
        <v/>
      </c>
      <c r="Y73" s="2"/>
      <c r="Z73" s="3"/>
      <c r="AA73" s="3"/>
      <c r="AB73" s="3"/>
      <c r="AC73" s="14" t="str">
        <f t="shared" si="18"/>
        <v/>
      </c>
      <c r="AD73" s="14" t="str">
        <f t="shared" si="19"/>
        <v/>
      </c>
    </row>
    <row r="74" spans="1:30">
      <c r="A74">
        <f t="shared" si="10"/>
        <v>71</v>
      </c>
      <c r="B74" s="2"/>
      <c r="C74" s="18"/>
      <c r="D74" s="2"/>
      <c r="E74" s="2"/>
      <c r="F74" s="3"/>
      <c r="G74" s="16"/>
      <c r="H74" s="16"/>
      <c r="I74" s="17" t="str">
        <f t="shared" ca="1" si="11"/>
        <v/>
      </c>
      <c r="J74" s="13" t="str">
        <f>IF(F74="","",'GİDER AYARLARI'!$B$4)</f>
        <v/>
      </c>
      <c r="K74" s="13" t="str">
        <f>IF(F74="","",'GİDER AYARLARI'!$B$5)</f>
        <v/>
      </c>
      <c r="L74" s="13" t="str">
        <f>IF(F74="","",'GİDER AYARLARI'!$B$6)</f>
        <v/>
      </c>
      <c r="M74" s="13" t="str">
        <f>IF(F74="","",'GİDER AYARLARI'!$B$7)</f>
        <v/>
      </c>
      <c r="N74" s="3"/>
      <c r="O74" s="13" t="str">
        <f ca="1">IF(OR(F74="",I74=""),"",IFERROR(IF(VLOOKUP(E74,'ALIM AYARLARI'!$A$4:$D$20,2,FALSE)="EVET",F74*'GİDER AYARLARI'!$B$8*I74/30,0),0))</f>
        <v/>
      </c>
      <c r="P74" s="14" t="str">
        <f t="shared" si="12"/>
        <v/>
      </c>
      <c r="Q74" s="14" t="str">
        <f t="shared" si="13"/>
        <v/>
      </c>
      <c r="R74" s="2"/>
      <c r="S74" s="2"/>
      <c r="T74" s="3"/>
      <c r="U74" s="14" t="str">
        <f t="shared" si="14"/>
        <v/>
      </c>
      <c r="V74" s="14" t="str">
        <f t="shared" si="15"/>
        <v/>
      </c>
      <c r="W74" s="15" t="str">
        <f t="shared" si="16"/>
        <v/>
      </c>
      <c r="X74" s="12" t="str">
        <f t="shared" si="17"/>
        <v/>
      </c>
      <c r="Y74" s="2"/>
      <c r="Z74" s="3"/>
      <c r="AA74" s="3"/>
      <c r="AB74" s="3"/>
      <c r="AC74" s="14" t="str">
        <f t="shared" si="18"/>
        <v/>
      </c>
      <c r="AD74" s="14" t="str">
        <f t="shared" si="19"/>
        <v/>
      </c>
    </row>
    <row r="75" spans="1:30">
      <c r="A75">
        <f t="shared" si="10"/>
        <v>72</v>
      </c>
      <c r="B75" s="2"/>
      <c r="C75" s="18"/>
      <c r="D75" s="2"/>
      <c r="E75" s="2"/>
      <c r="F75" s="3"/>
      <c r="G75" s="16"/>
      <c r="H75" s="16"/>
      <c r="I75" s="17" t="str">
        <f t="shared" ca="1" si="11"/>
        <v/>
      </c>
      <c r="J75" s="13" t="str">
        <f>IF(F75="","",'GİDER AYARLARI'!$B$4)</f>
        <v/>
      </c>
      <c r="K75" s="13" t="str">
        <f>IF(F75="","",'GİDER AYARLARI'!$B$5)</f>
        <v/>
      </c>
      <c r="L75" s="13" t="str">
        <f>IF(F75="","",'GİDER AYARLARI'!$B$6)</f>
        <v/>
      </c>
      <c r="M75" s="13" t="str">
        <f>IF(F75="","",'GİDER AYARLARI'!$B$7)</f>
        <v/>
      </c>
      <c r="N75" s="3"/>
      <c r="O75" s="13" t="str">
        <f ca="1">IF(OR(F75="",I75=""),"",IFERROR(IF(VLOOKUP(E75,'ALIM AYARLARI'!$A$4:$D$20,2,FALSE)="EVET",F75*'GİDER AYARLARI'!$B$8*I75/30,0),0))</f>
        <v/>
      </c>
      <c r="P75" s="14" t="str">
        <f t="shared" si="12"/>
        <v/>
      </c>
      <c r="Q75" s="14" t="str">
        <f t="shared" si="13"/>
        <v/>
      </c>
      <c r="R75" s="2"/>
      <c r="S75" s="2"/>
      <c r="T75" s="3"/>
      <c r="U75" s="14" t="str">
        <f t="shared" si="14"/>
        <v/>
      </c>
      <c r="V75" s="14" t="str">
        <f t="shared" si="15"/>
        <v/>
      </c>
      <c r="W75" s="15" t="str">
        <f t="shared" si="16"/>
        <v/>
      </c>
      <c r="X75" s="12" t="str">
        <f t="shared" si="17"/>
        <v/>
      </c>
      <c r="Y75" s="2"/>
      <c r="Z75" s="3"/>
      <c r="AA75" s="3"/>
      <c r="AB75" s="3"/>
      <c r="AC75" s="14" t="str">
        <f t="shared" si="18"/>
        <v/>
      </c>
      <c r="AD75" s="14" t="str">
        <f t="shared" si="19"/>
        <v/>
      </c>
    </row>
    <row r="76" spans="1:30">
      <c r="A76">
        <f t="shared" si="10"/>
        <v>73</v>
      </c>
      <c r="B76" s="2"/>
      <c r="C76" s="18"/>
      <c r="D76" s="2"/>
      <c r="E76" s="2"/>
      <c r="F76" s="3"/>
      <c r="G76" s="16"/>
      <c r="H76" s="16"/>
      <c r="I76" s="17" t="str">
        <f t="shared" ca="1" si="11"/>
        <v/>
      </c>
      <c r="J76" s="13" t="str">
        <f>IF(F76="","",'GİDER AYARLARI'!$B$4)</f>
        <v/>
      </c>
      <c r="K76" s="13" t="str">
        <f>IF(F76="","",'GİDER AYARLARI'!$B$5)</f>
        <v/>
      </c>
      <c r="L76" s="13" t="str">
        <f>IF(F76="","",'GİDER AYARLARI'!$B$6)</f>
        <v/>
      </c>
      <c r="M76" s="13" t="str">
        <f>IF(F76="","",'GİDER AYARLARI'!$B$7)</f>
        <v/>
      </c>
      <c r="N76" s="3"/>
      <c r="O76" s="13" t="str">
        <f ca="1">IF(OR(F76="",I76=""),"",IFERROR(IF(VLOOKUP(E76,'ALIM AYARLARI'!$A$4:$D$20,2,FALSE)="EVET",F76*'GİDER AYARLARI'!$B$8*I76/30,0),0))</f>
        <v/>
      </c>
      <c r="P76" s="14" t="str">
        <f t="shared" si="12"/>
        <v/>
      </c>
      <c r="Q76" s="14" t="str">
        <f t="shared" si="13"/>
        <v/>
      </c>
      <c r="R76" s="2"/>
      <c r="S76" s="2"/>
      <c r="T76" s="3"/>
      <c r="U76" s="14" t="str">
        <f t="shared" si="14"/>
        <v/>
      </c>
      <c r="V76" s="14" t="str">
        <f t="shared" si="15"/>
        <v/>
      </c>
      <c r="W76" s="15" t="str">
        <f t="shared" si="16"/>
        <v/>
      </c>
      <c r="X76" s="12" t="str">
        <f t="shared" si="17"/>
        <v/>
      </c>
      <c r="Y76" s="2"/>
      <c r="Z76" s="3"/>
      <c r="AA76" s="3"/>
      <c r="AB76" s="3"/>
      <c r="AC76" s="14" t="str">
        <f t="shared" si="18"/>
        <v/>
      </c>
      <c r="AD76" s="14" t="str">
        <f t="shared" si="19"/>
        <v/>
      </c>
    </row>
    <row r="77" spans="1:30">
      <c r="A77">
        <f t="shared" si="10"/>
        <v>74</v>
      </c>
      <c r="B77" s="2"/>
      <c r="C77" s="18"/>
      <c r="D77" s="2"/>
      <c r="E77" s="2"/>
      <c r="F77" s="3"/>
      <c r="G77" s="16"/>
      <c r="H77" s="16"/>
      <c r="I77" s="17" t="str">
        <f t="shared" ca="1" si="11"/>
        <v/>
      </c>
      <c r="J77" s="13" t="str">
        <f>IF(F77="","",'GİDER AYARLARI'!$B$4)</f>
        <v/>
      </c>
      <c r="K77" s="13" t="str">
        <f>IF(F77="","",'GİDER AYARLARI'!$B$5)</f>
        <v/>
      </c>
      <c r="L77" s="13" t="str">
        <f>IF(F77="","",'GİDER AYARLARI'!$B$6)</f>
        <v/>
      </c>
      <c r="M77" s="13" t="str">
        <f>IF(F77="","",'GİDER AYARLARI'!$B$7)</f>
        <v/>
      </c>
      <c r="N77" s="3"/>
      <c r="O77" s="13" t="str">
        <f ca="1">IF(OR(F77="",I77=""),"",IFERROR(IF(VLOOKUP(E77,'ALIM AYARLARI'!$A$4:$D$20,2,FALSE)="EVET",F77*'GİDER AYARLARI'!$B$8*I77/30,0),0))</f>
        <v/>
      </c>
      <c r="P77" s="14" t="str">
        <f t="shared" si="12"/>
        <v/>
      </c>
      <c r="Q77" s="14" t="str">
        <f t="shared" si="13"/>
        <v/>
      </c>
      <c r="R77" s="2"/>
      <c r="S77" s="2"/>
      <c r="T77" s="3"/>
      <c r="U77" s="14" t="str">
        <f t="shared" si="14"/>
        <v/>
      </c>
      <c r="V77" s="14" t="str">
        <f t="shared" si="15"/>
        <v/>
      </c>
      <c r="W77" s="15" t="str">
        <f t="shared" si="16"/>
        <v/>
      </c>
      <c r="X77" s="12" t="str">
        <f t="shared" si="17"/>
        <v/>
      </c>
      <c r="Y77" s="2"/>
      <c r="Z77" s="3"/>
      <c r="AA77" s="3"/>
      <c r="AB77" s="3"/>
      <c r="AC77" s="14" t="str">
        <f t="shared" si="18"/>
        <v/>
      </c>
      <c r="AD77" s="14" t="str">
        <f t="shared" si="19"/>
        <v/>
      </c>
    </row>
    <row r="78" spans="1:30">
      <c r="A78">
        <f t="shared" si="10"/>
        <v>75</v>
      </c>
      <c r="B78" s="2"/>
      <c r="C78" s="18"/>
      <c r="D78" s="2"/>
      <c r="E78" s="2"/>
      <c r="F78" s="3"/>
      <c r="G78" s="16"/>
      <c r="H78" s="16"/>
      <c r="I78" s="17" t="str">
        <f t="shared" ca="1" si="11"/>
        <v/>
      </c>
      <c r="J78" s="13" t="str">
        <f>IF(F78="","",'GİDER AYARLARI'!$B$4)</f>
        <v/>
      </c>
      <c r="K78" s="13" t="str">
        <f>IF(F78="","",'GİDER AYARLARI'!$B$5)</f>
        <v/>
      </c>
      <c r="L78" s="13" t="str">
        <f>IF(F78="","",'GİDER AYARLARI'!$B$6)</f>
        <v/>
      </c>
      <c r="M78" s="13" t="str">
        <f>IF(F78="","",'GİDER AYARLARI'!$B$7)</f>
        <v/>
      </c>
      <c r="N78" s="3"/>
      <c r="O78" s="13" t="str">
        <f ca="1">IF(OR(F78="",I78=""),"",IFERROR(IF(VLOOKUP(E78,'ALIM AYARLARI'!$A$4:$D$20,2,FALSE)="EVET",F78*'GİDER AYARLARI'!$B$8*I78/30,0),0))</f>
        <v/>
      </c>
      <c r="P78" s="14" t="str">
        <f t="shared" si="12"/>
        <v/>
      </c>
      <c r="Q78" s="14" t="str">
        <f t="shared" si="13"/>
        <v/>
      </c>
      <c r="R78" s="2"/>
      <c r="S78" s="2"/>
      <c r="T78" s="3"/>
      <c r="U78" s="14" t="str">
        <f t="shared" si="14"/>
        <v/>
      </c>
      <c r="V78" s="14" t="str">
        <f t="shared" si="15"/>
        <v/>
      </c>
      <c r="W78" s="15" t="str">
        <f t="shared" si="16"/>
        <v/>
      </c>
      <c r="X78" s="12" t="str">
        <f t="shared" si="17"/>
        <v/>
      </c>
      <c r="Y78" s="2"/>
      <c r="Z78" s="3"/>
      <c r="AA78" s="3"/>
      <c r="AB78" s="3"/>
      <c r="AC78" s="14" t="str">
        <f t="shared" si="18"/>
        <v/>
      </c>
      <c r="AD78" s="14" t="str">
        <f t="shared" si="19"/>
        <v/>
      </c>
    </row>
    <row r="79" spans="1:30">
      <c r="A79">
        <f t="shared" si="10"/>
        <v>76</v>
      </c>
      <c r="B79" s="2"/>
      <c r="C79" s="18"/>
      <c r="D79" s="2"/>
      <c r="E79" s="2"/>
      <c r="F79" s="3"/>
      <c r="G79" s="16"/>
      <c r="H79" s="16"/>
      <c r="I79" s="17" t="str">
        <f t="shared" ca="1" si="11"/>
        <v/>
      </c>
      <c r="J79" s="13" t="str">
        <f>IF(F79="","",'GİDER AYARLARI'!$B$4)</f>
        <v/>
      </c>
      <c r="K79" s="13" t="str">
        <f>IF(F79="","",'GİDER AYARLARI'!$B$5)</f>
        <v/>
      </c>
      <c r="L79" s="13" t="str">
        <f>IF(F79="","",'GİDER AYARLARI'!$B$6)</f>
        <v/>
      </c>
      <c r="M79" s="13" t="str">
        <f>IF(F79="","",'GİDER AYARLARI'!$B$7)</f>
        <v/>
      </c>
      <c r="N79" s="3"/>
      <c r="O79" s="13" t="str">
        <f ca="1">IF(OR(F79="",I79=""),"",IFERROR(IF(VLOOKUP(E79,'ALIM AYARLARI'!$A$4:$D$20,2,FALSE)="EVET",F79*'GİDER AYARLARI'!$B$8*I79/30,0),0))</f>
        <v/>
      </c>
      <c r="P79" s="14" t="str">
        <f t="shared" si="12"/>
        <v/>
      </c>
      <c r="Q79" s="14" t="str">
        <f t="shared" si="13"/>
        <v/>
      </c>
      <c r="R79" s="2"/>
      <c r="S79" s="2"/>
      <c r="T79" s="3"/>
      <c r="U79" s="14" t="str">
        <f t="shared" si="14"/>
        <v/>
      </c>
      <c r="V79" s="14" t="str">
        <f t="shared" si="15"/>
        <v/>
      </c>
      <c r="W79" s="15" t="str">
        <f t="shared" si="16"/>
        <v/>
      </c>
      <c r="X79" s="12" t="str">
        <f t="shared" si="17"/>
        <v/>
      </c>
      <c r="Y79" s="2"/>
      <c r="Z79" s="3"/>
      <c r="AA79" s="3"/>
      <c r="AB79" s="3"/>
      <c r="AC79" s="14" t="str">
        <f t="shared" si="18"/>
        <v/>
      </c>
      <c r="AD79" s="14" t="str">
        <f t="shared" si="19"/>
        <v/>
      </c>
    </row>
    <row r="80" spans="1:30">
      <c r="A80">
        <f t="shared" si="10"/>
        <v>77</v>
      </c>
      <c r="B80" s="2"/>
      <c r="C80" s="18"/>
      <c r="D80" s="2"/>
      <c r="E80" s="2"/>
      <c r="F80" s="3"/>
      <c r="G80" s="16"/>
      <c r="H80" s="16"/>
      <c r="I80" s="17" t="str">
        <f t="shared" ca="1" si="11"/>
        <v/>
      </c>
      <c r="J80" s="13" t="str">
        <f>IF(F80="","",'GİDER AYARLARI'!$B$4)</f>
        <v/>
      </c>
      <c r="K80" s="13" t="str">
        <f>IF(F80="","",'GİDER AYARLARI'!$B$5)</f>
        <v/>
      </c>
      <c r="L80" s="13" t="str">
        <f>IF(F80="","",'GİDER AYARLARI'!$B$6)</f>
        <v/>
      </c>
      <c r="M80" s="13" t="str">
        <f>IF(F80="","",'GİDER AYARLARI'!$B$7)</f>
        <v/>
      </c>
      <c r="N80" s="3"/>
      <c r="O80" s="13" t="str">
        <f ca="1">IF(OR(F80="",I80=""),"",IFERROR(IF(VLOOKUP(E80,'ALIM AYARLARI'!$A$4:$D$20,2,FALSE)="EVET",F80*'GİDER AYARLARI'!$B$8*I80/30,0),0))</f>
        <v/>
      </c>
      <c r="P80" s="14" t="str">
        <f t="shared" si="12"/>
        <v/>
      </c>
      <c r="Q80" s="14" t="str">
        <f t="shared" si="13"/>
        <v/>
      </c>
      <c r="R80" s="2"/>
      <c r="S80" s="2"/>
      <c r="T80" s="3"/>
      <c r="U80" s="14" t="str">
        <f t="shared" si="14"/>
        <v/>
      </c>
      <c r="V80" s="14" t="str">
        <f t="shared" si="15"/>
        <v/>
      </c>
      <c r="W80" s="15" t="str">
        <f t="shared" si="16"/>
        <v/>
      </c>
      <c r="X80" s="12" t="str">
        <f t="shared" si="17"/>
        <v/>
      </c>
      <c r="Y80" s="2"/>
      <c r="Z80" s="3"/>
      <c r="AA80" s="3"/>
      <c r="AB80" s="3"/>
      <c r="AC80" s="14" t="str">
        <f t="shared" si="18"/>
        <v/>
      </c>
      <c r="AD80" s="14" t="str">
        <f t="shared" si="19"/>
        <v/>
      </c>
    </row>
    <row r="81" spans="1:30">
      <c r="A81">
        <f t="shared" si="10"/>
        <v>78</v>
      </c>
      <c r="B81" s="2"/>
      <c r="C81" s="18"/>
      <c r="D81" s="2"/>
      <c r="E81" s="2"/>
      <c r="F81" s="3"/>
      <c r="G81" s="16"/>
      <c r="H81" s="16"/>
      <c r="I81" s="17" t="str">
        <f t="shared" ca="1" si="11"/>
        <v/>
      </c>
      <c r="J81" s="13" t="str">
        <f>IF(F81="","",'GİDER AYARLARI'!$B$4)</f>
        <v/>
      </c>
      <c r="K81" s="13" t="str">
        <f>IF(F81="","",'GİDER AYARLARI'!$B$5)</f>
        <v/>
      </c>
      <c r="L81" s="13" t="str">
        <f>IF(F81="","",'GİDER AYARLARI'!$B$6)</f>
        <v/>
      </c>
      <c r="M81" s="13" t="str">
        <f>IF(F81="","",'GİDER AYARLARI'!$B$7)</f>
        <v/>
      </c>
      <c r="N81" s="3"/>
      <c r="O81" s="13" t="str">
        <f ca="1">IF(OR(F81="",I81=""),"",IFERROR(IF(VLOOKUP(E81,'ALIM AYARLARI'!$A$4:$D$20,2,FALSE)="EVET",F81*'GİDER AYARLARI'!$B$8*I81/30,0),0))</f>
        <v/>
      </c>
      <c r="P81" s="14" t="str">
        <f t="shared" si="12"/>
        <v/>
      </c>
      <c r="Q81" s="14" t="str">
        <f t="shared" si="13"/>
        <v/>
      </c>
      <c r="R81" s="2"/>
      <c r="S81" s="2"/>
      <c r="T81" s="3"/>
      <c r="U81" s="14" t="str">
        <f t="shared" si="14"/>
        <v/>
      </c>
      <c r="V81" s="14" t="str">
        <f t="shared" si="15"/>
        <v/>
      </c>
      <c r="W81" s="15" t="str">
        <f t="shared" si="16"/>
        <v/>
      </c>
      <c r="X81" s="12" t="str">
        <f t="shared" si="17"/>
        <v/>
      </c>
      <c r="Y81" s="2"/>
      <c r="Z81" s="3"/>
      <c r="AA81" s="3"/>
      <c r="AB81" s="3"/>
      <c r="AC81" s="14" t="str">
        <f t="shared" si="18"/>
        <v/>
      </c>
      <c r="AD81" s="14" t="str">
        <f t="shared" si="19"/>
        <v/>
      </c>
    </row>
    <row r="82" spans="1:30">
      <c r="A82">
        <f t="shared" si="10"/>
        <v>79</v>
      </c>
      <c r="B82" s="2"/>
      <c r="C82" s="18"/>
      <c r="D82" s="2"/>
      <c r="E82" s="2"/>
      <c r="F82" s="3"/>
      <c r="G82" s="16"/>
      <c r="H82" s="16"/>
      <c r="I82" s="17" t="str">
        <f t="shared" ca="1" si="11"/>
        <v/>
      </c>
      <c r="J82" s="13" t="str">
        <f>IF(F82="","",'GİDER AYARLARI'!$B$4)</f>
        <v/>
      </c>
      <c r="K82" s="13" t="str">
        <f>IF(F82="","",'GİDER AYARLARI'!$B$5)</f>
        <v/>
      </c>
      <c r="L82" s="13" t="str">
        <f>IF(F82="","",'GİDER AYARLARI'!$B$6)</f>
        <v/>
      </c>
      <c r="M82" s="13" t="str">
        <f>IF(F82="","",'GİDER AYARLARI'!$B$7)</f>
        <v/>
      </c>
      <c r="N82" s="3"/>
      <c r="O82" s="13" t="str">
        <f ca="1">IF(OR(F82="",I82=""),"",IFERROR(IF(VLOOKUP(E82,'ALIM AYARLARI'!$A$4:$D$20,2,FALSE)="EVET",F82*'GİDER AYARLARI'!$B$8*I82/30,0),0))</f>
        <v/>
      </c>
      <c r="P82" s="14" t="str">
        <f t="shared" si="12"/>
        <v/>
      </c>
      <c r="Q82" s="14" t="str">
        <f t="shared" si="13"/>
        <v/>
      </c>
      <c r="R82" s="2"/>
      <c r="S82" s="2"/>
      <c r="T82" s="3"/>
      <c r="U82" s="14" t="str">
        <f t="shared" si="14"/>
        <v/>
      </c>
      <c r="V82" s="14" t="str">
        <f t="shared" si="15"/>
        <v/>
      </c>
      <c r="W82" s="15" t="str">
        <f t="shared" si="16"/>
        <v/>
      </c>
      <c r="X82" s="12" t="str">
        <f t="shared" si="17"/>
        <v/>
      </c>
      <c r="Y82" s="2"/>
      <c r="Z82" s="3"/>
      <c r="AA82" s="3"/>
      <c r="AB82" s="3"/>
      <c r="AC82" s="14" t="str">
        <f t="shared" si="18"/>
        <v/>
      </c>
      <c r="AD82" s="14" t="str">
        <f t="shared" si="19"/>
        <v/>
      </c>
    </row>
    <row r="83" spans="1:30">
      <c r="A83">
        <f t="shared" si="10"/>
        <v>80</v>
      </c>
      <c r="B83" s="2"/>
      <c r="C83" s="18"/>
      <c r="D83" s="2"/>
      <c r="E83" s="2"/>
      <c r="F83" s="3"/>
      <c r="G83" s="16"/>
      <c r="H83" s="16"/>
      <c r="I83" s="17" t="str">
        <f t="shared" ca="1" si="11"/>
        <v/>
      </c>
      <c r="J83" s="13" t="str">
        <f>IF(F83="","",'GİDER AYARLARI'!$B$4)</f>
        <v/>
      </c>
      <c r="K83" s="13" t="str">
        <f>IF(F83="","",'GİDER AYARLARI'!$B$5)</f>
        <v/>
      </c>
      <c r="L83" s="13" t="str">
        <f>IF(F83="","",'GİDER AYARLARI'!$B$6)</f>
        <v/>
      </c>
      <c r="M83" s="13" t="str">
        <f>IF(F83="","",'GİDER AYARLARI'!$B$7)</f>
        <v/>
      </c>
      <c r="N83" s="3"/>
      <c r="O83" s="13" t="str">
        <f ca="1">IF(OR(F83="",I83=""),"",IFERROR(IF(VLOOKUP(E83,'ALIM AYARLARI'!$A$4:$D$20,2,FALSE)="EVET",F83*'GİDER AYARLARI'!$B$8*I83/30,0),0))</f>
        <v/>
      </c>
      <c r="P83" s="14" t="str">
        <f t="shared" si="12"/>
        <v/>
      </c>
      <c r="Q83" s="14" t="str">
        <f t="shared" si="13"/>
        <v/>
      </c>
      <c r="R83" s="2"/>
      <c r="S83" s="2"/>
      <c r="T83" s="3"/>
      <c r="U83" s="14" t="str">
        <f t="shared" si="14"/>
        <v/>
      </c>
      <c r="V83" s="14" t="str">
        <f t="shared" si="15"/>
        <v/>
      </c>
      <c r="W83" s="15" t="str">
        <f t="shared" si="16"/>
        <v/>
      </c>
      <c r="X83" s="12" t="str">
        <f t="shared" si="17"/>
        <v/>
      </c>
      <c r="Y83" s="2"/>
      <c r="Z83" s="3"/>
      <c r="AA83" s="3"/>
      <c r="AB83" s="3"/>
      <c r="AC83" s="14" t="str">
        <f t="shared" si="18"/>
        <v/>
      </c>
      <c r="AD83" s="14" t="str">
        <f t="shared" si="19"/>
        <v/>
      </c>
    </row>
    <row r="84" spans="1:30">
      <c r="A84">
        <f t="shared" si="10"/>
        <v>81</v>
      </c>
      <c r="B84" s="2"/>
      <c r="C84" s="18"/>
      <c r="D84" s="2"/>
      <c r="E84" s="2"/>
      <c r="F84" s="3"/>
      <c r="G84" s="16"/>
      <c r="H84" s="16"/>
      <c r="I84" s="17" t="str">
        <f t="shared" ca="1" si="11"/>
        <v/>
      </c>
      <c r="J84" s="13" t="str">
        <f>IF(F84="","",'GİDER AYARLARI'!$B$4)</f>
        <v/>
      </c>
      <c r="K84" s="13" t="str">
        <f>IF(F84="","",'GİDER AYARLARI'!$B$5)</f>
        <v/>
      </c>
      <c r="L84" s="13" t="str">
        <f>IF(F84="","",'GİDER AYARLARI'!$B$6)</f>
        <v/>
      </c>
      <c r="M84" s="13" t="str">
        <f>IF(F84="","",'GİDER AYARLARI'!$B$7)</f>
        <v/>
      </c>
      <c r="N84" s="3"/>
      <c r="O84" s="13" t="str">
        <f ca="1">IF(OR(F84="",I84=""),"",IFERROR(IF(VLOOKUP(E84,'ALIM AYARLARI'!$A$4:$D$20,2,FALSE)="EVET",F84*'GİDER AYARLARI'!$B$8*I84/30,0),0))</f>
        <v/>
      </c>
      <c r="P84" s="14" t="str">
        <f t="shared" si="12"/>
        <v/>
      </c>
      <c r="Q84" s="14" t="str">
        <f t="shared" si="13"/>
        <v/>
      </c>
      <c r="R84" s="2"/>
      <c r="S84" s="2"/>
      <c r="T84" s="3"/>
      <c r="U84" s="14" t="str">
        <f t="shared" si="14"/>
        <v/>
      </c>
      <c r="V84" s="14" t="str">
        <f t="shared" si="15"/>
        <v/>
      </c>
      <c r="W84" s="15" t="str">
        <f t="shared" si="16"/>
        <v/>
      </c>
      <c r="X84" s="12" t="str">
        <f t="shared" si="17"/>
        <v/>
      </c>
      <c r="Y84" s="2"/>
      <c r="Z84" s="3"/>
      <c r="AA84" s="3"/>
      <c r="AB84" s="3"/>
      <c r="AC84" s="14" t="str">
        <f t="shared" si="18"/>
        <v/>
      </c>
      <c r="AD84" s="14" t="str">
        <f t="shared" si="19"/>
        <v/>
      </c>
    </row>
    <row r="85" spans="1:30">
      <c r="A85">
        <f t="shared" si="10"/>
        <v>82</v>
      </c>
      <c r="B85" s="2"/>
      <c r="C85" s="18"/>
      <c r="D85" s="2"/>
      <c r="E85" s="2"/>
      <c r="F85" s="3"/>
      <c r="G85" s="16"/>
      <c r="H85" s="16"/>
      <c r="I85" s="17" t="str">
        <f t="shared" ca="1" si="11"/>
        <v/>
      </c>
      <c r="J85" s="13" t="str">
        <f>IF(F85="","",'GİDER AYARLARI'!$B$4)</f>
        <v/>
      </c>
      <c r="K85" s="13" t="str">
        <f>IF(F85="","",'GİDER AYARLARI'!$B$5)</f>
        <v/>
      </c>
      <c r="L85" s="13" t="str">
        <f>IF(F85="","",'GİDER AYARLARI'!$B$6)</f>
        <v/>
      </c>
      <c r="M85" s="13" t="str">
        <f>IF(F85="","",'GİDER AYARLARI'!$B$7)</f>
        <v/>
      </c>
      <c r="N85" s="3"/>
      <c r="O85" s="13" t="str">
        <f ca="1">IF(OR(F85="",I85=""),"",IFERROR(IF(VLOOKUP(E85,'ALIM AYARLARI'!$A$4:$D$20,2,FALSE)="EVET",F85*'GİDER AYARLARI'!$B$8*I85/30,0),0))</f>
        <v/>
      </c>
      <c r="P85" s="14" t="str">
        <f t="shared" si="12"/>
        <v/>
      </c>
      <c r="Q85" s="14" t="str">
        <f t="shared" si="13"/>
        <v/>
      </c>
      <c r="R85" s="2"/>
      <c r="S85" s="2"/>
      <c r="T85" s="3"/>
      <c r="U85" s="14" t="str">
        <f t="shared" si="14"/>
        <v/>
      </c>
      <c r="V85" s="14" t="str">
        <f t="shared" si="15"/>
        <v/>
      </c>
      <c r="W85" s="15" t="str">
        <f t="shared" si="16"/>
        <v/>
      </c>
      <c r="X85" s="12" t="str">
        <f t="shared" si="17"/>
        <v/>
      </c>
      <c r="Y85" s="2"/>
      <c r="Z85" s="3"/>
      <c r="AA85" s="3"/>
      <c r="AB85" s="3"/>
      <c r="AC85" s="14" t="str">
        <f t="shared" si="18"/>
        <v/>
      </c>
      <c r="AD85" s="14" t="str">
        <f t="shared" si="19"/>
        <v/>
      </c>
    </row>
    <row r="86" spans="1:30">
      <c r="A86">
        <f t="shared" si="10"/>
        <v>83</v>
      </c>
      <c r="B86" s="2"/>
      <c r="C86" s="18"/>
      <c r="D86" s="2"/>
      <c r="E86" s="2"/>
      <c r="F86" s="3"/>
      <c r="G86" s="16"/>
      <c r="H86" s="16"/>
      <c r="I86" s="17" t="str">
        <f t="shared" ca="1" si="11"/>
        <v/>
      </c>
      <c r="J86" s="13" t="str">
        <f>IF(F86="","",'GİDER AYARLARI'!$B$4)</f>
        <v/>
      </c>
      <c r="K86" s="13" t="str">
        <f>IF(F86="","",'GİDER AYARLARI'!$B$5)</f>
        <v/>
      </c>
      <c r="L86" s="13" t="str">
        <f>IF(F86="","",'GİDER AYARLARI'!$B$6)</f>
        <v/>
      </c>
      <c r="M86" s="13" t="str">
        <f>IF(F86="","",'GİDER AYARLARI'!$B$7)</f>
        <v/>
      </c>
      <c r="N86" s="3"/>
      <c r="O86" s="13" t="str">
        <f ca="1">IF(OR(F86="",I86=""),"",IFERROR(IF(VLOOKUP(E86,'ALIM AYARLARI'!$A$4:$D$20,2,FALSE)="EVET",F86*'GİDER AYARLARI'!$B$8*I86/30,0),0))</f>
        <v/>
      </c>
      <c r="P86" s="14" t="str">
        <f t="shared" si="12"/>
        <v/>
      </c>
      <c r="Q86" s="14" t="str">
        <f t="shared" si="13"/>
        <v/>
      </c>
      <c r="R86" s="2"/>
      <c r="S86" s="2"/>
      <c r="T86" s="3"/>
      <c r="U86" s="14" t="str">
        <f t="shared" si="14"/>
        <v/>
      </c>
      <c r="V86" s="14" t="str">
        <f t="shared" si="15"/>
        <v/>
      </c>
      <c r="W86" s="15" t="str">
        <f t="shared" si="16"/>
        <v/>
      </c>
      <c r="X86" s="12" t="str">
        <f t="shared" si="17"/>
        <v/>
      </c>
      <c r="Y86" s="2"/>
      <c r="Z86" s="3"/>
      <c r="AA86" s="3"/>
      <c r="AB86" s="3"/>
      <c r="AC86" s="14" t="str">
        <f t="shared" si="18"/>
        <v/>
      </c>
      <c r="AD86" s="14" t="str">
        <f t="shared" si="19"/>
        <v/>
      </c>
    </row>
    <row r="87" spans="1:30">
      <c r="A87">
        <f t="shared" si="10"/>
        <v>84</v>
      </c>
      <c r="B87" s="2"/>
      <c r="C87" s="18"/>
      <c r="D87" s="2"/>
      <c r="E87" s="2"/>
      <c r="F87" s="3"/>
      <c r="G87" s="16"/>
      <c r="H87" s="16"/>
      <c r="I87" s="17" t="str">
        <f t="shared" ca="1" si="11"/>
        <v/>
      </c>
      <c r="J87" s="13" t="str">
        <f>IF(F87="","",'GİDER AYARLARI'!$B$4)</f>
        <v/>
      </c>
      <c r="K87" s="13" t="str">
        <f>IF(F87="","",'GİDER AYARLARI'!$B$5)</f>
        <v/>
      </c>
      <c r="L87" s="13" t="str">
        <f>IF(F87="","",'GİDER AYARLARI'!$B$6)</f>
        <v/>
      </c>
      <c r="M87" s="13" t="str">
        <f>IF(F87="","",'GİDER AYARLARI'!$B$7)</f>
        <v/>
      </c>
      <c r="N87" s="3"/>
      <c r="O87" s="13" t="str">
        <f ca="1">IF(OR(F87="",I87=""),"",IFERROR(IF(VLOOKUP(E87,'ALIM AYARLARI'!$A$4:$D$20,2,FALSE)="EVET",F87*'GİDER AYARLARI'!$B$8*I87/30,0),0))</f>
        <v/>
      </c>
      <c r="P87" s="14" t="str">
        <f t="shared" si="12"/>
        <v/>
      </c>
      <c r="Q87" s="14" t="str">
        <f t="shared" si="13"/>
        <v/>
      </c>
      <c r="R87" s="2"/>
      <c r="S87" s="2"/>
      <c r="T87" s="3"/>
      <c r="U87" s="14" t="str">
        <f t="shared" si="14"/>
        <v/>
      </c>
      <c r="V87" s="14" t="str">
        <f t="shared" si="15"/>
        <v/>
      </c>
      <c r="W87" s="15" t="str">
        <f t="shared" si="16"/>
        <v/>
      </c>
      <c r="X87" s="12" t="str">
        <f t="shared" si="17"/>
        <v/>
      </c>
      <c r="Y87" s="2"/>
      <c r="Z87" s="3"/>
      <c r="AA87" s="3"/>
      <c r="AB87" s="3"/>
      <c r="AC87" s="14" t="str">
        <f t="shared" si="18"/>
        <v/>
      </c>
      <c r="AD87" s="14" t="str">
        <f t="shared" si="19"/>
        <v/>
      </c>
    </row>
    <row r="88" spans="1:30">
      <c r="A88">
        <f t="shared" si="10"/>
        <v>85</v>
      </c>
      <c r="B88" s="2"/>
      <c r="C88" s="18"/>
      <c r="D88" s="2"/>
      <c r="E88" s="2"/>
      <c r="F88" s="3"/>
      <c r="G88" s="16"/>
      <c r="H88" s="16"/>
      <c r="I88" s="17" t="str">
        <f t="shared" ca="1" si="11"/>
        <v/>
      </c>
      <c r="J88" s="13" t="str">
        <f>IF(F88="","",'GİDER AYARLARI'!$B$4)</f>
        <v/>
      </c>
      <c r="K88" s="13" t="str">
        <f>IF(F88="","",'GİDER AYARLARI'!$B$5)</f>
        <v/>
      </c>
      <c r="L88" s="13" t="str">
        <f>IF(F88="","",'GİDER AYARLARI'!$B$6)</f>
        <v/>
      </c>
      <c r="M88" s="13" t="str">
        <f>IF(F88="","",'GİDER AYARLARI'!$B$7)</f>
        <v/>
      </c>
      <c r="N88" s="3"/>
      <c r="O88" s="13" t="str">
        <f ca="1">IF(OR(F88="",I88=""),"",IFERROR(IF(VLOOKUP(E88,'ALIM AYARLARI'!$A$4:$D$20,2,FALSE)="EVET",F88*'GİDER AYARLARI'!$B$8*I88/30,0),0))</f>
        <v/>
      </c>
      <c r="P88" s="14" t="str">
        <f t="shared" si="12"/>
        <v/>
      </c>
      <c r="Q88" s="14" t="str">
        <f t="shared" si="13"/>
        <v/>
      </c>
      <c r="R88" s="2"/>
      <c r="S88" s="2"/>
      <c r="T88" s="3"/>
      <c r="U88" s="14" t="str">
        <f t="shared" si="14"/>
        <v/>
      </c>
      <c r="V88" s="14" t="str">
        <f t="shared" si="15"/>
        <v/>
      </c>
      <c r="W88" s="15" t="str">
        <f t="shared" si="16"/>
        <v/>
      </c>
      <c r="X88" s="12" t="str">
        <f t="shared" si="17"/>
        <v/>
      </c>
      <c r="Y88" s="2"/>
      <c r="Z88" s="3"/>
      <c r="AA88" s="3"/>
      <c r="AB88" s="3"/>
      <c r="AC88" s="14" t="str">
        <f t="shared" si="18"/>
        <v/>
      </c>
      <c r="AD88" s="14" t="str">
        <f t="shared" si="19"/>
        <v/>
      </c>
    </row>
    <row r="89" spans="1:30">
      <c r="A89">
        <f t="shared" si="10"/>
        <v>86</v>
      </c>
      <c r="B89" s="2"/>
      <c r="C89" s="18"/>
      <c r="D89" s="2"/>
      <c r="E89" s="2"/>
      <c r="F89" s="3"/>
      <c r="G89" s="16"/>
      <c r="H89" s="16"/>
      <c r="I89" s="17" t="str">
        <f t="shared" ca="1" si="11"/>
        <v/>
      </c>
      <c r="J89" s="13" t="str">
        <f>IF(F89="","",'GİDER AYARLARI'!$B$4)</f>
        <v/>
      </c>
      <c r="K89" s="13" t="str">
        <f>IF(F89="","",'GİDER AYARLARI'!$B$5)</f>
        <v/>
      </c>
      <c r="L89" s="13" t="str">
        <f>IF(F89="","",'GİDER AYARLARI'!$B$6)</f>
        <v/>
      </c>
      <c r="M89" s="13" t="str">
        <f>IF(F89="","",'GİDER AYARLARI'!$B$7)</f>
        <v/>
      </c>
      <c r="N89" s="3"/>
      <c r="O89" s="13" t="str">
        <f ca="1">IF(OR(F89="",I89=""),"",IFERROR(IF(VLOOKUP(E89,'ALIM AYARLARI'!$A$4:$D$20,2,FALSE)="EVET",F89*'GİDER AYARLARI'!$B$8*I89/30,0),0))</f>
        <v/>
      </c>
      <c r="P89" s="14" t="str">
        <f t="shared" si="12"/>
        <v/>
      </c>
      <c r="Q89" s="14" t="str">
        <f t="shared" si="13"/>
        <v/>
      </c>
      <c r="R89" s="2"/>
      <c r="S89" s="2"/>
      <c r="T89" s="3"/>
      <c r="U89" s="14" t="str">
        <f t="shared" si="14"/>
        <v/>
      </c>
      <c r="V89" s="14" t="str">
        <f t="shared" si="15"/>
        <v/>
      </c>
      <c r="W89" s="15" t="str">
        <f t="shared" si="16"/>
        <v/>
      </c>
      <c r="X89" s="12" t="str">
        <f t="shared" si="17"/>
        <v/>
      </c>
      <c r="Y89" s="2"/>
      <c r="Z89" s="3"/>
      <c r="AA89" s="3"/>
      <c r="AB89" s="3"/>
      <c r="AC89" s="14" t="str">
        <f t="shared" si="18"/>
        <v/>
      </c>
      <c r="AD89" s="14" t="str">
        <f t="shared" si="19"/>
        <v/>
      </c>
    </row>
    <row r="90" spans="1:30">
      <c r="A90">
        <f t="shared" si="10"/>
        <v>87</v>
      </c>
      <c r="B90" s="2"/>
      <c r="C90" s="18"/>
      <c r="D90" s="2"/>
      <c r="E90" s="2"/>
      <c r="F90" s="3"/>
      <c r="G90" s="16"/>
      <c r="H90" s="16"/>
      <c r="I90" s="17" t="str">
        <f t="shared" ca="1" si="11"/>
        <v/>
      </c>
      <c r="J90" s="13" t="str">
        <f>IF(F90="","",'GİDER AYARLARI'!$B$4)</f>
        <v/>
      </c>
      <c r="K90" s="13" t="str">
        <f>IF(F90="","",'GİDER AYARLARI'!$B$5)</f>
        <v/>
      </c>
      <c r="L90" s="13" t="str">
        <f>IF(F90="","",'GİDER AYARLARI'!$B$6)</f>
        <v/>
      </c>
      <c r="M90" s="13" t="str">
        <f>IF(F90="","",'GİDER AYARLARI'!$B$7)</f>
        <v/>
      </c>
      <c r="N90" s="3"/>
      <c r="O90" s="13" t="str">
        <f ca="1">IF(OR(F90="",I90=""),"",IFERROR(IF(VLOOKUP(E90,'ALIM AYARLARI'!$A$4:$D$20,2,FALSE)="EVET",F90*'GİDER AYARLARI'!$B$8*I90/30,0),0))</f>
        <v/>
      </c>
      <c r="P90" s="14" t="str">
        <f t="shared" si="12"/>
        <v/>
      </c>
      <c r="Q90" s="14" t="str">
        <f t="shared" si="13"/>
        <v/>
      </c>
      <c r="R90" s="2"/>
      <c r="S90" s="2"/>
      <c r="T90" s="3"/>
      <c r="U90" s="14" t="str">
        <f t="shared" si="14"/>
        <v/>
      </c>
      <c r="V90" s="14" t="str">
        <f t="shared" si="15"/>
        <v/>
      </c>
      <c r="W90" s="15" t="str">
        <f t="shared" si="16"/>
        <v/>
      </c>
      <c r="X90" s="12" t="str">
        <f t="shared" si="17"/>
        <v/>
      </c>
      <c r="Y90" s="2"/>
      <c r="Z90" s="3"/>
      <c r="AA90" s="3"/>
      <c r="AB90" s="3"/>
      <c r="AC90" s="14" t="str">
        <f t="shared" si="18"/>
        <v/>
      </c>
      <c r="AD90" s="14" t="str">
        <f t="shared" si="19"/>
        <v/>
      </c>
    </row>
    <row r="91" spans="1:30">
      <c r="A91">
        <f t="shared" si="10"/>
        <v>88</v>
      </c>
      <c r="B91" s="2"/>
      <c r="C91" s="18"/>
      <c r="D91" s="2"/>
      <c r="E91" s="2"/>
      <c r="F91" s="3"/>
      <c r="G91" s="16"/>
      <c r="H91" s="16"/>
      <c r="I91" s="17" t="str">
        <f t="shared" ca="1" si="11"/>
        <v/>
      </c>
      <c r="J91" s="13" t="str">
        <f>IF(F91="","",'GİDER AYARLARI'!$B$4)</f>
        <v/>
      </c>
      <c r="K91" s="13" t="str">
        <f>IF(F91="","",'GİDER AYARLARI'!$B$5)</f>
        <v/>
      </c>
      <c r="L91" s="13" t="str">
        <f>IF(F91="","",'GİDER AYARLARI'!$B$6)</f>
        <v/>
      </c>
      <c r="M91" s="13" t="str">
        <f>IF(F91="","",'GİDER AYARLARI'!$B$7)</f>
        <v/>
      </c>
      <c r="N91" s="3"/>
      <c r="O91" s="13" t="str">
        <f ca="1">IF(OR(F91="",I91=""),"",IFERROR(IF(VLOOKUP(E91,'ALIM AYARLARI'!$A$4:$D$20,2,FALSE)="EVET",F91*'GİDER AYARLARI'!$B$8*I91/30,0),0))</f>
        <v/>
      </c>
      <c r="P91" s="14" t="str">
        <f t="shared" si="12"/>
        <v/>
      </c>
      <c r="Q91" s="14" t="str">
        <f t="shared" si="13"/>
        <v/>
      </c>
      <c r="R91" s="2"/>
      <c r="S91" s="2"/>
      <c r="T91" s="3"/>
      <c r="U91" s="14" t="str">
        <f t="shared" si="14"/>
        <v/>
      </c>
      <c r="V91" s="14" t="str">
        <f t="shared" si="15"/>
        <v/>
      </c>
      <c r="W91" s="15" t="str">
        <f t="shared" si="16"/>
        <v/>
      </c>
      <c r="X91" s="12" t="str">
        <f t="shared" si="17"/>
        <v/>
      </c>
      <c r="Y91" s="2"/>
      <c r="Z91" s="3"/>
      <c r="AA91" s="3"/>
      <c r="AB91" s="3"/>
      <c r="AC91" s="14" t="str">
        <f t="shared" si="18"/>
        <v/>
      </c>
      <c r="AD91" s="14" t="str">
        <f t="shared" si="19"/>
        <v/>
      </c>
    </row>
    <row r="92" spans="1:30">
      <c r="A92">
        <f t="shared" si="10"/>
        <v>89</v>
      </c>
      <c r="B92" s="2"/>
      <c r="C92" s="18"/>
      <c r="D92" s="2"/>
      <c r="E92" s="2"/>
      <c r="F92" s="3"/>
      <c r="G92" s="16"/>
      <c r="H92" s="16"/>
      <c r="I92" s="17" t="str">
        <f t="shared" ca="1" si="11"/>
        <v/>
      </c>
      <c r="J92" s="13" t="str">
        <f>IF(F92="","",'GİDER AYARLARI'!$B$4)</f>
        <v/>
      </c>
      <c r="K92" s="13" t="str">
        <f>IF(F92="","",'GİDER AYARLARI'!$B$5)</f>
        <v/>
      </c>
      <c r="L92" s="13" t="str">
        <f>IF(F92="","",'GİDER AYARLARI'!$B$6)</f>
        <v/>
      </c>
      <c r="M92" s="13" t="str">
        <f>IF(F92="","",'GİDER AYARLARI'!$B$7)</f>
        <v/>
      </c>
      <c r="N92" s="3"/>
      <c r="O92" s="13" t="str">
        <f ca="1">IF(OR(F92="",I92=""),"",IFERROR(IF(VLOOKUP(E92,'ALIM AYARLARI'!$A$4:$D$20,2,FALSE)="EVET",F92*'GİDER AYARLARI'!$B$8*I92/30,0),0))</f>
        <v/>
      </c>
      <c r="P92" s="14" t="str">
        <f t="shared" si="12"/>
        <v/>
      </c>
      <c r="Q92" s="14" t="str">
        <f t="shared" si="13"/>
        <v/>
      </c>
      <c r="R92" s="2"/>
      <c r="S92" s="2"/>
      <c r="T92" s="3"/>
      <c r="U92" s="14" t="str">
        <f t="shared" si="14"/>
        <v/>
      </c>
      <c r="V92" s="14" t="str">
        <f t="shared" si="15"/>
        <v/>
      </c>
      <c r="W92" s="15" t="str">
        <f t="shared" si="16"/>
        <v/>
      </c>
      <c r="X92" s="12" t="str">
        <f t="shared" si="17"/>
        <v/>
      </c>
      <c r="Y92" s="2"/>
      <c r="Z92" s="3"/>
      <c r="AA92" s="3"/>
      <c r="AB92" s="3"/>
      <c r="AC92" s="14" t="str">
        <f t="shared" si="18"/>
        <v/>
      </c>
      <c r="AD92" s="14" t="str">
        <f t="shared" si="19"/>
        <v/>
      </c>
    </row>
    <row r="93" spans="1:30">
      <c r="A93">
        <f t="shared" si="10"/>
        <v>90</v>
      </c>
      <c r="B93" s="2"/>
      <c r="C93" s="18"/>
      <c r="D93" s="2"/>
      <c r="E93" s="2"/>
      <c r="F93" s="3"/>
      <c r="G93" s="16"/>
      <c r="H93" s="16"/>
      <c r="I93" s="17" t="str">
        <f t="shared" ca="1" si="11"/>
        <v/>
      </c>
      <c r="J93" s="13" t="str">
        <f>IF(F93="","",'GİDER AYARLARI'!$B$4)</f>
        <v/>
      </c>
      <c r="K93" s="13" t="str">
        <f>IF(F93="","",'GİDER AYARLARI'!$B$5)</f>
        <v/>
      </c>
      <c r="L93" s="13" t="str">
        <f>IF(F93="","",'GİDER AYARLARI'!$B$6)</f>
        <v/>
      </c>
      <c r="M93" s="13" t="str">
        <f>IF(F93="","",'GİDER AYARLARI'!$B$7)</f>
        <v/>
      </c>
      <c r="N93" s="3"/>
      <c r="O93" s="13" t="str">
        <f ca="1">IF(OR(F93="",I93=""),"",IFERROR(IF(VLOOKUP(E93,'ALIM AYARLARI'!$A$4:$D$20,2,FALSE)="EVET",F93*'GİDER AYARLARI'!$B$8*I93/30,0),0))</f>
        <v/>
      </c>
      <c r="P93" s="14" t="str">
        <f t="shared" si="12"/>
        <v/>
      </c>
      <c r="Q93" s="14" t="str">
        <f t="shared" si="13"/>
        <v/>
      </c>
      <c r="R93" s="2"/>
      <c r="S93" s="2"/>
      <c r="T93" s="3"/>
      <c r="U93" s="14" t="str">
        <f t="shared" si="14"/>
        <v/>
      </c>
      <c r="V93" s="14" t="str">
        <f t="shared" si="15"/>
        <v/>
      </c>
      <c r="W93" s="15" t="str">
        <f t="shared" si="16"/>
        <v/>
      </c>
      <c r="X93" s="12" t="str">
        <f t="shared" si="17"/>
        <v/>
      </c>
      <c r="Y93" s="2"/>
      <c r="Z93" s="3"/>
      <c r="AA93" s="3"/>
      <c r="AB93" s="3"/>
      <c r="AC93" s="14" t="str">
        <f t="shared" si="18"/>
        <v/>
      </c>
      <c r="AD93" s="14" t="str">
        <f t="shared" si="19"/>
        <v/>
      </c>
    </row>
    <row r="94" spans="1:30">
      <c r="A94">
        <f t="shared" si="10"/>
        <v>91</v>
      </c>
      <c r="B94" s="2"/>
      <c r="C94" s="18"/>
      <c r="D94" s="2"/>
      <c r="E94" s="2"/>
      <c r="F94" s="3"/>
      <c r="G94" s="16"/>
      <c r="H94" s="16"/>
      <c r="I94" s="17" t="str">
        <f t="shared" ca="1" si="11"/>
        <v/>
      </c>
      <c r="J94" s="13" t="str">
        <f>IF(F94="","",'GİDER AYARLARI'!$B$4)</f>
        <v/>
      </c>
      <c r="K94" s="13" t="str">
        <f>IF(F94="","",'GİDER AYARLARI'!$B$5)</f>
        <v/>
      </c>
      <c r="L94" s="13" t="str">
        <f>IF(F94="","",'GİDER AYARLARI'!$B$6)</f>
        <v/>
      </c>
      <c r="M94" s="13" t="str">
        <f>IF(F94="","",'GİDER AYARLARI'!$B$7)</f>
        <v/>
      </c>
      <c r="N94" s="3"/>
      <c r="O94" s="13" t="str">
        <f ca="1">IF(OR(F94="",I94=""),"",IFERROR(IF(VLOOKUP(E94,'ALIM AYARLARI'!$A$4:$D$20,2,FALSE)="EVET",F94*'GİDER AYARLARI'!$B$8*I94/30,0),0))</f>
        <v/>
      </c>
      <c r="P94" s="14" t="str">
        <f t="shared" si="12"/>
        <v/>
      </c>
      <c r="Q94" s="14" t="str">
        <f t="shared" si="13"/>
        <v/>
      </c>
      <c r="R94" s="2"/>
      <c r="S94" s="2"/>
      <c r="T94" s="3"/>
      <c r="U94" s="14" t="str">
        <f t="shared" si="14"/>
        <v/>
      </c>
      <c r="V94" s="14" t="str">
        <f t="shared" si="15"/>
        <v/>
      </c>
      <c r="W94" s="15" t="str">
        <f t="shared" si="16"/>
        <v/>
      </c>
      <c r="X94" s="12" t="str">
        <f t="shared" si="17"/>
        <v/>
      </c>
      <c r="Y94" s="2"/>
      <c r="Z94" s="3"/>
      <c r="AA94" s="3"/>
      <c r="AB94" s="3"/>
      <c r="AC94" s="14" t="str">
        <f t="shared" si="18"/>
        <v/>
      </c>
      <c r="AD94" s="14" t="str">
        <f t="shared" si="19"/>
        <v/>
      </c>
    </row>
    <row r="95" spans="1:30">
      <c r="A95">
        <f t="shared" si="10"/>
        <v>92</v>
      </c>
      <c r="B95" s="2"/>
      <c r="C95" s="18"/>
      <c r="D95" s="2"/>
      <c r="E95" s="2"/>
      <c r="F95" s="3"/>
      <c r="G95" s="16"/>
      <c r="H95" s="16"/>
      <c r="I95" s="17" t="str">
        <f t="shared" ca="1" si="11"/>
        <v/>
      </c>
      <c r="J95" s="13" t="str">
        <f>IF(F95="","",'GİDER AYARLARI'!$B$4)</f>
        <v/>
      </c>
      <c r="K95" s="13" t="str">
        <f>IF(F95="","",'GİDER AYARLARI'!$B$5)</f>
        <v/>
      </c>
      <c r="L95" s="13" t="str">
        <f>IF(F95="","",'GİDER AYARLARI'!$B$6)</f>
        <v/>
      </c>
      <c r="M95" s="13" t="str">
        <f>IF(F95="","",'GİDER AYARLARI'!$B$7)</f>
        <v/>
      </c>
      <c r="N95" s="3"/>
      <c r="O95" s="13" t="str">
        <f ca="1">IF(OR(F95="",I95=""),"",IFERROR(IF(VLOOKUP(E95,'ALIM AYARLARI'!$A$4:$D$20,2,FALSE)="EVET",F95*'GİDER AYARLARI'!$B$8*I95/30,0),0))</f>
        <v/>
      </c>
      <c r="P95" s="14" t="str">
        <f t="shared" si="12"/>
        <v/>
      </c>
      <c r="Q95" s="14" t="str">
        <f t="shared" si="13"/>
        <v/>
      </c>
      <c r="R95" s="2"/>
      <c r="S95" s="2"/>
      <c r="T95" s="3"/>
      <c r="U95" s="14" t="str">
        <f t="shared" si="14"/>
        <v/>
      </c>
      <c r="V95" s="14" t="str">
        <f t="shared" si="15"/>
        <v/>
      </c>
      <c r="W95" s="15" t="str">
        <f t="shared" si="16"/>
        <v/>
      </c>
      <c r="X95" s="12" t="str">
        <f t="shared" si="17"/>
        <v/>
      </c>
      <c r="Y95" s="2"/>
      <c r="Z95" s="3"/>
      <c r="AA95" s="3"/>
      <c r="AB95" s="3"/>
      <c r="AC95" s="14" t="str">
        <f t="shared" si="18"/>
        <v/>
      </c>
      <c r="AD95" s="14" t="str">
        <f t="shared" si="19"/>
        <v/>
      </c>
    </row>
    <row r="96" spans="1:30">
      <c r="A96">
        <f t="shared" si="10"/>
        <v>93</v>
      </c>
      <c r="B96" s="2"/>
      <c r="C96" s="18"/>
      <c r="D96" s="2"/>
      <c r="E96" s="2"/>
      <c r="F96" s="3"/>
      <c r="G96" s="16"/>
      <c r="H96" s="16"/>
      <c r="I96" s="17" t="str">
        <f t="shared" ca="1" si="11"/>
        <v/>
      </c>
      <c r="J96" s="13" t="str">
        <f>IF(F96="","",'GİDER AYARLARI'!$B$4)</f>
        <v/>
      </c>
      <c r="K96" s="13" t="str">
        <f>IF(F96="","",'GİDER AYARLARI'!$B$5)</f>
        <v/>
      </c>
      <c r="L96" s="13" t="str">
        <f>IF(F96="","",'GİDER AYARLARI'!$B$6)</f>
        <v/>
      </c>
      <c r="M96" s="13" t="str">
        <f>IF(F96="","",'GİDER AYARLARI'!$B$7)</f>
        <v/>
      </c>
      <c r="N96" s="3"/>
      <c r="O96" s="13" t="str">
        <f ca="1">IF(OR(F96="",I96=""),"",IFERROR(IF(VLOOKUP(E96,'ALIM AYARLARI'!$A$4:$D$20,2,FALSE)="EVET",F96*'GİDER AYARLARI'!$B$8*I96/30,0),0))</f>
        <v/>
      </c>
      <c r="P96" s="14" t="str">
        <f t="shared" si="12"/>
        <v/>
      </c>
      <c r="Q96" s="14" t="str">
        <f t="shared" si="13"/>
        <v/>
      </c>
      <c r="R96" s="2"/>
      <c r="S96" s="2"/>
      <c r="T96" s="3"/>
      <c r="U96" s="14" t="str">
        <f t="shared" si="14"/>
        <v/>
      </c>
      <c r="V96" s="14" t="str">
        <f t="shared" si="15"/>
        <v/>
      </c>
      <c r="W96" s="15" t="str">
        <f t="shared" si="16"/>
        <v/>
      </c>
      <c r="X96" s="12" t="str">
        <f t="shared" si="17"/>
        <v/>
      </c>
      <c r="Y96" s="2"/>
      <c r="Z96" s="3"/>
      <c r="AA96" s="3"/>
      <c r="AB96" s="3"/>
      <c r="AC96" s="14" t="str">
        <f t="shared" si="18"/>
        <v/>
      </c>
      <c r="AD96" s="14" t="str">
        <f t="shared" si="19"/>
        <v/>
      </c>
    </row>
    <row r="97" spans="1:30">
      <c r="A97">
        <f t="shared" si="10"/>
        <v>94</v>
      </c>
      <c r="B97" s="2"/>
      <c r="C97" s="18"/>
      <c r="D97" s="2"/>
      <c r="E97" s="2"/>
      <c r="F97" s="3"/>
      <c r="G97" s="16"/>
      <c r="H97" s="16"/>
      <c r="I97" s="17" t="str">
        <f t="shared" ca="1" si="11"/>
        <v/>
      </c>
      <c r="J97" s="13" t="str">
        <f>IF(F97="","",'GİDER AYARLARI'!$B$4)</f>
        <v/>
      </c>
      <c r="K97" s="13" t="str">
        <f>IF(F97="","",'GİDER AYARLARI'!$B$5)</f>
        <v/>
      </c>
      <c r="L97" s="13" t="str">
        <f>IF(F97="","",'GİDER AYARLARI'!$B$6)</f>
        <v/>
      </c>
      <c r="M97" s="13" t="str">
        <f>IF(F97="","",'GİDER AYARLARI'!$B$7)</f>
        <v/>
      </c>
      <c r="N97" s="3"/>
      <c r="O97" s="13" t="str">
        <f ca="1">IF(OR(F97="",I97=""),"",IFERROR(IF(VLOOKUP(E97,'ALIM AYARLARI'!$A$4:$D$20,2,FALSE)="EVET",F97*'GİDER AYARLARI'!$B$8*I97/30,0),0))</f>
        <v/>
      </c>
      <c r="P97" s="14" t="str">
        <f t="shared" si="12"/>
        <v/>
      </c>
      <c r="Q97" s="14" t="str">
        <f t="shared" si="13"/>
        <v/>
      </c>
      <c r="R97" s="2"/>
      <c r="S97" s="2"/>
      <c r="T97" s="3"/>
      <c r="U97" s="14" t="str">
        <f t="shared" si="14"/>
        <v/>
      </c>
      <c r="V97" s="14" t="str">
        <f t="shared" si="15"/>
        <v/>
      </c>
      <c r="W97" s="15" t="str">
        <f t="shared" si="16"/>
        <v/>
      </c>
      <c r="X97" s="12" t="str">
        <f t="shared" si="17"/>
        <v/>
      </c>
      <c r="Y97" s="2"/>
      <c r="Z97" s="3"/>
      <c r="AA97" s="3"/>
      <c r="AB97" s="3"/>
      <c r="AC97" s="14" t="str">
        <f t="shared" si="18"/>
        <v/>
      </c>
      <c r="AD97" s="14" t="str">
        <f t="shared" si="19"/>
        <v/>
      </c>
    </row>
    <row r="98" spans="1:30">
      <c r="A98">
        <f t="shared" si="10"/>
        <v>95</v>
      </c>
      <c r="B98" s="2"/>
      <c r="C98" s="18"/>
      <c r="D98" s="2"/>
      <c r="E98" s="2"/>
      <c r="F98" s="3"/>
      <c r="G98" s="16"/>
      <c r="H98" s="16"/>
      <c r="I98" s="17" t="str">
        <f t="shared" ca="1" si="11"/>
        <v/>
      </c>
      <c r="J98" s="13" t="str">
        <f>IF(F98="","",'GİDER AYARLARI'!$B$4)</f>
        <v/>
      </c>
      <c r="K98" s="13" t="str">
        <f>IF(F98="","",'GİDER AYARLARI'!$B$5)</f>
        <v/>
      </c>
      <c r="L98" s="13" t="str">
        <f>IF(F98="","",'GİDER AYARLARI'!$B$6)</f>
        <v/>
      </c>
      <c r="M98" s="13" t="str">
        <f>IF(F98="","",'GİDER AYARLARI'!$B$7)</f>
        <v/>
      </c>
      <c r="N98" s="3"/>
      <c r="O98" s="13" t="str">
        <f ca="1">IF(OR(F98="",I98=""),"",IFERROR(IF(VLOOKUP(E98,'ALIM AYARLARI'!$A$4:$D$20,2,FALSE)="EVET",F98*'GİDER AYARLARI'!$B$8*I98/30,0),0))</f>
        <v/>
      </c>
      <c r="P98" s="14" t="str">
        <f t="shared" si="12"/>
        <v/>
      </c>
      <c r="Q98" s="14" t="str">
        <f t="shared" si="13"/>
        <v/>
      </c>
      <c r="R98" s="2"/>
      <c r="S98" s="2"/>
      <c r="T98" s="3"/>
      <c r="U98" s="14" t="str">
        <f t="shared" si="14"/>
        <v/>
      </c>
      <c r="V98" s="14" t="str">
        <f t="shared" si="15"/>
        <v/>
      </c>
      <c r="W98" s="15" t="str">
        <f t="shared" si="16"/>
        <v/>
      </c>
      <c r="X98" s="12" t="str">
        <f t="shared" si="17"/>
        <v/>
      </c>
      <c r="Y98" s="2"/>
      <c r="Z98" s="3"/>
      <c r="AA98" s="3"/>
      <c r="AB98" s="3"/>
      <c r="AC98" s="14" t="str">
        <f t="shared" si="18"/>
        <v/>
      </c>
      <c r="AD98" s="14" t="str">
        <f t="shared" si="19"/>
        <v/>
      </c>
    </row>
    <row r="99" spans="1:30">
      <c r="A99">
        <f t="shared" si="10"/>
        <v>96</v>
      </c>
      <c r="B99" s="2"/>
      <c r="C99" s="18"/>
      <c r="D99" s="2"/>
      <c r="E99" s="2"/>
      <c r="F99" s="3"/>
      <c r="G99" s="16"/>
      <c r="H99" s="16"/>
      <c r="I99" s="17" t="str">
        <f t="shared" ca="1" si="11"/>
        <v/>
      </c>
      <c r="J99" s="13" t="str">
        <f>IF(F99="","",'GİDER AYARLARI'!$B$4)</f>
        <v/>
      </c>
      <c r="K99" s="13" t="str">
        <f>IF(F99="","",'GİDER AYARLARI'!$B$5)</f>
        <v/>
      </c>
      <c r="L99" s="13" t="str">
        <f>IF(F99="","",'GİDER AYARLARI'!$B$6)</f>
        <v/>
      </c>
      <c r="M99" s="13" t="str">
        <f>IF(F99="","",'GİDER AYARLARI'!$B$7)</f>
        <v/>
      </c>
      <c r="N99" s="3"/>
      <c r="O99" s="13" t="str">
        <f ca="1">IF(OR(F99="",I99=""),"",IFERROR(IF(VLOOKUP(E99,'ALIM AYARLARI'!$A$4:$D$20,2,FALSE)="EVET",F99*'GİDER AYARLARI'!$B$8*I99/30,0),0))</f>
        <v/>
      </c>
      <c r="P99" s="14" t="str">
        <f t="shared" si="12"/>
        <v/>
      </c>
      <c r="Q99" s="14" t="str">
        <f t="shared" si="13"/>
        <v/>
      </c>
      <c r="R99" s="2"/>
      <c r="S99" s="2"/>
      <c r="T99" s="3"/>
      <c r="U99" s="14" t="str">
        <f t="shared" si="14"/>
        <v/>
      </c>
      <c r="V99" s="14" t="str">
        <f t="shared" si="15"/>
        <v/>
      </c>
      <c r="W99" s="15" t="str">
        <f t="shared" si="16"/>
        <v/>
      </c>
      <c r="X99" s="12" t="str">
        <f t="shared" si="17"/>
        <v/>
      </c>
      <c r="Y99" s="2"/>
      <c r="Z99" s="3"/>
      <c r="AA99" s="3"/>
      <c r="AB99" s="3"/>
      <c r="AC99" s="14" t="str">
        <f t="shared" si="18"/>
        <v/>
      </c>
      <c r="AD99" s="14" t="str">
        <f t="shared" si="19"/>
        <v/>
      </c>
    </row>
    <row r="100" spans="1:30">
      <c r="A100">
        <f t="shared" si="10"/>
        <v>97</v>
      </c>
      <c r="B100" s="2"/>
      <c r="C100" s="18"/>
      <c r="D100" s="2"/>
      <c r="E100" s="2"/>
      <c r="F100" s="3"/>
      <c r="G100" s="16"/>
      <c r="H100" s="16"/>
      <c r="I100" s="17" t="str">
        <f t="shared" ca="1" si="11"/>
        <v/>
      </c>
      <c r="J100" s="13" t="str">
        <f>IF(F100="","",'GİDER AYARLARI'!$B$4)</f>
        <v/>
      </c>
      <c r="K100" s="13" t="str">
        <f>IF(F100="","",'GİDER AYARLARI'!$B$5)</f>
        <v/>
      </c>
      <c r="L100" s="13" t="str">
        <f>IF(F100="","",'GİDER AYARLARI'!$B$6)</f>
        <v/>
      </c>
      <c r="M100" s="13" t="str">
        <f>IF(F100="","",'GİDER AYARLARI'!$B$7)</f>
        <v/>
      </c>
      <c r="N100" s="3"/>
      <c r="O100" s="13" t="str">
        <f ca="1">IF(OR(F100="",I100=""),"",IFERROR(IF(VLOOKUP(E100,'ALIM AYARLARI'!$A$4:$D$20,2,FALSE)="EVET",F100*'GİDER AYARLARI'!$B$8*I100/30,0),0))</f>
        <v/>
      </c>
      <c r="P100" s="14" t="str">
        <f t="shared" si="12"/>
        <v/>
      </c>
      <c r="Q100" s="14" t="str">
        <f t="shared" si="13"/>
        <v/>
      </c>
      <c r="R100" s="2"/>
      <c r="S100" s="2"/>
      <c r="T100" s="3"/>
      <c r="U100" s="14" t="str">
        <f t="shared" si="14"/>
        <v/>
      </c>
      <c r="V100" s="14" t="str">
        <f t="shared" si="15"/>
        <v/>
      </c>
      <c r="W100" s="15" t="str">
        <f t="shared" si="16"/>
        <v/>
      </c>
      <c r="X100" s="12" t="str">
        <f t="shared" si="17"/>
        <v/>
      </c>
      <c r="Y100" s="2"/>
      <c r="Z100" s="3"/>
      <c r="AA100" s="3"/>
      <c r="AB100" s="3"/>
      <c r="AC100" s="14" t="str">
        <f t="shared" si="18"/>
        <v/>
      </c>
      <c r="AD100" s="14" t="str">
        <f t="shared" si="19"/>
        <v/>
      </c>
    </row>
    <row r="101" spans="1:30">
      <c r="A101">
        <f t="shared" si="10"/>
        <v>98</v>
      </c>
      <c r="B101" s="2"/>
      <c r="C101" s="18"/>
      <c r="D101" s="2"/>
      <c r="E101" s="2"/>
      <c r="F101" s="3"/>
      <c r="G101" s="16"/>
      <c r="H101" s="16"/>
      <c r="I101" s="17" t="str">
        <f t="shared" ca="1" si="11"/>
        <v/>
      </c>
      <c r="J101" s="13" t="str">
        <f>IF(F101="","",'GİDER AYARLARI'!$B$4)</f>
        <v/>
      </c>
      <c r="K101" s="13" t="str">
        <f>IF(F101="","",'GİDER AYARLARI'!$B$5)</f>
        <v/>
      </c>
      <c r="L101" s="13" t="str">
        <f>IF(F101="","",'GİDER AYARLARI'!$B$6)</f>
        <v/>
      </c>
      <c r="M101" s="13" t="str">
        <f>IF(F101="","",'GİDER AYARLARI'!$B$7)</f>
        <v/>
      </c>
      <c r="N101" s="3"/>
      <c r="O101" s="13" t="str">
        <f ca="1">IF(OR(F101="",I101=""),"",IFERROR(IF(VLOOKUP(E101,'ALIM AYARLARI'!$A$4:$D$20,2,FALSE)="EVET",F101*'GİDER AYARLARI'!$B$8*I101/30,0),0))</f>
        <v/>
      </c>
      <c r="P101" s="14" t="str">
        <f t="shared" si="12"/>
        <v/>
      </c>
      <c r="Q101" s="14" t="str">
        <f t="shared" si="13"/>
        <v/>
      </c>
      <c r="R101" s="2"/>
      <c r="S101" s="2"/>
      <c r="T101" s="3"/>
      <c r="U101" s="14" t="str">
        <f t="shared" si="14"/>
        <v/>
      </c>
      <c r="V101" s="14" t="str">
        <f t="shared" si="15"/>
        <v/>
      </c>
      <c r="W101" s="15" t="str">
        <f t="shared" si="16"/>
        <v/>
      </c>
      <c r="X101" s="12" t="str">
        <f t="shared" si="17"/>
        <v/>
      </c>
      <c r="Y101" s="2"/>
      <c r="Z101" s="3"/>
      <c r="AA101" s="3"/>
      <c r="AB101" s="3"/>
      <c r="AC101" s="14" t="str">
        <f t="shared" si="18"/>
        <v/>
      </c>
      <c r="AD101" s="14" t="str">
        <f t="shared" si="19"/>
        <v/>
      </c>
    </row>
    <row r="102" spans="1:30">
      <c r="A102">
        <f t="shared" si="10"/>
        <v>99</v>
      </c>
      <c r="B102" s="2"/>
      <c r="C102" s="18"/>
      <c r="D102" s="2"/>
      <c r="E102" s="2"/>
      <c r="F102" s="3"/>
      <c r="G102" s="16"/>
      <c r="H102" s="16"/>
      <c r="I102" s="17" t="str">
        <f t="shared" ca="1" si="11"/>
        <v/>
      </c>
      <c r="J102" s="13" t="str">
        <f>IF(F102="","",'GİDER AYARLARI'!$B$4)</f>
        <v/>
      </c>
      <c r="K102" s="13" t="str">
        <f>IF(F102="","",'GİDER AYARLARI'!$B$5)</f>
        <v/>
      </c>
      <c r="L102" s="13" t="str">
        <f>IF(F102="","",'GİDER AYARLARI'!$B$6)</f>
        <v/>
      </c>
      <c r="M102" s="13" t="str">
        <f>IF(F102="","",'GİDER AYARLARI'!$B$7)</f>
        <v/>
      </c>
      <c r="N102" s="3"/>
      <c r="O102" s="13" t="str">
        <f ca="1">IF(OR(F102="",I102=""),"",IFERROR(IF(VLOOKUP(E102,'ALIM AYARLARI'!$A$4:$D$20,2,FALSE)="EVET",F102*'GİDER AYARLARI'!$B$8*I102/30,0),0))</f>
        <v/>
      </c>
      <c r="P102" s="14" t="str">
        <f t="shared" si="12"/>
        <v/>
      </c>
      <c r="Q102" s="14" t="str">
        <f t="shared" si="13"/>
        <v/>
      </c>
      <c r="R102" s="2"/>
      <c r="S102" s="2"/>
      <c r="T102" s="3"/>
      <c r="U102" s="14" t="str">
        <f t="shared" si="14"/>
        <v/>
      </c>
      <c r="V102" s="14" t="str">
        <f t="shared" si="15"/>
        <v/>
      </c>
      <c r="W102" s="15" t="str">
        <f t="shared" si="16"/>
        <v/>
      </c>
      <c r="X102" s="12" t="str">
        <f t="shared" si="17"/>
        <v/>
      </c>
      <c r="Y102" s="2"/>
      <c r="Z102" s="3"/>
      <c r="AA102" s="3"/>
      <c r="AB102" s="3"/>
      <c r="AC102" s="14" t="str">
        <f t="shared" si="18"/>
        <v/>
      </c>
      <c r="AD102" s="14" t="str">
        <f t="shared" si="19"/>
        <v/>
      </c>
    </row>
    <row r="103" spans="1:30">
      <c r="A103">
        <f t="shared" si="10"/>
        <v>100</v>
      </c>
      <c r="B103" s="2"/>
      <c r="C103" s="18"/>
      <c r="D103" s="2"/>
      <c r="E103" s="2"/>
      <c r="F103" s="3"/>
      <c r="G103" s="16"/>
      <c r="H103" s="16"/>
      <c r="I103" s="17" t="str">
        <f t="shared" ca="1" si="11"/>
        <v/>
      </c>
      <c r="J103" s="13" t="str">
        <f>IF(F103="","",'GİDER AYARLARI'!$B$4)</f>
        <v/>
      </c>
      <c r="K103" s="13" t="str">
        <f>IF(F103="","",'GİDER AYARLARI'!$B$5)</f>
        <v/>
      </c>
      <c r="L103" s="13" t="str">
        <f>IF(F103="","",'GİDER AYARLARI'!$B$6)</f>
        <v/>
      </c>
      <c r="M103" s="13" t="str">
        <f>IF(F103="","",'GİDER AYARLARI'!$B$7)</f>
        <v/>
      </c>
      <c r="N103" s="3"/>
      <c r="O103" s="13" t="str">
        <f ca="1">IF(OR(F103="",I103=""),"",IFERROR(IF(VLOOKUP(E103,'ALIM AYARLARI'!$A$4:$D$20,2,FALSE)="EVET",F103*'GİDER AYARLARI'!$B$8*I103/30,0),0))</f>
        <v/>
      </c>
      <c r="P103" s="14" t="str">
        <f t="shared" si="12"/>
        <v/>
      </c>
      <c r="Q103" s="14" t="str">
        <f t="shared" si="13"/>
        <v/>
      </c>
      <c r="R103" s="2"/>
      <c r="S103" s="2"/>
      <c r="T103" s="3"/>
      <c r="U103" s="14" t="str">
        <f t="shared" si="14"/>
        <v/>
      </c>
      <c r="V103" s="14" t="str">
        <f t="shared" si="15"/>
        <v/>
      </c>
      <c r="W103" s="15" t="str">
        <f t="shared" si="16"/>
        <v/>
      </c>
      <c r="X103" s="12" t="str">
        <f t="shared" si="17"/>
        <v/>
      </c>
      <c r="Y103" s="2"/>
      <c r="Z103" s="3"/>
      <c r="AA103" s="3"/>
      <c r="AB103" s="3"/>
      <c r="AC103" s="14" t="str">
        <f t="shared" si="18"/>
        <v/>
      </c>
      <c r="AD103" s="14" t="str">
        <f t="shared" si="19"/>
        <v/>
      </c>
    </row>
    <row r="104" spans="1:30">
      <c r="A104">
        <f t="shared" si="10"/>
        <v>101</v>
      </c>
      <c r="B104" s="2"/>
      <c r="C104" s="18"/>
      <c r="D104" s="2"/>
      <c r="E104" s="2"/>
      <c r="F104" s="3"/>
      <c r="G104" s="16"/>
      <c r="H104" s="16"/>
      <c r="I104" s="17" t="str">
        <f t="shared" ca="1" si="11"/>
        <v/>
      </c>
      <c r="J104" s="13" t="str">
        <f>IF(F104="","",'GİDER AYARLARI'!$B$4)</f>
        <v/>
      </c>
      <c r="K104" s="13" t="str">
        <f>IF(F104="","",'GİDER AYARLARI'!$B$5)</f>
        <v/>
      </c>
      <c r="L104" s="13" t="str">
        <f>IF(F104="","",'GİDER AYARLARI'!$B$6)</f>
        <v/>
      </c>
      <c r="M104" s="13" t="str">
        <f>IF(F104="","",'GİDER AYARLARI'!$B$7)</f>
        <v/>
      </c>
      <c r="N104" s="3"/>
      <c r="O104" s="13" t="str">
        <f ca="1">IF(OR(F104="",I104=""),"",IFERROR(IF(VLOOKUP(E104,'ALIM AYARLARI'!$A$4:$D$20,2,FALSE)="EVET",F104*'GİDER AYARLARI'!$B$8*I104/30,0),0))</f>
        <v/>
      </c>
      <c r="P104" s="14" t="str">
        <f t="shared" si="12"/>
        <v/>
      </c>
      <c r="Q104" s="14" t="str">
        <f t="shared" si="13"/>
        <v/>
      </c>
      <c r="R104" s="2"/>
      <c r="S104" s="2"/>
      <c r="T104" s="3"/>
      <c r="U104" s="14" t="str">
        <f t="shared" si="14"/>
        <v/>
      </c>
      <c r="V104" s="14" t="str">
        <f t="shared" si="15"/>
        <v/>
      </c>
      <c r="W104" s="15" t="str">
        <f t="shared" si="16"/>
        <v/>
      </c>
      <c r="X104" s="12" t="str">
        <f t="shared" si="17"/>
        <v/>
      </c>
      <c r="Y104" s="2"/>
      <c r="Z104" s="3"/>
      <c r="AA104" s="3"/>
      <c r="AB104" s="3"/>
      <c r="AC104" s="14" t="str">
        <f t="shared" si="18"/>
        <v/>
      </c>
      <c r="AD104" s="14" t="str">
        <f t="shared" si="19"/>
        <v/>
      </c>
    </row>
    <row r="105" spans="1:30">
      <c r="A105">
        <f t="shared" si="10"/>
        <v>102</v>
      </c>
      <c r="B105" s="2"/>
      <c r="C105" s="18"/>
      <c r="D105" s="2"/>
      <c r="E105" s="2"/>
      <c r="F105" s="3"/>
      <c r="G105" s="16"/>
      <c r="H105" s="16"/>
      <c r="I105" s="17" t="str">
        <f t="shared" ca="1" si="11"/>
        <v/>
      </c>
      <c r="J105" s="13" t="str">
        <f>IF(F105="","",'GİDER AYARLARI'!$B$4)</f>
        <v/>
      </c>
      <c r="K105" s="13" t="str">
        <f>IF(F105="","",'GİDER AYARLARI'!$B$5)</f>
        <v/>
      </c>
      <c r="L105" s="13" t="str">
        <f>IF(F105="","",'GİDER AYARLARI'!$B$6)</f>
        <v/>
      </c>
      <c r="M105" s="13" t="str">
        <f>IF(F105="","",'GİDER AYARLARI'!$B$7)</f>
        <v/>
      </c>
      <c r="N105" s="3"/>
      <c r="O105" s="13" t="str">
        <f ca="1">IF(OR(F105="",I105=""),"",IFERROR(IF(VLOOKUP(E105,'ALIM AYARLARI'!$A$4:$D$20,2,FALSE)="EVET",F105*'GİDER AYARLARI'!$B$8*I105/30,0),0))</f>
        <v/>
      </c>
      <c r="P105" s="14" t="str">
        <f t="shared" si="12"/>
        <v/>
      </c>
      <c r="Q105" s="14" t="str">
        <f t="shared" si="13"/>
        <v/>
      </c>
      <c r="R105" s="2"/>
      <c r="S105" s="2"/>
      <c r="T105" s="3"/>
      <c r="U105" s="14" t="str">
        <f t="shared" si="14"/>
        <v/>
      </c>
      <c r="V105" s="14" t="str">
        <f t="shared" si="15"/>
        <v/>
      </c>
      <c r="W105" s="15" t="str">
        <f t="shared" si="16"/>
        <v/>
      </c>
      <c r="X105" s="12" t="str">
        <f t="shared" si="17"/>
        <v/>
      </c>
      <c r="Y105" s="2"/>
      <c r="Z105" s="3"/>
      <c r="AA105" s="3"/>
      <c r="AB105" s="3"/>
      <c r="AC105" s="14" t="str">
        <f t="shared" si="18"/>
        <v/>
      </c>
      <c r="AD105" s="14" t="str">
        <f t="shared" si="19"/>
        <v/>
      </c>
    </row>
    <row r="106" spans="1:30">
      <c r="A106">
        <f t="shared" si="10"/>
        <v>103</v>
      </c>
      <c r="B106" s="2"/>
      <c r="C106" s="18"/>
      <c r="D106" s="2"/>
      <c r="E106" s="2"/>
      <c r="F106" s="3"/>
      <c r="G106" s="16"/>
      <c r="H106" s="16"/>
      <c r="I106" s="17" t="str">
        <f t="shared" ca="1" si="11"/>
        <v/>
      </c>
      <c r="J106" s="13" t="str">
        <f>IF(F106="","",'GİDER AYARLARI'!$B$4)</f>
        <v/>
      </c>
      <c r="K106" s="13" t="str">
        <f>IF(F106="","",'GİDER AYARLARI'!$B$5)</f>
        <v/>
      </c>
      <c r="L106" s="13" t="str">
        <f>IF(F106="","",'GİDER AYARLARI'!$B$6)</f>
        <v/>
      </c>
      <c r="M106" s="13" t="str">
        <f>IF(F106="","",'GİDER AYARLARI'!$B$7)</f>
        <v/>
      </c>
      <c r="N106" s="3"/>
      <c r="O106" s="13" t="str">
        <f ca="1">IF(OR(F106="",I106=""),"",IFERROR(IF(VLOOKUP(E106,'ALIM AYARLARI'!$A$4:$D$20,2,FALSE)="EVET",F106*'GİDER AYARLARI'!$B$8*I106/30,0),0))</f>
        <v/>
      </c>
      <c r="P106" s="14" t="str">
        <f t="shared" si="12"/>
        <v/>
      </c>
      <c r="Q106" s="14" t="str">
        <f t="shared" si="13"/>
        <v/>
      </c>
      <c r="R106" s="2"/>
      <c r="S106" s="2"/>
      <c r="T106" s="3"/>
      <c r="U106" s="14" t="str">
        <f t="shared" si="14"/>
        <v/>
      </c>
      <c r="V106" s="14" t="str">
        <f t="shared" si="15"/>
        <v/>
      </c>
      <c r="W106" s="15" t="str">
        <f t="shared" si="16"/>
        <v/>
      </c>
      <c r="X106" s="12" t="str">
        <f t="shared" si="17"/>
        <v/>
      </c>
      <c r="Y106" s="2"/>
      <c r="Z106" s="3"/>
      <c r="AA106" s="3"/>
      <c r="AB106" s="3"/>
      <c r="AC106" s="14" t="str">
        <f t="shared" si="18"/>
        <v/>
      </c>
      <c r="AD106" s="14" t="str">
        <f t="shared" si="19"/>
        <v/>
      </c>
    </row>
    <row r="107" spans="1:30">
      <c r="A107">
        <f t="shared" si="10"/>
        <v>104</v>
      </c>
      <c r="B107" s="2"/>
      <c r="C107" s="18"/>
      <c r="D107" s="2"/>
      <c r="E107" s="2"/>
      <c r="F107" s="3"/>
      <c r="G107" s="16"/>
      <c r="H107" s="16"/>
      <c r="I107" s="17" t="str">
        <f t="shared" ca="1" si="11"/>
        <v/>
      </c>
      <c r="J107" s="13" t="str">
        <f>IF(F107="","",'GİDER AYARLARI'!$B$4)</f>
        <v/>
      </c>
      <c r="K107" s="13" t="str">
        <f>IF(F107="","",'GİDER AYARLARI'!$B$5)</f>
        <v/>
      </c>
      <c r="L107" s="13" t="str">
        <f>IF(F107="","",'GİDER AYARLARI'!$B$6)</f>
        <v/>
      </c>
      <c r="M107" s="13" t="str">
        <f>IF(F107="","",'GİDER AYARLARI'!$B$7)</f>
        <v/>
      </c>
      <c r="N107" s="3"/>
      <c r="O107" s="13" t="str">
        <f ca="1">IF(OR(F107="",I107=""),"",IFERROR(IF(VLOOKUP(E107,'ALIM AYARLARI'!$A$4:$D$20,2,FALSE)="EVET",F107*'GİDER AYARLARI'!$B$8*I107/30,0),0))</f>
        <v/>
      </c>
      <c r="P107" s="14" t="str">
        <f t="shared" si="12"/>
        <v/>
      </c>
      <c r="Q107" s="14" t="str">
        <f t="shared" si="13"/>
        <v/>
      </c>
      <c r="R107" s="2"/>
      <c r="S107" s="2"/>
      <c r="T107" s="3"/>
      <c r="U107" s="14" t="str">
        <f t="shared" si="14"/>
        <v/>
      </c>
      <c r="V107" s="14" t="str">
        <f t="shared" si="15"/>
        <v/>
      </c>
      <c r="W107" s="15" t="str">
        <f t="shared" si="16"/>
        <v/>
      </c>
      <c r="X107" s="12" t="str">
        <f t="shared" si="17"/>
        <v/>
      </c>
      <c r="Y107" s="2"/>
      <c r="Z107" s="3"/>
      <c r="AA107" s="3"/>
      <c r="AB107" s="3"/>
      <c r="AC107" s="14" t="str">
        <f t="shared" si="18"/>
        <v/>
      </c>
      <c r="AD107" s="14" t="str">
        <f t="shared" si="19"/>
        <v/>
      </c>
    </row>
    <row r="108" spans="1:30">
      <c r="A108">
        <f t="shared" si="10"/>
        <v>105</v>
      </c>
      <c r="B108" s="2"/>
      <c r="C108" s="18"/>
      <c r="D108" s="2"/>
      <c r="E108" s="2"/>
      <c r="F108" s="3"/>
      <c r="G108" s="16"/>
      <c r="H108" s="16"/>
      <c r="I108" s="17" t="str">
        <f t="shared" ca="1" si="11"/>
        <v/>
      </c>
      <c r="J108" s="13" t="str">
        <f>IF(F108="","",'GİDER AYARLARI'!$B$4)</f>
        <v/>
      </c>
      <c r="K108" s="13" t="str">
        <f>IF(F108="","",'GİDER AYARLARI'!$B$5)</f>
        <v/>
      </c>
      <c r="L108" s="13" t="str">
        <f>IF(F108="","",'GİDER AYARLARI'!$B$6)</f>
        <v/>
      </c>
      <c r="M108" s="13" t="str">
        <f>IF(F108="","",'GİDER AYARLARI'!$B$7)</f>
        <v/>
      </c>
      <c r="N108" s="3"/>
      <c r="O108" s="13" t="str">
        <f ca="1">IF(OR(F108="",I108=""),"",IFERROR(IF(VLOOKUP(E108,'ALIM AYARLARI'!$A$4:$D$20,2,FALSE)="EVET",F108*'GİDER AYARLARI'!$B$8*I108/30,0),0))</f>
        <v/>
      </c>
      <c r="P108" s="14" t="str">
        <f t="shared" si="12"/>
        <v/>
      </c>
      <c r="Q108" s="14" t="str">
        <f t="shared" si="13"/>
        <v/>
      </c>
      <c r="R108" s="2"/>
      <c r="S108" s="2"/>
      <c r="T108" s="3"/>
      <c r="U108" s="14" t="str">
        <f t="shared" si="14"/>
        <v/>
      </c>
      <c r="V108" s="14" t="str">
        <f t="shared" si="15"/>
        <v/>
      </c>
      <c r="W108" s="15" t="str">
        <f t="shared" si="16"/>
        <v/>
      </c>
      <c r="X108" s="12" t="str">
        <f t="shared" si="17"/>
        <v/>
      </c>
      <c r="Y108" s="2"/>
      <c r="Z108" s="3"/>
      <c r="AA108" s="3"/>
      <c r="AB108" s="3"/>
      <c r="AC108" s="14" t="str">
        <f t="shared" si="18"/>
        <v/>
      </c>
      <c r="AD108" s="14" t="str">
        <f t="shared" si="19"/>
        <v/>
      </c>
    </row>
    <row r="109" spans="1:30">
      <c r="A109">
        <f t="shared" si="10"/>
        <v>106</v>
      </c>
      <c r="B109" s="2"/>
      <c r="C109" s="18"/>
      <c r="D109" s="2"/>
      <c r="E109" s="2"/>
      <c r="F109" s="3"/>
      <c r="G109" s="16"/>
      <c r="H109" s="16"/>
      <c r="I109" s="17" t="str">
        <f t="shared" ca="1" si="11"/>
        <v/>
      </c>
      <c r="J109" s="13" t="str">
        <f>IF(F109="","",'GİDER AYARLARI'!$B$4)</f>
        <v/>
      </c>
      <c r="K109" s="13" t="str">
        <f>IF(F109="","",'GİDER AYARLARI'!$B$5)</f>
        <v/>
      </c>
      <c r="L109" s="13" t="str">
        <f>IF(F109="","",'GİDER AYARLARI'!$B$6)</f>
        <v/>
      </c>
      <c r="M109" s="13" t="str">
        <f>IF(F109="","",'GİDER AYARLARI'!$B$7)</f>
        <v/>
      </c>
      <c r="N109" s="3"/>
      <c r="O109" s="13" t="str">
        <f ca="1">IF(OR(F109="",I109=""),"",IFERROR(IF(VLOOKUP(E109,'ALIM AYARLARI'!$A$4:$D$20,2,FALSE)="EVET",F109*'GİDER AYARLARI'!$B$8*I109/30,0),0))</f>
        <v/>
      </c>
      <c r="P109" s="14" t="str">
        <f t="shared" si="12"/>
        <v/>
      </c>
      <c r="Q109" s="14" t="str">
        <f t="shared" si="13"/>
        <v/>
      </c>
      <c r="R109" s="2"/>
      <c r="S109" s="2"/>
      <c r="T109" s="3"/>
      <c r="U109" s="14" t="str">
        <f t="shared" si="14"/>
        <v/>
      </c>
      <c r="V109" s="14" t="str">
        <f t="shared" si="15"/>
        <v/>
      </c>
      <c r="W109" s="15" t="str">
        <f t="shared" si="16"/>
        <v/>
      </c>
      <c r="X109" s="12" t="str">
        <f t="shared" si="17"/>
        <v/>
      </c>
      <c r="Y109" s="2"/>
      <c r="Z109" s="3"/>
      <c r="AA109" s="3"/>
      <c r="AB109" s="3"/>
      <c r="AC109" s="14" t="str">
        <f t="shared" si="18"/>
        <v/>
      </c>
      <c r="AD109" s="14" t="str">
        <f t="shared" si="19"/>
        <v/>
      </c>
    </row>
    <row r="110" spans="1:30">
      <c r="A110">
        <f t="shared" si="10"/>
        <v>107</v>
      </c>
      <c r="B110" s="2"/>
      <c r="C110" s="18"/>
      <c r="D110" s="2"/>
      <c r="E110" s="2"/>
      <c r="F110" s="3"/>
      <c r="G110" s="16"/>
      <c r="H110" s="16"/>
      <c r="I110" s="17" t="str">
        <f t="shared" ca="1" si="11"/>
        <v/>
      </c>
      <c r="J110" s="13" t="str">
        <f>IF(F110="","",'GİDER AYARLARI'!$B$4)</f>
        <v/>
      </c>
      <c r="K110" s="13" t="str">
        <f>IF(F110="","",'GİDER AYARLARI'!$B$5)</f>
        <v/>
      </c>
      <c r="L110" s="13" t="str">
        <f>IF(F110="","",'GİDER AYARLARI'!$B$6)</f>
        <v/>
      </c>
      <c r="M110" s="13" t="str">
        <f>IF(F110="","",'GİDER AYARLARI'!$B$7)</f>
        <v/>
      </c>
      <c r="N110" s="3"/>
      <c r="O110" s="13" t="str">
        <f ca="1">IF(OR(F110="",I110=""),"",IFERROR(IF(VLOOKUP(E110,'ALIM AYARLARI'!$A$4:$D$20,2,FALSE)="EVET",F110*'GİDER AYARLARI'!$B$8*I110/30,0),0))</f>
        <v/>
      </c>
      <c r="P110" s="14" t="str">
        <f t="shared" si="12"/>
        <v/>
      </c>
      <c r="Q110" s="14" t="str">
        <f t="shared" si="13"/>
        <v/>
      </c>
      <c r="R110" s="2"/>
      <c r="S110" s="2"/>
      <c r="T110" s="3"/>
      <c r="U110" s="14" t="str">
        <f t="shared" si="14"/>
        <v/>
      </c>
      <c r="V110" s="14" t="str">
        <f t="shared" si="15"/>
        <v/>
      </c>
      <c r="W110" s="15" t="str">
        <f t="shared" si="16"/>
        <v/>
      </c>
      <c r="X110" s="12" t="str">
        <f t="shared" si="17"/>
        <v/>
      </c>
      <c r="Y110" s="2"/>
      <c r="Z110" s="3"/>
      <c r="AA110" s="3"/>
      <c r="AB110" s="3"/>
      <c r="AC110" s="14" t="str">
        <f t="shared" si="18"/>
        <v/>
      </c>
      <c r="AD110" s="14" t="str">
        <f t="shared" si="19"/>
        <v/>
      </c>
    </row>
    <row r="111" spans="1:30">
      <c r="A111">
        <f t="shared" si="10"/>
        <v>108</v>
      </c>
      <c r="B111" s="2"/>
      <c r="C111" s="18"/>
      <c r="D111" s="2"/>
      <c r="E111" s="2"/>
      <c r="F111" s="3"/>
      <c r="G111" s="16"/>
      <c r="H111" s="16"/>
      <c r="I111" s="17" t="str">
        <f t="shared" ca="1" si="11"/>
        <v/>
      </c>
      <c r="J111" s="13" t="str">
        <f>IF(F111="","",'GİDER AYARLARI'!$B$4)</f>
        <v/>
      </c>
      <c r="K111" s="13" t="str">
        <f>IF(F111="","",'GİDER AYARLARI'!$B$5)</f>
        <v/>
      </c>
      <c r="L111" s="13" t="str">
        <f>IF(F111="","",'GİDER AYARLARI'!$B$6)</f>
        <v/>
      </c>
      <c r="M111" s="13" t="str">
        <f>IF(F111="","",'GİDER AYARLARI'!$B$7)</f>
        <v/>
      </c>
      <c r="N111" s="3"/>
      <c r="O111" s="13" t="str">
        <f ca="1">IF(OR(F111="",I111=""),"",IFERROR(IF(VLOOKUP(E111,'ALIM AYARLARI'!$A$4:$D$20,2,FALSE)="EVET",F111*'GİDER AYARLARI'!$B$8*I111/30,0),0))</f>
        <v/>
      </c>
      <c r="P111" s="14" t="str">
        <f t="shared" si="12"/>
        <v/>
      </c>
      <c r="Q111" s="14" t="str">
        <f t="shared" si="13"/>
        <v/>
      </c>
      <c r="R111" s="2"/>
      <c r="S111" s="2"/>
      <c r="T111" s="3"/>
      <c r="U111" s="14" t="str">
        <f t="shared" si="14"/>
        <v/>
      </c>
      <c r="V111" s="14" t="str">
        <f t="shared" si="15"/>
        <v/>
      </c>
      <c r="W111" s="15" t="str">
        <f t="shared" si="16"/>
        <v/>
      </c>
      <c r="X111" s="12" t="str">
        <f t="shared" si="17"/>
        <v/>
      </c>
      <c r="Y111" s="2"/>
      <c r="Z111" s="3"/>
      <c r="AA111" s="3"/>
      <c r="AB111" s="3"/>
      <c r="AC111" s="14" t="str">
        <f t="shared" si="18"/>
        <v/>
      </c>
      <c r="AD111" s="14" t="str">
        <f t="shared" si="19"/>
        <v/>
      </c>
    </row>
    <row r="112" spans="1:30">
      <c r="A112">
        <f t="shared" si="10"/>
        <v>109</v>
      </c>
      <c r="B112" s="2"/>
      <c r="C112" s="18"/>
      <c r="D112" s="2"/>
      <c r="E112" s="2"/>
      <c r="F112" s="3"/>
      <c r="G112" s="16"/>
      <c r="H112" s="16"/>
      <c r="I112" s="17" t="str">
        <f t="shared" ca="1" si="11"/>
        <v/>
      </c>
      <c r="J112" s="13" t="str">
        <f>IF(F112="","",'GİDER AYARLARI'!$B$4)</f>
        <v/>
      </c>
      <c r="K112" s="13" t="str">
        <f>IF(F112="","",'GİDER AYARLARI'!$B$5)</f>
        <v/>
      </c>
      <c r="L112" s="13" t="str">
        <f>IF(F112="","",'GİDER AYARLARI'!$B$6)</f>
        <v/>
      </c>
      <c r="M112" s="13" t="str">
        <f>IF(F112="","",'GİDER AYARLARI'!$B$7)</f>
        <v/>
      </c>
      <c r="N112" s="3"/>
      <c r="O112" s="13" t="str">
        <f ca="1">IF(OR(F112="",I112=""),"",IFERROR(IF(VLOOKUP(E112,'ALIM AYARLARI'!$A$4:$D$20,2,FALSE)="EVET",F112*'GİDER AYARLARI'!$B$8*I112/30,0),0))</f>
        <v/>
      </c>
      <c r="P112" s="14" t="str">
        <f t="shared" si="12"/>
        <v/>
      </c>
      <c r="Q112" s="14" t="str">
        <f t="shared" si="13"/>
        <v/>
      </c>
      <c r="R112" s="2"/>
      <c r="S112" s="2"/>
      <c r="T112" s="3"/>
      <c r="U112" s="14" t="str">
        <f t="shared" si="14"/>
        <v/>
      </c>
      <c r="V112" s="14" t="str">
        <f t="shared" si="15"/>
        <v/>
      </c>
      <c r="W112" s="15" t="str">
        <f t="shared" si="16"/>
        <v/>
      </c>
      <c r="X112" s="12" t="str">
        <f t="shared" si="17"/>
        <v/>
      </c>
      <c r="Y112" s="2"/>
      <c r="Z112" s="3"/>
      <c r="AA112" s="3"/>
      <c r="AB112" s="3"/>
      <c r="AC112" s="14" t="str">
        <f t="shared" si="18"/>
        <v/>
      </c>
      <c r="AD112" s="14" t="str">
        <f t="shared" si="19"/>
        <v/>
      </c>
    </row>
    <row r="113" spans="1:30">
      <c r="A113">
        <f t="shared" si="10"/>
        <v>110</v>
      </c>
      <c r="B113" s="2"/>
      <c r="C113" s="18"/>
      <c r="D113" s="2"/>
      <c r="E113" s="2"/>
      <c r="F113" s="3"/>
      <c r="G113" s="16"/>
      <c r="H113" s="16"/>
      <c r="I113" s="17" t="str">
        <f t="shared" ca="1" si="11"/>
        <v/>
      </c>
      <c r="J113" s="13" t="str">
        <f>IF(F113="","",'GİDER AYARLARI'!$B$4)</f>
        <v/>
      </c>
      <c r="K113" s="13" t="str">
        <f>IF(F113="","",'GİDER AYARLARI'!$B$5)</f>
        <v/>
      </c>
      <c r="L113" s="13" t="str">
        <f>IF(F113="","",'GİDER AYARLARI'!$B$6)</f>
        <v/>
      </c>
      <c r="M113" s="13" t="str">
        <f>IF(F113="","",'GİDER AYARLARI'!$B$7)</f>
        <v/>
      </c>
      <c r="N113" s="3"/>
      <c r="O113" s="13" t="str">
        <f ca="1">IF(OR(F113="",I113=""),"",IFERROR(IF(VLOOKUP(E113,'ALIM AYARLARI'!$A$4:$D$20,2,FALSE)="EVET",F113*'GİDER AYARLARI'!$B$8*I113/30,0),0))</f>
        <v/>
      </c>
      <c r="P113" s="14" t="str">
        <f t="shared" si="12"/>
        <v/>
      </c>
      <c r="Q113" s="14" t="str">
        <f t="shared" si="13"/>
        <v/>
      </c>
      <c r="R113" s="2"/>
      <c r="S113" s="2"/>
      <c r="T113" s="3"/>
      <c r="U113" s="14" t="str">
        <f t="shared" si="14"/>
        <v/>
      </c>
      <c r="V113" s="14" t="str">
        <f t="shared" si="15"/>
        <v/>
      </c>
      <c r="W113" s="15" t="str">
        <f t="shared" si="16"/>
        <v/>
      </c>
      <c r="X113" s="12" t="str">
        <f t="shared" si="17"/>
        <v/>
      </c>
      <c r="Y113" s="2"/>
      <c r="Z113" s="3"/>
      <c r="AA113" s="3"/>
      <c r="AB113" s="3"/>
      <c r="AC113" s="14" t="str">
        <f t="shared" si="18"/>
        <v/>
      </c>
      <c r="AD113" s="14" t="str">
        <f t="shared" si="19"/>
        <v/>
      </c>
    </row>
    <row r="114" spans="1:30">
      <c r="A114">
        <f t="shared" si="10"/>
        <v>111</v>
      </c>
      <c r="B114" s="2"/>
      <c r="C114" s="18"/>
      <c r="D114" s="2"/>
      <c r="E114" s="2"/>
      <c r="F114" s="3"/>
      <c r="G114" s="16"/>
      <c r="H114" s="16"/>
      <c r="I114" s="17" t="str">
        <f t="shared" ca="1" si="11"/>
        <v/>
      </c>
      <c r="J114" s="13" t="str">
        <f>IF(F114="","",'GİDER AYARLARI'!$B$4)</f>
        <v/>
      </c>
      <c r="K114" s="13" t="str">
        <f>IF(F114="","",'GİDER AYARLARI'!$B$5)</f>
        <v/>
      </c>
      <c r="L114" s="13" t="str">
        <f>IF(F114="","",'GİDER AYARLARI'!$B$6)</f>
        <v/>
      </c>
      <c r="M114" s="13" t="str">
        <f>IF(F114="","",'GİDER AYARLARI'!$B$7)</f>
        <v/>
      </c>
      <c r="N114" s="3"/>
      <c r="O114" s="13" t="str">
        <f ca="1">IF(OR(F114="",I114=""),"",IFERROR(IF(VLOOKUP(E114,'ALIM AYARLARI'!$A$4:$D$20,2,FALSE)="EVET",F114*'GİDER AYARLARI'!$B$8*I114/30,0),0))</f>
        <v/>
      </c>
      <c r="P114" s="14" t="str">
        <f t="shared" si="12"/>
        <v/>
      </c>
      <c r="Q114" s="14" t="str">
        <f t="shared" si="13"/>
        <v/>
      </c>
      <c r="R114" s="2"/>
      <c r="S114" s="2"/>
      <c r="T114" s="3"/>
      <c r="U114" s="14" t="str">
        <f t="shared" si="14"/>
        <v/>
      </c>
      <c r="V114" s="14" t="str">
        <f t="shared" si="15"/>
        <v/>
      </c>
      <c r="W114" s="15" t="str">
        <f t="shared" si="16"/>
        <v/>
      </c>
      <c r="X114" s="12" t="str">
        <f t="shared" si="17"/>
        <v/>
      </c>
      <c r="Y114" s="2"/>
      <c r="Z114" s="3"/>
      <c r="AA114" s="3"/>
      <c r="AB114" s="3"/>
      <c r="AC114" s="14" t="str">
        <f t="shared" si="18"/>
        <v/>
      </c>
      <c r="AD114" s="14" t="str">
        <f t="shared" si="19"/>
        <v/>
      </c>
    </row>
    <row r="115" spans="1:30">
      <c r="A115">
        <f t="shared" si="10"/>
        <v>112</v>
      </c>
      <c r="B115" s="2"/>
      <c r="C115" s="18"/>
      <c r="D115" s="2"/>
      <c r="E115" s="2"/>
      <c r="F115" s="3"/>
      <c r="G115" s="16"/>
      <c r="H115" s="16"/>
      <c r="I115" s="17" t="str">
        <f t="shared" ca="1" si="11"/>
        <v/>
      </c>
      <c r="J115" s="13" t="str">
        <f>IF(F115="","",'GİDER AYARLARI'!$B$4)</f>
        <v/>
      </c>
      <c r="K115" s="13" t="str">
        <f>IF(F115="","",'GİDER AYARLARI'!$B$5)</f>
        <v/>
      </c>
      <c r="L115" s="13" t="str">
        <f>IF(F115="","",'GİDER AYARLARI'!$B$6)</f>
        <v/>
      </c>
      <c r="M115" s="13" t="str">
        <f>IF(F115="","",'GİDER AYARLARI'!$B$7)</f>
        <v/>
      </c>
      <c r="N115" s="3"/>
      <c r="O115" s="13" t="str">
        <f ca="1">IF(OR(F115="",I115=""),"",IFERROR(IF(VLOOKUP(E115,'ALIM AYARLARI'!$A$4:$D$20,2,FALSE)="EVET",F115*'GİDER AYARLARI'!$B$8*I115/30,0),0))</f>
        <v/>
      </c>
      <c r="P115" s="14" t="str">
        <f t="shared" si="12"/>
        <v/>
      </c>
      <c r="Q115" s="14" t="str">
        <f t="shared" si="13"/>
        <v/>
      </c>
      <c r="R115" s="2"/>
      <c r="S115" s="2"/>
      <c r="T115" s="3"/>
      <c r="U115" s="14" t="str">
        <f t="shared" si="14"/>
        <v/>
      </c>
      <c r="V115" s="14" t="str">
        <f t="shared" si="15"/>
        <v/>
      </c>
      <c r="W115" s="15" t="str">
        <f t="shared" si="16"/>
        <v/>
      </c>
      <c r="X115" s="12" t="str">
        <f t="shared" si="17"/>
        <v/>
      </c>
      <c r="Y115" s="2"/>
      <c r="Z115" s="3"/>
      <c r="AA115" s="3"/>
      <c r="AB115" s="3"/>
      <c r="AC115" s="14" t="str">
        <f t="shared" si="18"/>
        <v/>
      </c>
      <c r="AD115" s="14" t="str">
        <f t="shared" si="19"/>
        <v/>
      </c>
    </row>
    <row r="116" spans="1:30">
      <c r="A116">
        <f t="shared" si="10"/>
        <v>113</v>
      </c>
      <c r="B116" s="2"/>
      <c r="C116" s="18"/>
      <c r="D116" s="2"/>
      <c r="E116" s="2"/>
      <c r="F116" s="3"/>
      <c r="G116" s="16"/>
      <c r="H116" s="16"/>
      <c r="I116" s="17" t="str">
        <f t="shared" ca="1" si="11"/>
        <v/>
      </c>
      <c r="J116" s="13" t="str">
        <f>IF(F116="","",'GİDER AYARLARI'!$B$4)</f>
        <v/>
      </c>
      <c r="K116" s="13" t="str">
        <f>IF(F116="","",'GİDER AYARLARI'!$B$5)</f>
        <v/>
      </c>
      <c r="L116" s="13" t="str">
        <f>IF(F116="","",'GİDER AYARLARI'!$B$6)</f>
        <v/>
      </c>
      <c r="M116" s="13" t="str">
        <f>IF(F116="","",'GİDER AYARLARI'!$B$7)</f>
        <v/>
      </c>
      <c r="N116" s="3"/>
      <c r="O116" s="13" t="str">
        <f ca="1">IF(OR(F116="",I116=""),"",IFERROR(IF(VLOOKUP(E116,'ALIM AYARLARI'!$A$4:$D$20,2,FALSE)="EVET",F116*'GİDER AYARLARI'!$B$8*I116/30,0),0))</f>
        <v/>
      </c>
      <c r="P116" s="14" t="str">
        <f t="shared" si="12"/>
        <v/>
      </c>
      <c r="Q116" s="14" t="str">
        <f t="shared" si="13"/>
        <v/>
      </c>
      <c r="R116" s="2"/>
      <c r="S116" s="2"/>
      <c r="T116" s="3"/>
      <c r="U116" s="14" t="str">
        <f t="shared" si="14"/>
        <v/>
      </c>
      <c r="V116" s="14" t="str">
        <f t="shared" si="15"/>
        <v/>
      </c>
      <c r="W116" s="15" t="str">
        <f t="shared" si="16"/>
        <v/>
      </c>
      <c r="X116" s="12" t="str">
        <f t="shared" si="17"/>
        <v/>
      </c>
      <c r="Y116" s="2"/>
      <c r="Z116" s="3"/>
      <c r="AA116" s="3"/>
      <c r="AB116" s="3"/>
      <c r="AC116" s="14" t="str">
        <f t="shared" si="18"/>
        <v/>
      </c>
      <c r="AD116" s="14" t="str">
        <f t="shared" si="19"/>
        <v/>
      </c>
    </row>
    <row r="117" spans="1:30">
      <c r="A117">
        <f t="shared" si="10"/>
        <v>114</v>
      </c>
      <c r="B117" s="2"/>
      <c r="C117" s="18"/>
      <c r="D117" s="2"/>
      <c r="E117" s="2"/>
      <c r="F117" s="3"/>
      <c r="G117" s="16"/>
      <c r="H117" s="16"/>
      <c r="I117" s="17" t="str">
        <f t="shared" ca="1" si="11"/>
        <v/>
      </c>
      <c r="J117" s="13" t="str">
        <f>IF(F117="","",'GİDER AYARLARI'!$B$4)</f>
        <v/>
      </c>
      <c r="K117" s="13" t="str">
        <f>IF(F117="","",'GİDER AYARLARI'!$B$5)</f>
        <v/>
      </c>
      <c r="L117" s="13" t="str">
        <f>IF(F117="","",'GİDER AYARLARI'!$B$6)</f>
        <v/>
      </c>
      <c r="M117" s="13" t="str">
        <f>IF(F117="","",'GİDER AYARLARI'!$B$7)</f>
        <v/>
      </c>
      <c r="N117" s="3"/>
      <c r="O117" s="13" t="str">
        <f ca="1">IF(OR(F117="",I117=""),"",IFERROR(IF(VLOOKUP(E117,'ALIM AYARLARI'!$A$4:$D$20,2,FALSE)="EVET",F117*'GİDER AYARLARI'!$B$8*I117/30,0),0))</f>
        <v/>
      </c>
      <c r="P117" s="14" t="str">
        <f t="shared" si="12"/>
        <v/>
      </c>
      <c r="Q117" s="14" t="str">
        <f t="shared" si="13"/>
        <v/>
      </c>
      <c r="R117" s="2"/>
      <c r="S117" s="2"/>
      <c r="T117" s="3"/>
      <c r="U117" s="14" t="str">
        <f t="shared" si="14"/>
        <v/>
      </c>
      <c r="V117" s="14" t="str">
        <f t="shared" si="15"/>
        <v/>
      </c>
      <c r="W117" s="15" t="str">
        <f t="shared" si="16"/>
        <v/>
      </c>
      <c r="X117" s="12" t="str">
        <f t="shared" si="17"/>
        <v/>
      </c>
      <c r="Y117" s="2"/>
      <c r="Z117" s="3"/>
      <c r="AA117" s="3"/>
      <c r="AB117" s="3"/>
      <c r="AC117" s="14" t="str">
        <f t="shared" si="18"/>
        <v/>
      </c>
      <c r="AD117" s="14" t="str">
        <f t="shared" si="19"/>
        <v/>
      </c>
    </row>
    <row r="118" spans="1:30">
      <c r="A118">
        <f t="shared" si="10"/>
        <v>115</v>
      </c>
      <c r="B118" s="2"/>
      <c r="C118" s="18"/>
      <c r="D118" s="2"/>
      <c r="E118" s="2"/>
      <c r="F118" s="3"/>
      <c r="G118" s="16"/>
      <c r="H118" s="16"/>
      <c r="I118" s="17" t="str">
        <f t="shared" ca="1" si="11"/>
        <v/>
      </c>
      <c r="J118" s="13" t="str">
        <f>IF(F118="","",'GİDER AYARLARI'!$B$4)</f>
        <v/>
      </c>
      <c r="K118" s="13" t="str">
        <f>IF(F118="","",'GİDER AYARLARI'!$B$5)</f>
        <v/>
      </c>
      <c r="L118" s="13" t="str">
        <f>IF(F118="","",'GİDER AYARLARI'!$B$6)</f>
        <v/>
      </c>
      <c r="M118" s="13" t="str">
        <f>IF(F118="","",'GİDER AYARLARI'!$B$7)</f>
        <v/>
      </c>
      <c r="N118" s="3"/>
      <c r="O118" s="13" t="str">
        <f ca="1">IF(OR(F118="",I118=""),"",IFERROR(IF(VLOOKUP(E118,'ALIM AYARLARI'!$A$4:$D$20,2,FALSE)="EVET",F118*'GİDER AYARLARI'!$B$8*I118/30,0),0))</f>
        <v/>
      </c>
      <c r="P118" s="14" t="str">
        <f t="shared" si="12"/>
        <v/>
      </c>
      <c r="Q118" s="14" t="str">
        <f t="shared" si="13"/>
        <v/>
      </c>
      <c r="R118" s="2"/>
      <c r="S118" s="2"/>
      <c r="T118" s="3"/>
      <c r="U118" s="14" t="str">
        <f t="shared" si="14"/>
        <v/>
      </c>
      <c r="V118" s="14" t="str">
        <f t="shared" si="15"/>
        <v/>
      </c>
      <c r="W118" s="15" t="str">
        <f t="shared" si="16"/>
        <v/>
      </c>
      <c r="X118" s="12" t="str">
        <f t="shared" si="17"/>
        <v/>
      </c>
      <c r="Y118" s="2"/>
      <c r="Z118" s="3"/>
      <c r="AA118" s="3"/>
      <c r="AB118" s="3"/>
      <c r="AC118" s="14" t="str">
        <f t="shared" si="18"/>
        <v/>
      </c>
      <c r="AD118" s="14" t="str">
        <f t="shared" si="19"/>
        <v/>
      </c>
    </row>
    <row r="119" spans="1:30">
      <c r="A119">
        <f t="shared" si="10"/>
        <v>116</v>
      </c>
      <c r="B119" s="2"/>
      <c r="C119" s="18"/>
      <c r="D119" s="2"/>
      <c r="E119" s="2"/>
      <c r="F119" s="3"/>
      <c r="G119" s="16"/>
      <c r="H119" s="16"/>
      <c r="I119" s="17" t="str">
        <f t="shared" ca="1" si="11"/>
        <v/>
      </c>
      <c r="J119" s="13" t="str">
        <f>IF(F119="","",'GİDER AYARLARI'!$B$4)</f>
        <v/>
      </c>
      <c r="K119" s="13" t="str">
        <f>IF(F119="","",'GİDER AYARLARI'!$B$5)</f>
        <v/>
      </c>
      <c r="L119" s="13" t="str">
        <f>IF(F119="","",'GİDER AYARLARI'!$B$6)</f>
        <v/>
      </c>
      <c r="M119" s="13" t="str">
        <f>IF(F119="","",'GİDER AYARLARI'!$B$7)</f>
        <v/>
      </c>
      <c r="N119" s="3"/>
      <c r="O119" s="13" t="str">
        <f ca="1">IF(OR(F119="",I119=""),"",IFERROR(IF(VLOOKUP(E119,'ALIM AYARLARI'!$A$4:$D$20,2,FALSE)="EVET",F119*'GİDER AYARLARI'!$B$8*I119/30,0),0))</f>
        <v/>
      </c>
      <c r="P119" s="14" t="str">
        <f t="shared" si="12"/>
        <v/>
      </c>
      <c r="Q119" s="14" t="str">
        <f t="shared" si="13"/>
        <v/>
      </c>
      <c r="R119" s="2"/>
      <c r="S119" s="2"/>
      <c r="T119" s="3"/>
      <c r="U119" s="14" t="str">
        <f t="shared" si="14"/>
        <v/>
      </c>
      <c r="V119" s="14" t="str">
        <f t="shared" si="15"/>
        <v/>
      </c>
      <c r="W119" s="15" t="str">
        <f t="shared" si="16"/>
        <v/>
      </c>
      <c r="X119" s="12" t="str">
        <f t="shared" si="17"/>
        <v/>
      </c>
      <c r="Y119" s="2"/>
      <c r="Z119" s="3"/>
      <c r="AA119" s="3"/>
      <c r="AB119" s="3"/>
      <c r="AC119" s="14" t="str">
        <f t="shared" si="18"/>
        <v/>
      </c>
      <c r="AD119" s="14" t="str">
        <f t="shared" si="19"/>
        <v/>
      </c>
    </row>
    <row r="120" spans="1:30">
      <c r="A120">
        <f t="shared" si="10"/>
        <v>117</v>
      </c>
      <c r="B120" s="2"/>
      <c r="C120" s="18"/>
      <c r="D120" s="2"/>
      <c r="E120" s="2"/>
      <c r="F120" s="3"/>
      <c r="G120" s="16"/>
      <c r="H120" s="16"/>
      <c r="I120" s="17" t="str">
        <f t="shared" ca="1" si="11"/>
        <v/>
      </c>
      <c r="J120" s="13" t="str">
        <f>IF(F120="","",'GİDER AYARLARI'!$B$4)</f>
        <v/>
      </c>
      <c r="K120" s="13" t="str">
        <f>IF(F120="","",'GİDER AYARLARI'!$B$5)</f>
        <v/>
      </c>
      <c r="L120" s="13" t="str">
        <f>IF(F120="","",'GİDER AYARLARI'!$B$6)</f>
        <v/>
      </c>
      <c r="M120" s="13" t="str">
        <f>IF(F120="","",'GİDER AYARLARI'!$B$7)</f>
        <v/>
      </c>
      <c r="N120" s="3"/>
      <c r="O120" s="13" t="str">
        <f ca="1">IF(OR(F120="",I120=""),"",IFERROR(IF(VLOOKUP(E120,'ALIM AYARLARI'!$A$4:$D$20,2,FALSE)="EVET",F120*'GİDER AYARLARI'!$B$8*I120/30,0),0))</f>
        <v/>
      </c>
      <c r="P120" s="14" t="str">
        <f t="shared" si="12"/>
        <v/>
      </c>
      <c r="Q120" s="14" t="str">
        <f t="shared" si="13"/>
        <v/>
      </c>
      <c r="R120" s="2"/>
      <c r="S120" s="2"/>
      <c r="T120" s="3"/>
      <c r="U120" s="14" t="str">
        <f t="shared" si="14"/>
        <v/>
      </c>
      <c r="V120" s="14" t="str">
        <f t="shared" si="15"/>
        <v/>
      </c>
      <c r="W120" s="15" t="str">
        <f t="shared" si="16"/>
        <v/>
      </c>
      <c r="X120" s="12" t="str">
        <f t="shared" si="17"/>
        <v/>
      </c>
      <c r="Y120" s="2"/>
      <c r="Z120" s="3"/>
      <c r="AA120" s="3"/>
      <c r="AB120" s="3"/>
      <c r="AC120" s="14" t="str">
        <f t="shared" si="18"/>
        <v/>
      </c>
      <c r="AD120" s="14" t="str">
        <f t="shared" si="19"/>
        <v/>
      </c>
    </row>
    <row r="121" spans="1:30">
      <c r="A121">
        <f t="shared" si="10"/>
        <v>118</v>
      </c>
      <c r="B121" s="2"/>
      <c r="C121" s="18"/>
      <c r="D121" s="2"/>
      <c r="E121" s="2"/>
      <c r="F121" s="3"/>
      <c r="G121" s="16"/>
      <c r="H121" s="16"/>
      <c r="I121" s="17" t="str">
        <f t="shared" ca="1" si="11"/>
        <v/>
      </c>
      <c r="J121" s="13" t="str">
        <f>IF(F121="","",'GİDER AYARLARI'!$B$4)</f>
        <v/>
      </c>
      <c r="K121" s="13" t="str">
        <f>IF(F121="","",'GİDER AYARLARI'!$B$5)</f>
        <v/>
      </c>
      <c r="L121" s="13" t="str">
        <f>IF(F121="","",'GİDER AYARLARI'!$B$6)</f>
        <v/>
      </c>
      <c r="M121" s="13" t="str">
        <f>IF(F121="","",'GİDER AYARLARI'!$B$7)</f>
        <v/>
      </c>
      <c r="N121" s="3"/>
      <c r="O121" s="13" t="str">
        <f ca="1">IF(OR(F121="",I121=""),"",IFERROR(IF(VLOOKUP(E121,'ALIM AYARLARI'!$A$4:$D$20,2,FALSE)="EVET",F121*'GİDER AYARLARI'!$B$8*I121/30,0),0))</f>
        <v/>
      </c>
      <c r="P121" s="14" t="str">
        <f t="shared" si="12"/>
        <v/>
      </c>
      <c r="Q121" s="14" t="str">
        <f t="shared" si="13"/>
        <v/>
      </c>
      <c r="R121" s="2"/>
      <c r="S121" s="2"/>
      <c r="T121" s="3"/>
      <c r="U121" s="14" t="str">
        <f t="shared" si="14"/>
        <v/>
      </c>
      <c r="V121" s="14" t="str">
        <f t="shared" si="15"/>
        <v/>
      </c>
      <c r="W121" s="15" t="str">
        <f t="shared" si="16"/>
        <v/>
      </c>
      <c r="X121" s="12" t="str">
        <f t="shared" si="17"/>
        <v/>
      </c>
      <c r="Y121" s="2"/>
      <c r="Z121" s="3"/>
      <c r="AA121" s="3"/>
      <c r="AB121" s="3"/>
      <c r="AC121" s="14" t="str">
        <f t="shared" si="18"/>
        <v/>
      </c>
      <c r="AD121" s="14" t="str">
        <f t="shared" si="19"/>
        <v/>
      </c>
    </row>
    <row r="122" spans="1:30">
      <c r="A122">
        <f t="shared" si="10"/>
        <v>119</v>
      </c>
      <c r="B122" s="2"/>
      <c r="C122" s="18"/>
      <c r="D122" s="2"/>
      <c r="E122" s="2"/>
      <c r="F122" s="3"/>
      <c r="G122" s="16"/>
      <c r="H122" s="16"/>
      <c r="I122" s="17" t="str">
        <f t="shared" ca="1" si="11"/>
        <v/>
      </c>
      <c r="J122" s="13" t="str">
        <f>IF(F122="","",'GİDER AYARLARI'!$B$4)</f>
        <v/>
      </c>
      <c r="K122" s="13" t="str">
        <f>IF(F122="","",'GİDER AYARLARI'!$B$5)</f>
        <v/>
      </c>
      <c r="L122" s="13" t="str">
        <f>IF(F122="","",'GİDER AYARLARI'!$B$6)</f>
        <v/>
      </c>
      <c r="M122" s="13" t="str">
        <f>IF(F122="","",'GİDER AYARLARI'!$B$7)</f>
        <v/>
      </c>
      <c r="N122" s="3"/>
      <c r="O122" s="13" t="str">
        <f ca="1">IF(OR(F122="",I122=""),"",IFERROR(IF(VLOOKUP(E122,'ALIM AYARLARI'!$A$4:$D$20,2,FALSE)="EVET",F122*'GİDER AYARLARI'!$B$8*I122/30,0),0))</f>
        <v/>
      </c>
      <c r="P122" s="14" t="str">
        <f t="shared" si="12"/>
        <v/>
      </c>
      <c r="Q122" s="14" t="str">
        <f t="shared" si="13"/>
        <v/>
      </c>
      <c r="R122" s="2"/>
      <c r="S122" s="2"/>
      <c r="T122" s="3"/>
      <c r="U122" s="14" t="str">
        <f t="shared" si="14"/>
        <v/>
      </c>
      <c r="V122" s="14" t="str">
        <f t="shared" si="15"/>
        <v/>
      </c>
      <c r="W122" s="15" t="str">
        <f t="shared" si="16"/>
        <v/>
      </c>
      <c r="X122" s="12" t="str">
        <f t="shared" si="17"/>
        <v/>
      </c>
      <c r="Y122" s="2"/>
      <c r="Z122" s="3"/>
      <c r="AA122" s="3"/>
      <c r="AB122" s="3"/>
      <c r="AC122" s="14" t="str">
        <f t="shared" si="18"/>
        <v/>
      </c>
      <c r="AD122" s="14" t="str">
        <f t="shared" si="19"/>
        <v/>
      </c>
    </row>
    <row r="123" spans="1:30">
      <c r="A123">
        <f t="shared" si="10"/>
        <v>120</v>
      </c>
      <c r="B123" s="2"/>
      <c r="C123" s="18"/>
      <c r="D123" s="2"/>
      <c r="E123" s="2"/>
      <c r="F123" s="3"/>
      <c r="G123" s="16"/>
      <c r="H123" s="16"/>
      <c r="I123" s="17" t="str">
        <f t="shared" ca="1" si="11"/>
        <v/>
      </c>
      <c r="J123" s="13" t="str">
        <f>IF(F123="","",'GİDER AYARLARI'!$B$4)</f>
        <v/>
      </c>
      <c r="K123" s="13" t="str">
        <f>IF(F123="","",'GİDER AYARLARI'!$B$5)</f>
        <v/>
      </c>
      <c r="L123" s="13" t="str">
        <f>IF(F123="","",'GİDER AYARLARI'!$B$6)</f>
        <v/>
      </c>
      <c r="M123" s="13" t="str">
        <f>IF(F123="","",'GİDER AYARLARI'!$B$7)</f>
        <v/>
      </c>
      <c r="N123" s="3"/>
      <c r="O123" s="13" t="str">
        <f ca="1">IF(OR(F123="",I123=""),"",IFERROR(IF(VLOOKUP(E123,'ALIM AYARLARI'!$A$4:$D$20,2,FALSE)="EVET",F123*'GİDER AYARLARI'!$B$8*I123/30,0),0))</f>
        <v/>
      </c>
      <c r="P123" s="14" t="str">
        <f t="shared" si="12"/>
        <v/>
      </c>
      <c r="Q123" s="14" t="str">
        <f t="shared" si="13"/>
        <v/>
      </c>
      <c r="R123" s="2"/>
      <c r="S123" s="2"/>
      <c r="T123" s="3"/>
      <c r="U123" s="14" t="str">
        <f t="shared" si="14"/>
        <v/>
      </c>
      <c r="V123" s="14" t="str">
        <f t="shared" si="15"/>
        <v/>
      </c>
      <c r="W123" s="15" t="str">
        <f t="shared" si="16"/>
        <v/>
      </c>
      <c r="X123" s="12" t="str">
        <f t="shared" si="17"/>
        <v/>
      </c>
      <c r="Y123" s="2"/>
      <c r="Z123" s="3"/>
      <c r="AA123" s="3"/>
      <c r="AB123" s="3"/>
      <c r="AC123" s="14" t="str">
        <f t="shared" si="18"/>
        <v/>
      </c>
      <c r="AD123" s="14" t="str">
        <f t="shared" si="19"/>
        <v/>
      </c>
    </row>
    <row r="124" spans="1:30">
      <c r="A124">
        <f t="shared" si="10"/>
        <v>121</v>
      </c>
      <c r="B124" s="2"/>
      <c r="C124" s="18"/>
      <c r="D124" s="2"/>
      <c r="E124" s="2"/>
      <c r="F124" s="3"/>
      <c r="G124" s="16"/>
      <c r="H124" s="16"/>
      <c r="I124" s="17" t="str">
        <f t="shared" ca="1" si="11"/>
        <v/>
      </c>
      <c r="J124" s="13" t="str">
        <f>IF(F124="","",'GİDER AYARLARI'!$B$4)</f>
        <v/>
      </c>
      <c r="K124" s="13" t="str">
        <f>IF(F124="","",'GİDER AYARLARI'!$B$5)</f>
        <v/>
      </c>
      <c r="L124" s="13" t="str">
        <f>IF(F124="","",'GİDER AYARLARI'!$B$6)</f>
        <v/>
      </c>
      <c r="M124" s="13" t="str">
        <f>IF(F124="","",'GİDER AYARLARI'!$B$7)</f>
        <v/>
      </c>
      <c r="N124" s="3"/>
      <c r="O124" s="13" t="str">
        <f ca="1">IF(OR(F124="",I124=""),"",IFERROR(IF(VLOOKUP(E124,'ALIM AYARLARI'!$A$4:$D$20,2,FALSE)="EVET",F124*'GİDER AYARLARI'!$B$8*I124/30,0),0))</f>
        <v/>
      </c>
      <c r="P124" s="14" t="str">
        <f t="shared" si="12"/>
        <v/>
      </c>
      <c r="Q124" s="14" t="str">
        <f t="shared" si="13"/>
        <v/>
      </c>
      <c r="R124" s="2"/>
      <c r="S124" s="2"/>
      <c r="T124" s="3"/>
      <c r="U124" s="14" t="str">
        <f t="shared" si="14"/>
        <v/>
      </c>
      <c r="V124" s="14" t="str">
        <f t="shared" si="15"/>
        <v/>
      </c>
      <c r="W124" s="15" t="str">
        <f t="shared" si="16"/>
        <v/>
      </c>
      <c r="X124" s="12" t="str">
        <f t="shared" si="17"/>
        <v/>
      </c>
      <c r="Y124" s="2"/>
      <c r="Z124" s="3"/>
      <c r="AA124" s="3"/>
      <c r="AB124" s="3"/>
      <c r="AC124" s="14" t="str">
        <f t="shared" si="18"/>
        <v/>
      </c>
      <c r="AD124" s="14" t="str">
        <f t="shared" si="19"/>
        <v/>
      </c>
    </row>
    <row r="125" spans="1:30">
      <c r="A125">
        <f t="shared" si="10"/>
        <v>122</v>
      </c>
      <c r="B125" s="2"/>
      <c r="C125" s="18"/>
      <c r="D125" s="2"/>
      <c r="E125" s="2"/>
      <c r="F125" s="3"/>
      <c r="G125" s="16"/>
      <c r="H125" s="16"/>
      <c r="I125" s="17" t="str">
        <f t="shared" ca="1" si="11"/>
        <v/>
      </c>
      <c r="J125" s="13" t="str">
        <f>IF(F125="","",'GİDER AYARLARI'!$B$4)</f>
        <v/>
      </c>
      <c r="K125" s="13" t="str">
        <f>IF(F125="","",'GİDER AYARLARI'!$B$5)</f>
        <v/>
      </c>
      <c r="L125" s="13" t="str">
        <f>IF(F125="","",'GİDER AYARLARI'!$B$6)</f>
        <v/>
      </c>
      <c r="M125" s="13" t="str">
        <f>IF(F125="","",'GİDER AYARLARI'!$B$7)</f>
        <v/>
      </c>
      <c r="N125" s="3"/>
      <c r="O125" s="13" t="str">
        <f ca="1">IF(OR(F125="",I125=""),"",IFERROR(IF(VLOOKUP(E125,'ALIM AYARLARI'!$A$4:$D$20,2,FALSE)="EVET",F125*'GİDER AYARLARI'!$B$8*I125/30,0),0))</f>
        <v/>
      </c>
      <c r="P125" s="14" t="str">
        <f t="shared" si="12"/>
        <v/>
      </c>
      <c r="Q125" s="14" t="str">
        <f t="shared" si="13"/>
        <v/>
      </c>
      <c r="R125" s="2"/>
      <c r="S125" s="2"/>
      <c r="T125" s="3"/>
      <c r="U125" s="14" t="str">
        <f t="shared" si="14"/>
        <v/>
      </c>
      <c r="V125" s="14" t="str">
        <f t="shared" si="15"/>
        <v/>
      </c>
      <c r="W125" s="15" t="str">
        <f t="shared" si="16"/>
        <v/>
      </c>
      <c r="X125" s="12" t="str">
        <f t="shared" si="17"/>
        <v/>
      </c>
      <c r="Y125" s="2"/>
      <c r="Z125" s="3"/>
      <c r="AA125" s="3"/>
      <c r="AB125" s="3"/>
      <c r="AC125" s="14" t="str">
        <f t="shared" si="18"/>
        <v/>
      </c>
      <c r="AD125" s="14" t="str">
        <f t="shared" si="19"/>
        <v/>
      </c>
    </row>
    <row r="126" spans="1:30">
      <c r="A126">
        <f t="shared" si="10"/>
        <v>123</v>
      </c>
      <c r="B126" s="2"/>
      <c r="C126" s="18"/>
      <c r="D126" s="2"/>
      <c r="E126" s="2"/>
      <c r="F126" s="3"/>
      <c r="G126" s="16"/>
      <c r="H126" s="16"/>
      <c r="I126" s="17" t="str">
        <f t="shared" ca="1" si="11"/>
        <v/>
      </c>
      <c r="J126" s="13" t="str">
        <f>IF(F126="","",'GİDER AYARLARI'!$B$4)</f>
        <v/>
      </c>
      <c r="K126" s="13" t="str">
        <f>IF(F126="","",'GİDER AYARLARI'!$B$5)</f>
        <v/>
      </c>
      <c r="L126" s="13" t="str">
        <f>IF(F126="","",'GİDER AYARLARI'!$B$6)</f>
        <v/>
      </c>
      <c r="M126" s="13" t="str">
        <f>IF(F126="","",'GİDER AYARLARI'!$B$7)</f>
        <v/>
      </c>
      <c r="N126" s="3"/>
      <c r="O126" s="13" t="str">
        <f ca="1">IF(OR(F126="",I126=""),"",IFERROR(IF(VLOOKUP(E126,'ALIM AYARLARI'!$A$4:$D$20,2,FALSE)="EVET",F126*'GİDER AYARLARI'!$B$8*I126/30,0),0))</f>
        <v/>
      </c>
      <c r="P126" s="14" t="str">
        <f t="shared" si="12"/>
        <v/>
      </c>
      <c r="Q126" s="14" t="str">
        <f t="shared" si="13"/>
        <v/>
      </c>
      <c r="R126" s="2"/>
      <c r="S126" s="2"/>
      <c r="T126" s="3"/>
      <c r="U126" s="14" t="str">
        <f t="shared" si="14"/>
        <v/>
      </c>
      <c r="V126" s="14" t="str">
        <f t="shared" si="15"/>
        <v/>
      </c>
      <c r="W126" s="15" t="str">
        <f t="shared" si="16"/>
        <v/>
      </c>
      <c r="X126" s="12" t="str">
        <f t="shared" si="17"/>
        <v/>
      </c>
      <c r="Y126" s="2"/>
      <c r="Z126" s="3"/>
      <c r="AA126" s="3"/>
      <c r="AB126" s="3"/>
      <c r="AC126" s="14" t="str">
        <f t="shared" si="18"/>
        <v/>
      </c>
      <c r="AD126" s="14" t="str">
        <f t="shared" si="19"/>
        <v/>
      </c>
    </row>
    <row r="127" spans="1:30">
      <c r="A127">
        <f t="shared" si="10"/>
        <v>124</v>
      </c>
      <c r="B127" s="2"/>
      <c r="C127" s="18"/>
      <c r="D127" s="2"/>
      <c r="E127" s="2"/>
      <c r="F127" s="3"/>
      <c r="G127" s="16"/>
      <c r="H127" s="16"/>
      <c r="I127" s="17" t="str">
        <f t="shared" ca="1" si="11"/>
        <v/>
      </c>
      <c r="J127" s="13" t="str">
        <f>IF(F127="","",'GİDER AYARLARI'!$B$4)</f>
        <v/>
      </c>
      <c r="K127" s="13" t="str">
        <f>IF(F127="","",'GİDER AYARLARI'!$B$5)</f>
        <v/>
      </c>
      <c r="L127" s="13" t="str">
        <f>IF(F127="","",'GİDER AYARLARI'!$B$6)</f>
        <v/>
      </c>
      <c r="M127" s="13" t="str">
        <f>IF(F127="","",'GİDER AYARLARI'!$B$7)</f>
        <v/>
      </c>
      <c r="N127" s="3"/>
      <c r="O127" s="13" t="str">
        <f ca="1">IF(OR(F127="",I127=""),"",IFERROR(IF(VLOOKUP(E127,'ALIM AYARLARI'!$A$4:$D$20,2,FALSE)="EVET",F127*'GİDER AYARLARI'!$B$8*I127/30,0),0))</f>
        <v/>
      </c>
      <c r="P127" s="14" t="str">
        <f t="shared" si="12"/>
        <v/>
      </c>
      <c r="Q127" s="14" t="str">
        <f t="shared" si="13"/>
        <v/>
      </c>
      <c r="R127" s="2"/>
      <c r="S127" s="2"/>
      <c r="T127" s="3"/>
      <c r="U127" s="14" t="str">
        <f t="shared" si="14"/>
        <v/>
      </c>
      <c r="V127" s="14" t="str">
        <f t="shared" si="15"/>
        <v/>
      </c>
      <c r="W127" s="15" t="str">
        <f t="shared" si="16"/>
        <v/>
      </c>
      <c r="X127" s="12" t="str">
        <f t="shared" si="17"/>
        <v/>
      </c>
      <c r="Y127" s="2"/>
      <c r="Z127" s="3"/>
      <c r="AA127" s="3"/>
      <c r="AB127" s="3"/>
      <c r="AC127" s="14" t="str">
        <f t="shared" si="18"/>
        <v/>
      </c>
      <c r="AD127" s="14" t="str">
        <f t="shared" si="19"/>
        <v/>
      </c>
    </row>
    <row r="128" spans="1:30">
      <c r="A128">
        <f t="shared" si="10"/>
        <v>125</v>
      </c>
      <c r="B128" s="2"/>
      <c r="C128" s="18"/>
      <c r="D128" s="2"/>
      <c r="E128" s="2"/>
      <c r="F128" s="3"/>
      <c r="G128" s="16"/>
      <c r="H128" s="16"/>
      <c r="I128" s="17" t="str">
        <f t="shared" ca="1" si="11"/>
        <v/>
      </c>
      <c r="J128" s="13" t="str">
        <f>IF(F128="","",'GİDER AYARLARI'!$B$4)</f>
        <v/>
      </c>
      <c r="K128" s="13" t="str">
        <f>IF(F128="","",'GİDER AYARLARI'!$B$5)</f>
        <v/>
      </c>
      <c r="L128" s="13" t="str">
        <f>IF(F128="","",'GİDER AYARLARI'!$B$6)</f>
        <v/>
      </c>
      <c r="M128" s="13" t="str">
        <f>IF(F128="","",'GİDER AYARLARI'!$B$7)</f>
        <v/>
      </c>
      <c r="N128" s="3"/>
      <c r="O128" s="13" t="str">
        <f ca="1">IF(OR(F128="",I128=""),"",IFERROR(IF(VLOOKUP(E128,'ALIM AYARLARI'!$A$4:$D$20,2,FALSE)="EVET",F128*'GİDER AYARLARI'!$B$8*I128/30,0),0))</f>
        <v/>
      </c>
      <c r="P128" s="14" t="str">
        <f t="shared" si="12"/>
        <v/>
      </c>
      <c r="Q128" s="14" t="str">
        <f t="shared" si="13"/>
        <v/>
      </c>
      <c r="R128" s="2"/>
      <c r="S128" s="2"/>
      <c r="T128" s="3"/>
      <c r="U128" s="14" t="str">
        <f t="shared" si="14"/>
        <v/>
      </c>
      <c r="V128" s="14" t="str">
        <f t="shared" si="15"/>
        <v/>
      </c>
      <c r="W128" s="15" t="str">
        <f t="shared" si="16"/>
        <v/>
      </c>
      <c r="X128" s="12" t="str">
        <f t="shared" si="17"/>
        <v/>
      </c>
      <c r="Y128" s="2"/>
      <c r="Z128" s="3"/>
      <c r="AA128" s="3"/>
      <c r="AB128" s="3"/>
      <c r="AC128" s="14" t="str">
        <f t="shared" si="18"/>
        <v/>
      </c>
      <c r="AD128" s="14" t="str">
        <f t="shared" si="19"/>
        <v/>
      </c>
    </row>
    <row r="129" spans="1:30">
      <c r="A129">
        <f t="shared" si="10"/>
        <v>126</v>
      </c>
      <c r="B129" s="2"/>
      <c r="C129" s="18"/>
      <c r="D129" s="2"/>
      <c r="E129" s="2"/>
      <c r="F129" s="3"/>
      <c r="G129" s="16"/>
      <c r="H129" s="16"/>
      <c r="I129" s="17" t="str">
        <f t="shared" ca="1" si="11"/>
        <v/>
      </c>
      <c r="J129" s="13" t="str">
        <f>IF(F129="","",'GİDER AYARLARI'!$B$4)</f>
        <v/>
      </c>
      <c r="K129" s="13" t="str">
        <f>IF(F129="","",'GİDER AYARLARI'!$B$5)</f>
        <v/>
      </c>
      <c r="L129" s="13" t="str">
        <f>IF(F129="","",'GİDER AYARLARI'!$B$6)</f>
        <v/>
      </c>
      <c r="M129" s="13" t="str">
        <f>IF(F129="","",'GİDER AYARLARI'!$B$7)</f>
        <v/>
      </c>
      <c r="N129" s="3"/>
      <c r="O129" s="13" t="str">
        <f ca="1">IF(OR(F129="",I129=""),"",IFERROR(IF(VLOOKUP(E129,'ALIM AYARLARI'!$A$4:$D$20,2,FALSE)="EVET",F129*'GİDER AYARLARI'!$B$8*I129/30,0),0))</f>
        <v/>
      </c>
      <c r="P129" s="14" t="str">
        <f t="shared" si="12"/>
        <v/>
      </c>
      <c r="Q129" s="14" t="str">
        <f t="shared" si="13"/>
        <v/>
      </c>
      <c r="R129" s="2"/>
      <c r="S129" s="2"/>
      <c r="T129" s="3"/>
      <c r="U129" s="14" t="str">
        <f t="shared" si="14"/>
        <v/>
      </c>
      <c r="V129" s="14" t="str">
        <f t="shared" si="15"/>
        <v/>
      </c>
      <c r="W129" s="15" t="str">
        <f t="shared" si="16"/>
        <v/>
      </c>
      <c r="X129" s="12" t="str">
        <f t="shared" si="17"/>
        <v/>
      </c>
      <c r="Y129" s="2"/>
      <c r="Z129" s="3"/>
      <c r="AA129" s="3"/>
      <c r="AB129" s="3"/>
      <c r="AC129" s="14" t="str">
        <f t="shared" si="18"/>
        <v/>
      </c>
      <c r="AD129" s="14" t="str">
        <f t="shared" si="19"/>
        <v/>
      </c>
    </row>
    <row r="130" spans="1:30">
      <c r="A130">
        <f t="shared" si="10"/>
        <v>127</v>
      </c>
      <c r="B130" s="2"/>
      <c r="C130" s="18"/>
      <c r="D130" s="2"/>
      <c r="E130" s="2"/>
      <c r="F130" s="3"/>
      <c r="G130" s="16"/>
      <c r="H130" s="16"/>
      <c r="I130" s="17" t="str">
        <f t="shared" ca="1" si="11"/>
        <v/>
      </c>
      <c r="J130" s="13" t="str">
        <f>IF(F130="","",'GİDER AYARLARI'!$B$4)</f>
        <v/>
      </c>
      <c r="K130" s="13" t="str">
        <f>IF(F130="","",'GİDER AYARLARI'!$B$5)</f>
        <v/>
      </c>
      <c r="L130" s="13" t="str">
        <f>IF(F130="","",'GİDER AYARLARI'!$B$6)</f>
        <v/>
      </c>
      <c r="M130" s="13" t="str">
        <f>IF(F130="","",'GİDER AYARLARI'!$B$7)</f>
        <v/>
      </c>
      <c r="N130" s="3"/>
      <c r="O130" s="13" t="str">
        <f ca="1">IF(OR(F130="",I130=""),"",IFERROR(IF(VLOOKUP(E130,'ALIM AYARLARI'!$A$4:$D$20,2,FALSE)="EVET",F130*'GİDER AYARLARI'!$B$8*I130/30,0),0))</f>
        <v/>
      </c>
      <c r="P130" s="14" t="str">
        <f t="shared" si="12"/>
        <v/>
      </c>
      <c r="Q130" s="14" t="str">
        <f t="shared" si="13"/>
        <v/>
      </c>
      <c r="R130" s="2"/>
      <c r="S130" s="2"/>
      <c r="T130" s="3"/>
      <c r="U130" s="14" t="str">
        <f t="shared" si="14"/>
        <v/>
      </c>
      <c r="V130" s="14" t="str">
        <f t="shared" si="15"/>
        <v/>
      </c>
      <c r="W130" s="15" t="str">
        <f t="shared" si="16"/>
        <v/>
      </c>
      <c r="X130" s="12" t="str">
        <f t="shared" si="17"/>
        <v/>
      </c>
      <c r="Y130" s="2"/>
      <c r="Z130" s="3"/>
      <c r="AA130" s="3"/>
      <c r="AB130" s="3"/>
      <c r="AC130" s="14" t="str">
        <f t="shared" si="18"/>
        <v/>
      </c>
      <c r="AD130" s="14" t="str">
        <f t="shared" si="19"/>
        <v/>
      </c>
    </row>
    <row r="131" spans="1:30">
      <c r="A131">
        <f t="shared" si="10"/>
        <v>128</v>
      </c>
      <c r="B131" s="2"/>
      <c r="C131" s="18"/>
      <c r="D131" s="2"/>
      <c r="E131" s="2"/>
      <c r="F131" s="3"/>
      <c r="G131" s="16"/>
      <c r="H131" s="16"/>
      <c r="I131" s="17" t="str">
        <f t="shared" ca="1" si="11"/>
        <v/>
      </c>
      <c r="J131" s="13" t="str">
        <f>IF(F131="","",'GİDER AYARLARI'!$B$4)</f>
        <v/>
      </c>
      <c r="K131" s="13" t="str">
        <f>IF(F131="","",'GİDER AYARLARI'!$B$5)</f>
        <v/>
      </c>
      <c r="L131" s="13" t="str">
        <f>IF(F131="","",'GİDER AYARLARI'!$B$6)</f>
        <v/>
      </c>
      <c r="M131" s="13" t="str">
        <f>IF(F131="","",'GİDER AYARLARI'!$B$7)</f>
        <v/>
      </c>
      <c r="N131" s="3"/>
      <c r="O131" s="13" t="str">
        <f ca="1">IF(OR(F131="",I131=""),"",IFERROR(IF(VLOOKUP(E131,'ALIM AYARLARI'!$A$4:$D$20,2,FALSE)="EVET",F131*'GİDER AYARLARI'!$B$8*I131/30,0),0))</f>
        <v/>
      </c>
      <c r="P131" s="14" t="str">
        <f t="shared" si="12"/>
        <v/>
      </c>
      <c r="Q131" s="14" t="str">
        <f t="shared" si="13"/>
        <v/>
      </c>
      <c r="R131" s="2"/>
      <c r="S131" s="2"/>
      <c r="T131" s="3"/>
      <c r="U131" s="14" t="str">
        <f t="shared" si="14"/>
        <v/>
      </c>
      <c r="V131" s="14" t="str">
        <f t="shared" si="15"/>
        <v/>
      </c>
      <c r="W131" s="15" t="str">
        <f t="shared" si="16"/>
        <v/>
      </c>
      <c r="X131" s="12" t="str">
        <f t="shared" si="17"/>
        <v/>
      </c>
      <c r="Y131" s="2"/>
      <c r="Z131" s="3"/>
      <c r="AA131" s="3"/>
      <c r="AB131" s="3"/>
      <c r="AC131" s="14" t="str">
        <f t="shared" si="18"/>
        <v/>
      </c>
      <c r="AD131" s="14" t="str">
        <f t="shared" si="19"/>
        <v/>
      </c>
    </row>
    <row r="132" spans="1:30">
      <c r="A132">
        <f t="shared" ref="A132:A195" si="20">ROW()-3</f>
        <v>129</v>
      </c>
      <c r="B132" s="2"/>
      <c r="C132" s="18"/>
      <c r="D132" s="2"/>
      <c r="E132" s="2"/>
      <c r="F132" s="3"/>
      <c r="G132" s="16"/>
      <c r="H132" s="16"/>
      <c r="I132" s="17" t="str">
        <f t="shared" ref="I132:I195" ca="1" si="21">IF(G132="","",IF(H132="",TODAY()-G132,H132-G132))</f>
        <v/>
      </c>
      <c r="J132" s="13" t="str">
        <f>IF(F132="","",'GİDER AYARLARI'!$B$4)</f>
        <v/>
      </c>
      <c r="K132" s="13" t="str">
        <f>IF(F132="","",'GİDER AYARLARI'!$B$5)</f>
        <v/>
      </c>
      <c r="L132" s="13" t="str">
        <f>IF(F132="","",'GİDER AYARLARI'!$B$6)</f>
        <v/>
      </c>
      <c r="M132" s="13" t="str">
        <f>IF(F132="","",'GİDER AYARLARI'!$B$7)</f>
        <v/>
      </c>
      <c r="N132" s="3"/>
      <c r="O132" s="13" t="str">
        <f ca="1">IF(OR(F132="",I132=""),"",IFERROR(IF(VLOOKUP(E132,'ALIM AYARLARI'!$A$4:$D$20,2,FALSE)="EVET",F132*'GİDER AYARLARI'!$B$8*I132/30,0),0))</f>
        <v/>
      </c>
      <c r="P132" s="14" t="str">
        <f t="shared" ref="P132:P195" si="22">IF(F132="","",SUM(J132:O132))</f>
        <v/>
      </c>
      <c r="Q132" s="14" t="str">
        <f t="shared" ref="Q132:Q195" si="23">IF(F132="","",F132+P132)</f>
        <v/>
      </c>
      <c r="R132" s="2"/>
      <c r="S132" s="2"/>
      <c r="T132" s="3"/>
      <c r="U132" s="14" t="str">
        <f t="shared" ref="U132:U195" si="24">IF(OR(F132="",T132=""),"",T132-F132)</f>
        <v/>
      </c>
      <c r="V132" s="14" t="str">
        <f t="shared" ref="V132:V195" si="25">IF(T132="","",T132-Q132)</f>
        <v/>
      </c>
      <c r="W132" s="15" t="str">
        <f t="shared" ref="W132:W195" si="26">IFERROR(V132/T132,"")</f>
        <v/>
      </c>
      <c r="X132" s="12" t="str">
        <f t="shared" ref="X132:X195" si="27">IF(F132="","",IF(H132="","STOKTA","SATILDI"))</f>
        <v/>
      </c>
      <c r="Y132" s="2"/>
      <c r="Z132" s="3"/>
      <c r="AA132" s="3"/>
      <c r="AB132" s="3"/>
      <c r="AC132" s="14" t="str">
        <f t="shared" ref="AC132:AC195" si="28">IF(F132="","",SUM(Z132:AB132))</f>
        <v/>
      </c>
      <c r="AD132" s="14" t="str">
        <f t="shared" ref="AD132:AD195" si="29">IF(T132="","",V132+AC132)</f>
        <v/>
      </c>
    </row>
    <row r="133" spans="1:30">
      <c r="A133">
        <f t="shared" si="20"/>
        <v>130</v>
      </c>
      <c r="B133" s="2"/>
      <c r="C133" s="18"/>
      <c r="D133" s="2"/>
      <c r="E133" s="2"/>
      <c r="F133" s="3"/>
      <c r="G133" s="16"/>
      <c r="H133" s="16"/>
      <c r="I133" s="17" t="str">
        <f t="shared" ca="1" si="21"/>
        <v/>
      </c>
      <c r="J133" s="13" t="str">
        <f>IF(F133="","",'GİDER AYARLARI'!$B$4)</f>
        <v/>
      </c>
      <c r="K133" s="13" t="str">
        <f>IF(F133="","",'GİDER AYARLARI'!$B$5)</f>
        <v/>
      </c>
      <c r="L133" s="13" t="str">
        <f>IF(F133="","",'GİDER AYARLARI'!$B$6)</f>
        <v/>
      </c>
      <c r="M133" s="13" t="str">
        <f>IF(F133="","",'GİDER AYARLARI'!$B$7)</f>
        <v/>
      </c>
      <c r="N133" s="3"/>
      <c r="O133" s="13" t="str">
        <f ca="1">IF(OR(F133="",I133=""),"",IFERROR(IF(VLOOKUP(E133,'ALIM AYARLARI'!$A$4:$D$20,2,FALSE)="EVET",F133*'GİDER AYARLARI'!$B$8*I133/30,0),0))</f>
        <v/>
      </c>
      <c r="P133" s="14" t="str">
        <f t="shared" si="22"/>
        <v/>
      </c>
      <c r="Q133" s="14" t="str">
        <f t="shared" si="23"/>
        <v/>
      </c>
      <c r="R133" s="2"/>
      <c r="S133" s="2"/>
      <c r="T133" s="3"/>
      <c r="U133" s="14" t="str">
        <f t="shared" si="24"/>
        <v/>
      </c>
      <c r="V133" s="14" t="str">
        <f t="shared" si="25"/>
        <v/>
      </c>
      <c r="W133" s="15" t="str">
        <f t="shared" si="26"/>
        <v/>
      </c>
      <c r="X133" s="12" t="str">
        <f t="shared" si="27"/>
        <v/>
      </c>
      <c r="Y133" s="2"/>
      <c r="Z133" s="3"/>
      <c r="AA133" s="3"/>
      <c r="AB133" s="3"/>
      <c r="AC133" s="14" t="str">
        <f t="shared" si="28"/>
        <v/>
      </c>
      <c r="AD133" s="14" t="str">
        <f t="shared" si="29"/>
        <v/>
      </c>
    </row>
    <row r="134" spans="1:30">
      <c r="A134">
        <f t="shared" si="20"/>
        <v>131</v>
      </c>
      <c r="B134" s="2"/>
      <c r="C134" s="18"/>
      <c r="D134" s="2"/>
      <c r="E134" s="2"/>
      <c r="F134" s="3"/>
      <c r="G134" s="16"/>
      <c r="H134" s="16"/>
      <c r="I134" s="17" t="str">
        <f t="shared" ca="1" si="21"/>
        <v/>
      </c>
      <c r="J134" s="13" t="str">
        <f>IF(F134="","",'GİDER AYARLARI'!$B$4)</f>
        <v/>
      </c>
      <c r="K134" s="13" t="str">
        <f>IF(F134="","",'GİDER AYARLARI'!$B$5)</f>
        <v/>
      </c>
      <c r="L134" s="13" t="str">
        <f>IF(F134="","",'GİDER AYARLARI'!$B$6)</f>
        <v/>
      </c>
      <c r="M134" s="13" t="str">
        <f>IF(F134="","",'GİDER AYARLARI'!$B$7)</f>
        <v/>
      </c>
      <c r="N134" s="3"/>
      <c r="O134" s="13" t="str">
        <f ca="1">IF(OR(F134="",I134=""),"",IFERROR(IF(VLOOKUP(E134,'ALIM AYARLARI'!$A$4:$D$20,2,FALSE)="EVET",F134*'GİDER AYARLARI'!$B$8*I134/30,0),0))</f>
        <v/>
      </c>
      <c r="P134" s="14" t="str">
        <f t="shared" si="22"/>
        <v/>
      </c>
      <c r="Q134" s="14" t="str">
        <f t="shared" si="23"/>
        <v/>
      </c>
      <c r="R134" s="2"/>
      <c r="S134" s="2"/>
      <c r="T134" s="3"/>
      <c r="U134" s="14" t="str">
        <f t="shared" si="24"/>
        <v/>
      </c>
      <c r="V134" s="14" t="str">
        <f t="shared" si="25"/>
        <v/>
      </c>
      <c r="W134" s="15" t="str">
        <f t="shared" si="26"/>
        <v/>
      </c>
      <c r="X134" s="12" t="str">
        <f t="shared" si="27"/>
        <v/>
      </c>
      <c r="Y134" s="2"/>
      <c r="Z134" s="3"/>
      <c r="AA134" s="3"/>
      <c r="AB134" s="3"/>
      <c r="AC134" s="14" t="str">
        <f t="shared" si="28"/>
        <v/>
      </c>
      <c r="AD134" s="14" t="str">
        <f t="shared" si="29"/>
        <v/>
      </c>
    </row>
    <row r="135" spans="1:30">
      <c r="A135">
        <f t="shared" si="20"/>
        <v>132</v>
      </c>
      <c r="B135" s="2"/>
      <c r="C135" s="18"/>
      <c r="D135" s="2"/>
      <c r="E135" s="2"/>
      <c r="F135" s="3"/>
      <c r="G135" s="16"/>
      <c r="H135" s="16"/>
      <c r="I135" s="17" t="str">
        <f t="shared" ca="1" si="21"/>
        <v/>
      </c>
      <c r="J135" s="13" t="str">
        <f>IF(F135="","",'GİDER AYARLARI'!$B$4)</f>
        <v/>
      </c>
      <c r="K135" s="13" t="str">
        <f>IF(F135="","",'GİDER AYARLARI'!$B$5)</f>
        <v/>
      </c>
      <c r="L135" s="13" t="str">
        <f>IF(F135="","",'GİDER AYARLARI'!$B$6)</f>
        <v/>
      </c>
      <c r="M135" s="13" t="str">
        <f>IF(F135="","",'GİDER AYARLARI'!$B$7)</f>
        <v/>
      </c>
      <c r="N135" s="3"/>
      <c r="O135" s="13" t="str">
        <f ca="1">IF(OR(F135="",I135=""),"",IFERROR(IF(VLOOKUP(E135,'ALIM AYARLARI'!$A$4:$D$20,2,FALSE)="EVET",F135*'GİDER AYARLARI'!$B$8*I135/30,0),0))</f>
        <v/>
      </c>
      <c r="P135" s="14" t="str">
        <f t="shared" si="22"/>
        <v/>
      </c>
      <c r="Q135" s="14" t="str">
        <f t="shared" si="23"/>
        <v/>
      </c>
      <c r="R135" s="2"/>
      <c r="S135" s="2"/>
      <c r="T135" s="3"/>
      <c r="U135" s="14" t="str">
        <f t="shared" si="24"/>
        <v/>
      </c>
      <c r="V135" s="14" t="str">
        <f t="shared" si="25"/>
        <v/>
      </c>
      <c r="W135" s="15" t="str">
        <f t="shared" si="26"/>
        <v/>
      </c>
      <c r="X135" s="12" t="str">
        <f t="shared" si="27"/>
        <v/>
      </c>
      <c r="Y135" s="2"/>
      <c r="Z135" s="3"/>
      <c r="AA135" s="3"/>
      <c r="AB135" s="3"/>
      <c r="AC135" s="14" t="str">
        <f t="shared" si="28"/>
        <v/>
      </c>
      <c r="AD135" s="14" t="str">
        <f t="shared" si="29"/>
        <v/>
      </c>
    </row>
    <row r="136" spans="1:30">
      <c r="A136">
        <f t="shared" si="20"/>
        <v>133</v>
      </c>
      <c r="B136" s="2"/>
      <c r="C136" s="18"/>
      <c r="D136" s="2"/>
      <c r="E136" s="2"/>
      <c r="F136" s="3"/>
      <c r="G136" s="16"/>
      <c r="H136" s="16"/>
      <c r="I136" s="17" t="str">
        <f t="shared" ca="1" si="21"/>
        <v/>
      </c>
      <c r="J136" s="13" t="str">
        <f>IF(F136="","",'GİDER AYARLARI'!$B$4)</f>
        <v/>
      </c>
      <c r="K136" s="13" t="str">
        <f>IF(F136="","",'GİDER AYARLARI'!$B$5)</f>
        <v/>
      </c>
      <c r="L136" s="13" t="str">
        <f>IF(F136="","",'GİDER AYARLARI'!$B$6)</f>
        <v/>
      </c>
      <c r="M136" s="13" t="str">
        <f>IF(F136="","",'GİDER AYARLARI'!$B$7)</f>
        <v/>
      </c>
      <c r="N136" s="3"/>
      <c r="O136" s="13" t="str">
        <f ca="1">IF(OR(F136="",I136=""),"",IFERROR(IF(VLOOKUP(E136,'ALIM AYARLARI'!$A$4:$D$20,2,FALSE)="EVET",F136*'GİDER AYARLARI'!$B$8*I136/30,0),0))</f>
        <v/>
      </c>
      <c r="P136" s="14" t="str">
        <f t="shared" si="22"/>
        <v/>
      </c>
      <c r="Q136" s="14" t="str">
        <f t="shared" si="23"/>
        <v/>
      </c>
      <c r="R136" s="2"/>
      <c r="S136" s="2"/>
      <c r="T136" s="3"/>
      <c r="U136" s="14" t="str">
        <f t="shared" si="24"/>
        <v/>
      </c>
      <c r="V136" s="14" t="str">
        <f t="shared" si="25"/>
        <v/>
      </c>
      <c r="W136" s="15" t="str">
        <f t="shared" si="26"/>
        <v/>
      </c>
      <c r="X136" s="12" t="str">
        <f t="shared" si="27"/>
        <v/>
      </c>
      <c r="Y136" s="2"/>
      <c r="Z136" s="3"/>
      <c r="AA136" s="3"/>
      <c r="AB136" s="3"/>
      <c r="AC136" s="14" t="str">
        <f t="shared" si="28"/>
        <v/>
      </c>
      <c r="AD136" s="14" t="str">
        <f t="shared" si="29"/>
        <v/>
      </c>
    </row>
    <row r="137" spans="1:30">
      <c r="A137">
        <f t="shared" si="20"/>
        <v>134</v>
      </c>
      <c r="B137" s="2"/>
      <c r="C137" s="18"/>
      <c r="D137" s="2"/>
      <c r="E137" s="2"/>
      <c r="F137" s="3"/>
      <c r="G137" s="16"/>
      <c r="H137" s="16"/>
      <c r="I137" s="17" t="str">
        <f t="shared" ca="1" si="21"/>
        <v/>
      </c>
      <c r="J137" s="13" t="str">
        <f>IF(F137="","",'GİDER AYARLARI'!$B$4)</f>
        <v/>
      </c>
      <c r="K137" s="13" t="str">
        <f>IF(F137="","",'GİDER AYARLARI'!$B$5)</f>
        <v/>
      </c>
      <c r="L137" s="13" t="str">
        <f>IF(F137="","",'GİDER AYARLARI'!$B$6)</f>
        <v/>
      </c>
      <c r="M137" s="13" t="str">
        <f>IF(F137="","",'GİDER AYARLARI'!$B$7)</f>
        <v/>
      </c>
      <c r="N137" s="3"/>
      <c r="O137" s="13" t="str">
        <f ca="1">IF(OR(F137="",I137=""),"",IFERROR(IF(VLOOKUP(E137,'ALIM AYARLARI'!$A$4:$D$20,2,FALSE)="EVET",F137*'GİDER AYARLARI'!$B$8*I137/30,0),0))</f>
        <v/>
      </c>
      <c r="P137" s="14" t="str">
        <f t="shared" si="22"/>
        <v/>
      </c>
      <c r="Q137" s="14" t="str">
        <f t="shared" si="23"/>
        <v/>
      </c>
      <c r="R137" s="2"/>
      <c r="S137" s="2"/>
      <c r="T137" s="3"/>
      <c r="U137" s="14" t="str">
        <f t="shared" si="24"/>
        <v/>
      </c>
      <c r="V137" s="14" t="str">
        <f t="shared" si="25"/>
        <v/>
      </c>
      <c r="W137" s="15" t="str">
        <f t="shared" si="26"/>
        <v/>
      </c>
      <c r="X137" s="12" t="str">
        <f t="shared" si="27"/>
        <v/>
      </c>
      <c r="Y137" s="2"/>
      <c r="Z137" s="3"/>
      <c r="AA137" s="3"/>
      <c r="AB137" s="3"/>
      <c r="AC137" s="14" t="str">
        <f t="shared" si="28"/>
        <v/>
      </c>
      <c r="AD137" s="14" t="str">
        <f t="shared" si="29"/>
        <v/>
      </c>
    </row>
    <row r="138" spans="1:30">
      <c r="A138">
        <f t="shared" si="20"/>
        <v>135</v>
      </c>
      <c r="B138" s="2"/>
      <c r="C138" s="18"/>
      <c r="D138" s="2"/>
      <c r="E138" s="2"/>
      <c r="F138" s="3"/>
      <c r="G138" s="16"/>
      <c r="H138" s="16"/>
      <c r="I138" s="17" t="str">
        <f t="shared" ca="1" si="21"/>
        <v/>
      </c>
      <c r="J138" s="13" t="str">
        <f>IF(F138="","",'GİDER AYARLARI'!$B$4)</f>
        <v/>
      </c>
      <c r="K138" s="13" t="str">
        <f>IF(F138="","",'GİDER AYARLARI'!$B$5)</f>
        <v/>
      </c>
      <c r="L138" s="13" t="str">
        <f>IF(F138="","",'GİDER AYARLARI'!$B$6)</f>
        <v/>
      </c>
      <c r="M138" s="13" t="str">
        <f>IF(F138="","",'GİDER AYARLARI'!$B$7)</f>
        <v/>
      </c>
      <c r="N138" s="3"/>
      <c r="O138" s="13" t="str">
        <f ca="1">IF(OR(F138="",I138=""),"",IFERROR(IF(VLOOKUP(E138,'ALIM AYARLARI'!$A$4:$D$20,2,FALSE)="EVET",F138*'GİDER AYARLARI'!$B$8*I138/30,0),0))</f>
        <v/>
      </c>
      <c r="P138" s="14" t="str">
        <f t="shared" si="22"/>
        <v/>
      </c>
      <c r="Q138" s="14" t="str">
        <f t="shared" si="23"/>
        <v/>
      </c>
      <c r="R138" s="2"/>
      <c r="S138" s="2"/>
      <c r="T138" s="3"/>
      <c r="U138" s="14" t="str">
        <f t="shared" si="24"/>
        <v/>
      </c>
      <c r="V138" s="14" t="str">
        <f t="shared" si="25"/>
        <v/>
      </c>
      <c r="W138" s="15" t="str">
        <f t="shared" si="26"/>
        <v/>
      </c>
      <c r="X138" s="12" t="str">
        <f t="shared" si="27"/>
        <v/>
      </c>
      <c r="Y138" s="2"/>
      <c r="Z138" s="3"/>
      <c r="AA138" s="3"/>
      <c r="AB138" s="3"/>
      <c r="AC138" s="14" t="str">
        <f t="shared" si="28"/>
        <v/>
      </c>
      <c r="AD138" s="14" t="str">
        <f t="shared" si="29"/>
        <v/>
      </c>
    </row>
    <row r="139" spans="1:30">
      <c r="A139">
        <f t="shared" si="20"/>
        <v>136</v>
      </c>
      <c r="B139" s="2"/>
      <c r="C139" s="18"/>
      <c r="D139" s="2"/>
      <c r="E139" s="2"/>
      <c r="F139" s="3"/>
      <c r="G139" s="16"/>
      <c r="H139" s="16"/>
      <c r="I139" s="17" t="str">
        <f t="shared" ca="1" si="21"/>
        <v/>
      </c>
      <c r="J139" s="13" t="str">
        <f>IF(F139="","",'GİDER AYARLARI'!$B$4)</f>
        <v/>
      </c>
      <c r="K139" s="13" t="str">
        <f>IF(F139="","",'GİDER AYARLARI'!$B$5)</f>
        <v/>
      </c>
      <c r="L139" s="13" t="str">
        <f>IF(F139="","",'GİDER AYARLARI'!$B$6)</f>
        <v/>
      </c>
      <c r="M139" s="13" t="str">
        <f>IF(F139="","",'GİDER AYARLARI'!$B$7)</f>
        <v/>
      </c>
      <c r="N139" s="3"/>
      <c r="O139" s="13" t="str">
        <f ca="1">IF(OR(F139="",I139=""),"",IFERROR(IF(VLOOKUP(E139,'ALIM AYARLARI'!$A$4:$D$20,2,FALSE)="EVET",F139*'GİDER AYARLARI'!$B$8*I139/30,0),0))</f>
        <v/>
      </c>
      <c r="P139" s="14" t="str">
        <f t="shared" si="22"/>
        <v/>
      </c>
      <c r="Q139" s="14" t="str">
        <f t="shared" si="23"/>
        <v/>
      </c>
      <c r="R139" s="2"/>
      <c r="S139" s="2"/>
      <c r="T139" s="3"/>
      <c r="U139" s="14" t="str">
        <f t="shared" si="24"/>
        <v/>
      </c>
      <c r="V139" s="14" t="str">
        <f t="shared" si="25"/>
        <v/>
      </c>
      <c r="W139" s="15" t="str">
        <f t="shared" si="26"/>
        <v/>
      </c>
      <c r="X139" s="12" t="str">
        <f t="shared" si="27"/>
        <v/>
      </c>
      <c r="Y139" s="2"/>
      <c r="Z139" s="3"/>
      <c r="AA139" s="3"/>
      <c r="AB139" s="3"/>
      <c r="AC139" s="14" t="str">
        <f t="shared" si="28"/>
        <v/>
      </c>
      <c r="AD139" s="14" t="str">
        <f t="shared" si="29"/>
        <v/>
      </c>
    </row>
    <row r="140" spans="1:30">
      <c r="A140">
        <f t="shared" si="20"/>
        <v>137</v>
      </c>
      <c r="B140" s="2"/>
      <c r="C140" s="18"/>
      <c r="D140" s="2"/>
      <c r="E140" s="2"/>
      <c r="F140" s="3"/>
      <c r="G140" s="16"/>
      <c r="H140" s="16"/>
      <c r="I140" s="17" t="str">
        <f t="shared" ca="1" si="21"/>
        <v/>
      </c>
      <c r="J140" s="13" t="str">
        <f>IF(F140="","",'GİDER AYARLARI'!$B$4)</f>
        <v/>
      </c>
      <c r="K140" s="13" t="str">
        <f>IF(F140="","",'GİDER AYARLARI'!$B$5)</f>
        <v/>
      </c>
      <c r="L140" s="13" t="str">
        <f>IF(F140="","",'GİDER AYARLARI'!$B$6)</f>
        <v/>
      </c>
      <c r="M140" s="13" t="str">
        <f>IF(F140="","",'GİDER AYARLARI'!$B$7)</f>
        <v/>
      </c>
      <c r="N140" s="3"/>
      <c r="O140" s="13" t="str">
        <f ca="1">IF(OR(F140="",I140=""),"",IFERROR(IF(VLOOKUP(E140,'ALIM AYARLARI'!$A$4:$D$20,2,FALSE)="EVET",F140*'GİDER AYARLARI'!$B$8*I140/30,0),0))</f>
        <v/>
      </c>
      <c r="P140" s="14" t="str">
        <f t="shared" si="22"/>
        <v/>
      </c>
      <c r="Q140" s="14" t="str">
        <f t="shared" si="23"/>
        <v/>
      </c>
      <c r="R140" s="2"/>
      <c r="S140" s="2"/>
      <c r="T140" s="3"/>
      <c r="U140" s="14" t="str">
        <f t="shared" si="24"/>
        <v/>
      </c>
      <c r="V140" s="14" t="str">
        <f t="shared" si="25"/>
        <v/>
      </c>
      <c r="W140" s="15" t="str">
        <f t="shared" si="26"/>
        <v/>
      </c>
      <c r="X140" s="12" t="str">
        <f t="shared" si="27"/>
        <v/>
      </c>
      <c r="Y140" s="2"/>
      <c r="Z140" s="3"/>
      <c r="AA140" s="3"/>
      <c r="AB140" s="3"/>
      <c r="AC140" s="14" t="str">
        <f t="shared" si="28"/>
        <v/>
      </c>
      <c r="AD140" s="14" t="str">
        <f t="shared" si="29"/>
        <v/>
      </c>
    </row>
    <row r="141" spans="1:30">
      <c r="A141">
        <f t="shared" si="20"/>
        <v>138</v>
      </c>
      <c r="B141" s="2"/>
      <c r="C141" s="18"/>
      <c r="D141" s="2"/>
      <c r="E141" s="2"/>
      <c r="F141" s="3"/>
      <c r="G141" s="16"/>
      <c r="H141" s="16"/>
      <c r="I141" s="17" t="str">
        <f t="shared" ca="1" si="21"/>
        <v/>
      </c>
      <c r="J141" s="13" t="str">
        <f>IF(F141="","",'GİDER AYARLARI'!$B$4)</f>
        <v/>
      </c>
      <c r="K141" s="13" t="str">
        <f>IF(F141="","",'GİDER AYARLARI'!$B$5)</f>
        <v/>
      </c>
      <c r="L141" s="13" t="str">
        <f>IF(F141="","",'GİDER AYARLARI'!$B$6)</f>
        <v/>
      </c>
      <c r="M141" s="13" t="str">
        <f>IF(F141="","",'GİDER AYARLARI'!$B$7)</f>
        <v/>
      </c>
      <c r="N141" s="3"/>
      <c r="O141" s="13" t="str">
        <f ca="1">IF(OR(F141="",I141=""),"",IFERROR(IF(VLOOKUP(E141,'ALIM AYARLARI'!$A$4:$D$20,2,FALSE)="EVET",F141*'GİDER AYARLARI'!$B$8*I141/30,0),0))</f>
        <v/>
      </c>
      <c r="P141" s="14" t="str">
        <f t="shared" si="22"/>
        <v/>
      </c>
      <c r="Q141" s="14" t="str">
        <f t="shared" si="23"/>
        <v/>
      </c>
      <c r="R141" s="2"/>
      <c r="S141" s="2"/>
      <c r="T141" s="3"/>
      <c r="U141" s="14" t="str">
        <f t="shared" si="24"/>
        <v/>
      </c>
      <c r="V141" s="14" t="str">
        <f t="shared" si="25"/>
        <v/>
      </c>
      <c r="W141" s="15" t="str">
        <f t="shared" si="26"/>
        <v/>
      </c>
      <c r="X141" s="12" t="str">
        <f t="shared" si="27"/>
        <v/>
      </c>
      <c r="Y141" s="2"/>
      <c r="Z141" s="3"/>
      <c r="AA141" s="3"/>
      <c r="AB141" s="3"/>
      <c r="AC141" s="14" t="str">
        <f t="shared" si="28"/>
        <v/>
      </c>
      <c r="AD141" s="14" t="str">
        <f t="shared" si="29"/>
        <v/>
      </c>
    </row>
    <row r="142" spans="1:30">
      <c r="A142">
        <f t="shared" si="20"/>
        <v>139</v>
      </c>
      <c r="B142" s="2"/>
      <c r="C142" s="18"/>
      <c r="D142" s="2"/>
      <c r="E142" s="2"/>
      <c r="F142" s="3"/>
      <c r="G142" s="16"/>
      <c r="H142" s="16"/>
      <c r="I142" s="17" t="str">
        <f t="shared" ca="1" si="21"/>
        <v/>
      </c>
      <c r="J142" s="13" t="str">
        <f>IF(F142="","",'GİDER AYARLARI'!$B$4)</f>
        <v/>
      </c>
      <c r="K142" s="13" t="str">
        <f>IF(F142="","",'GİDER AYARLARI'!$B$5)</f>
        <v/>
      </c>
      <c r="L142" s="13" t="str">
        <f>IF(F142="","",'GİDER AYARLARI'!$B$6)</f>
        <v/>
      </c>
      <c r="M142" s="13" t="str">
        <f>IF(F142="","",'GİDER AYARLARI'!$B$7)</f>
        <v/>
      </c>
      <c r="N142" s="3"/>
      <c r="O142" s="13" t="str">
        <f ca="1">IF(OR(F142="",I142=""),"",IFERROR(IF(VLOOKUP(E142,'ALIM AYARLARI'!$A$4:$D$20,2,FALSE)="EVET",F142*'GİDER AYARLARI'!$B$8*I142/30,0),0))</f>
        <v/>
      </c>
      <c r="P142" s="14" t="str">
        <f t="shared" si="22"/>
        <v/>
      </c>
      <c r="Q142" s="14" t="str">
        <f t="shared" si="23"/>
        <v/>
      </c>
      <c r="R142" s="2"/>
      <c r="S142" s="2"/>
      <c r="T142" s="3"/>
      <c r="U142" s="14" t="str">
        <f t="shared" si="24"/>
        <v/>
      </c>
      <c r="V142" s="14" t="str">
        <f t="shared" si="25"/>
        <v/>
      </c>
      <c r="W142" s="15" t="str">
        <f t="shared" si="26"/>
        <v/>
      </c>
      <c r="X142" s="12" t="str">
        <f t="shared" si="27"/>
        <v/>
      </c>
      <c r="Y142" s="2"/>
      <c r="Z142" s="3"/>
      <c r="AA142" s="3"/>
      <c r="AB142" s="3"/>
      <c r="AC142" s="14" t="str">
        <f t="shared" si="28"/>
        <v/>
      </c>
      <c r="AD142" s="14" t="str">
        <f t="shared" si="29"/>
        <v/>
      </c>
    </row>
    <row r="143" spans="1:30">
      <c r="A143">
        <f t="shared" si="20"/>
        <v>140</v>
      </c>
      <c r="B143" s="2"/>
      <c r="C143" s="18"/>
      <c r="D143" s="2"/>
      <c r="E143" s="2"/>
      <c r="F143" s="3"/>
      <c r="G143" s="16"/>
      <c r="H143" s="16"/>
      <c r="I143" s="17" t="str">
        <f t="shared" ca="1" si="21"/>
        <v/>
      </c>
      <c r="J143" s="13" t="str">
        <f>IF(F143="","",'GİDER AYARLARI'!$B$4)</f>
        <v/>
      </c>
      <c r="K143" s="13" t="str">
        <f>IF(F143="","",'GİDER AYARLARI'!$B$5)</f>
        <v/>
      </c>
      <c r="L143" s="13" t="str">
        <f>IF(F143="","",'GİDER AYARLARI'!$B$6)</f>
        <v/>
      </c>
      <c r="M143" s="13" t="str">
        <f>IF(F143="","",'GİDER AYARLARI'!$B$7)</f>
        <v/>
      </c>
      <c r="N143" s="3"/>
      <c r="O143" s="13" t="str">
        <f ca="1">IF(OR(F143="",I143=""),"",IFERROR(IF(VLOOKUP(E143,'ALIM AYARLARI'!$A$4:$D$20,2,FALSE)="EVET",F143*'GİDER AYARLARI'!$B$8*I143/30,0),0))</f>
        <v/>
      </c>
      <c r="P143" s="14" t="str">
        <f t="shared" si="22"/>
        <v/>
      </c>
      <c r="Q143" s="14" t="str">
        <f t="shared" si="23"/>
        <v/>
      </c>
      <c r="R143" s="2"/>
      <c r="S143" s="2"/>
      <c r="T143" s="3"/>
      <c r="U143" s="14" t="str">
        <f t="shared" si="24"/>
        <v/>
      </c>
      <c r="V143" s="14" t="str">
        <f t="shared" si="25"/>
        <v/>
      </c>
      <c r="W143" s="15" t="str">
        <f t="shared" si="26"/>
        <v/>
      </c>
      <c r="X143" s="12" t="str">
        <f t="shared" si="27"/>
        <v/>
      </c>
      <c r="Y143" s="2"/>
      <c r="Z143" s="3"/>
      <c r="AA143" s="3"/>
      <c r="AB143" s="3"/>
      <c r="AC143" s="14" t="str">
        <f t="shared" si="28"/>
        <v/>
      </c>
      <c r="AD143" s="14" t="str">
        <f t="shared" si="29"/>
        <v/>
      </c>
    </row>
    <row r="144" spans="1:30">
      <c r="A144">
        <f t="shared" si="20"/>
        <v>141</v>
      </c>
      <c r="B144" s="2"/>
      <c r="C144" s="18"/>
      <c r="D144" s="2"/>
      <c r="E144" s="2"/>
      <c r="F144" s="3"/>
      <c r="G144" s="16"/>
      <c r="H144" s="16"/>
      <c r="I144" s="17" t="str">
        <f t="shared" ca="1" si="21"/>
        <v/>
      </c>
      <c r="J144" s="13" t="str">
        <f>IF(F144="","",'GİDER AYARLARI'!$B$4)</f>
        <v/>
      </c>
      <c r="K144" s="13" t="str">
        <f>IF(F144="","",'GİDER AYARLARI'!$B$5)</f>
        <v/>
      </c>
      <c r="L144" s="13" t="str">
        <f>IF(F144="","",'GİDER AYARLARI'!$B$6)</f>
        <v/>
      </c>
      <c r="M144" s="13" t="str">
        <f>IF(F144="","",'GİDER AYARLARI'!$B$7)</f>
        <v/>
      </c>
      <c r="N144" s="3"/>
      <c r="O144" s="13" t="str">
        <f ca="1">IF(OR(F144="",I144=""),"",IFERROR(IF(VLOOKUP(E144,'ALIM AYARLARI'!$A$4:$D$20,2,FALSE)="EVET",F144*'GİDER AYARLARI'!$B$8*I144/30,0),0))</f>
        <v/>
      </c>
      <c r="P144" s="14" t="str">
        <f t="shared" si="22"/>
        <v/>
      </c>
      <c r="Q144" s="14" t="str">
        <f t="shared" si="23"/>
        <v/>
      </c>
      <c r="R144" s="2"/>
      <c r="S144" s="2"/>
      <c r="T144" s="3"/>
      <c r="U144" s="14" t="str">
        <f t="shared" si="24"/>
        <v/>
      </c>
      <c r="V144" s="14" t="str">
        <f t="shared" si="25"/>
        <v/>
      </c>
      <c r="W144" s="15" t="str">
        <f t="shared" si="26"/>
        <v/>
      </c>
      <c r="X144" s="12" t="str">
        <f t="shared" si="27"/>
        <v/>
      </c>
      <c r="Y144" s="2"/>
      <c r="Z144" s="3"/>
      <c r="AA144" s="3"/>
      <c r="AB144" s="3"/>
      <c r="AC144" s="14" t="str">
        <f t="shared" si="28"/>
        <v/>
      </c>
      <c r="AD144" s="14" t="str">
        <f t="shared" si="29"/>
        <v/>
      </c>
    </row>
    <row r="145" spans="1:30">
      <c r="A145">
        <f t="shared" si="20"/>
        <v>142</v>
      </c>
      <c r="B145" s="2"/>
      <c r="C145" s="18"/>
      <c r="D145" s="2"/>
      <c r="E145" s="2"/>
      <c r="F145" s="3"/>
      <c r="G145" s="16"/>
      <c r="H145" s="16"/>
      <c r="I145" s="17" t="str">
        <f t="shared" ca="1" si="21"/>
        <v/>
      </c>
      <c r="J145" s="13" t="str">
        <f>IF(F145="","",'GİDER AYARLARI'!$B$4)</f>
        <v/>
      </c>
      <c r="K145" s="13" t="str">
        <f>IF(F145="","",'GİDER AYARLARI'!$B$5)</f>
        <v/>
      </c>
      <c r="L145" s="13" t="str">
        <f>IF(F145="","",'GİDER AYARLARI'!$B$6)</f>
        <v/>
      </c>
      <c r="M145" s="13" t="str">
        <f>IF(F145="","",'GİDER AYARLARI'!$B$7)</f>
        <v/>
      </c>
      <c r="N145" s="3"/>
      <c r="O145" s="13" t="str">
        <f ca="1">IF(OR(F145="",I145=""),"",IFERROR(IF(VLOOKUP(E145,'ALIM AYARLARI'!$A$4:$D$20,2,FALSE)="EVET",F145*'GİDER AYARLARI'!$B$8*I145/30,0),0))</f>
        <v/>
      </c>
      <c r="P145" s="14" t="str">
        <f t="shared" si="22"/>
        <v/>
      </c>
      <c r="Q145" s="14" t="str">
        <f t="shared" si="23"/>
        <v/>
      </c>
      <c r="R145" s="2"/>
      <c r="S145" s="2"/>
      <c r="T145" s="3"/>
      <c r="U145" s="14" t="str">
        <f t="shared" si="24"/>
        <v/>
      </c>
      <c r="V145" s="14" t="str">
        <f t="shared" si="25"/>
        <v/>
      </c>
      <c r="W145" s="15" t="str">
        <f t="shared" si="26"/>
        <v/>
      </c>
      <c r="X145" s="12" t="str">
        <f t="shared" si="27"/>
        <v/>
      </c>
      <c r="Y145" s="2"/>
      <c r="Z145" s="3"/>
      <c r="AA145" s="3"/>
      <c r="AB145" s="3"/>
      <c r="AC145" s="14" t="str">
        <f t="shared" si="28"/>
        <v/>
      </c>
      <c r="AD145" s="14" t="str">
        <f t="shared" si="29"/>
        <v/>
      </c>
    </row>
    <row r="146" spans="1:30">
      <c r="A146">
        <f t="shared" si="20"/>
        <v>143</v>
      </c>
      <c r="B146" s="2"/>
      <c r="C146" s="18"/>
      <c r="D146" s="2"/>
      <c r="E146" s="2"/>
      <c r="F146" s="3"/>
      <c r="G146" s="16"/>
      <c r="H146" s="16"/>
      <c r="I146" s="17" t="str">
        <f t="shared" ca="1" si="21"/>
        <v/>
      </c>
      <c r="J146" s="13" t="str">
        <f>IF(F146="","",'GİDER AYARLARI'!$B$4)</f>
        <v/>
      </c>
      <c r="K146" s="13" t="str">
        <f>IF(F146="","",'GİDER AYARLARI'!$B$5)</f>
        <v/>
      </c>
      <c r="L146" s="13" t="str">
        <f>IF(F146="","",'GİDER AYARLARI'!$B$6)</f>
        <v/>
      </c>
      <c r="M146" s="13" t="str">
        <f>IF(F146="","",'GİDER AYARLARI'!$B$7)</f>
        <v/>
      </c>
      <c r="N146" s="3"/>
      <c r="O146" s="13" t="str">
        <f ca="1">IF(OR(F146="",I146=""),"",IFERROR(IF(VLOOKUP(E146,'ALIM AYARLARI'!$A$4:$D$20,2,FALSE)="EVET",F146*'GİDER AYARLARI'!$B$8*I146/30,0),0))</f>
        <v/>
      </c>
      <c r="P146" s="14" t="str">
        <f t="shared" si="22"/>
        <v/>
      </c>
      <c r="Q146" s="14" t="str">
        <f t="shared" si="23"/>
        <v/>
      </c>
      <c r="R146" s="2"/>
      <c r="S146" s="2"/>
      <c r="T146" s="3"/>
      <c r="U146" s="14" t="str">
        <f t="shared" si="24"/>
        <v/>
      </c>
      <c r="V146" s="14" t="str">
        <f t="shared" si="25"/>
        <v/>
      </c>
      <c r="W146" s="15" t="str">
        <f t="shared" si="26"/>
        <v/>
      </c>
      <c r="X146" s="12" t="str">
        <f t="shared" si="27"/>
        <v/>
      </c>
      <c r="Y146" s="2"/>
      <c r="Z146" s="3"/>
      <c r="AA146" s="3"/>
      <c r="AB146" s="3"/>
      <c r="AC146" s="14" t="str">
        <f t="shared" si="28"/>
        <v/>
      </c>
      <c r="AD146" s="14" t="str">
        <f t="shared" si="29"/>
        <v/>
      </c>
    </row>
    <row r="147" spans="1:30">
      <c r="A147">
        <f t="shared" si="20"/>
        <v>144</v>
      </c>
      <c r="B147" s="2"/>
      <c r="C147" s="18"/>
      <c r="D147" s="2"/>
      <c r="E147" s="2"/>
      <c r="F147" s="3"/>
      <c r="G147" s="16"/>
      <c r="H147" s="16"/>
      <c r="I147" s="17" t="str">
        <f t="shared" ca="1" si="21"/>
        <v/>
      </c>
      <c r="J147" s="13" t="str">
        <f>IF(F147="","",'GİDER AYARLARI'!$B$4)</f>
        <v/>
      </c>
      <c r="K147" s="13" t="str">
        <f>IF(F147="","",'GİDER AYARLARI'!$B$5)</f>
        <v/>
      </c>
      <c r="L147" s="13" t="str">
        <f>IF(F147="","",'GİDER AYARLARI'!$B$6)</f>
        <v/>
      </c>
      <c r="M147" s="13" t="str">
        <f>IF(F147="","",'GİDER AYARLARI'!$B$7)</f>
        <v/>
      </c>
      <c r="N147" s="3"/>
      <c r="O147" s="13" t="str">
        <f ca="1">IF(OR(F147="",I147=""),"",IFERROR(IF(VLOOKUP(E147,'ALIM AYARLARI'!$A$4:$D$20,2,FALSE)="EVET",F147*'GİDER AYARLARI'!$B$8*I147/30,0),0))</f>
        <v/>
      </c>
      <c r="P147" s="14" t="str">
        <f t="shared" si="22"/>
        <v/>
      </c>
      <c r="Q147" s="14" t="str">
        <f t="shared" si="23"/>
        <v/>
      </c>
      <c r="R147" s="2"/>
      <c r="S147" s="2"/>
      <c r="T147" s="3"/>
      <c r="U147" s="14" t="str">
        <f t="shared" si="24"/>
        <v/>
      </c>
      <c r="V147" s="14" t="str">
        <f t="shared" si="25"/>
        <v/>
      </c>
      <c r="W147" s="15" t="str">
        <f t="shared" si="26"/>
        <v/>
      </c>
      <c r="X147" s="12" t="str">
        <f t="shared" si="27"/>
        <v/>
      </c>
      <c r="Y147" s="2"/>
      <c r="Z147" s="3"/>
      <c r="AA147" s="3"/>
      <c r="AB147" s="3"/>
      <c r="AC147" s="14" t="str">
        <f t="shared" si="28"/>
        <v/>
      </c>
      <c r="AD147" s="14" t="str">
        <f t="shared" si="29"/>
        <v/>
      </c>
    </row>
    <row r="148" spans="1:30">
      <c r="A148">
        <f t="shared" si="20"/>
        <v>145</v>
      </c>
      <c r="B148" s="2"/>
      <c r="C148" s="18"/>
      <c r="D148" s="2"/>
      <c r="E148" s="2"/>
      <c r="F148" s="3"/>
      <c r="G148" s="16"/>
      <c r="H148" s="16"/>
      <c r="I148" s="17" t="str">
        <f t="shared" ca="1" si="21"/>
        <v/>
      </c>
      <c r="J148" s="13" t="str">
        <f>IF(F148="","",'GİDER AYARLARI'!$B$4)</f>
        <v/>
      </c>
      <c r="K148" s="13" t="str">
        <f>IF(F148="","",'GİDER AYARLARI'!$B$5)</f>
        <v/>
      </c>
      <c r="L148" s="13" t="str">
        <f>IF(F148="","",'GİDER AYARLARI'!$B$6)</f>
        <v/>
      </c>
      <c r="M148" s="13" t="str">
        <f>IF(F148="","",'GİDER AYARLARI'!$B$7)</f>
        <v/>
      </c>
      <c r="N148" s="3"/>
      <c r="O148" s="13" t="str">
        <f ca="1">IF(OR(F148="",I148=""),"",IFERROR(IF(VLOOKUP(E148,'ALIM AYARLARI'!$A$4:$D$20,2,FALSE)="EVET",F148*'GİDER AYARLARI'!$B$8*I148/30,0),0))</f>
        <v/>
      </c>
      <c r="P148" s="14" t="str">
        <f t="shared" si="22"/>
        <v/>
      </c>
      <c r="Q148" s="14" t="str">
        <f t="shared" si="23"/>
        <v/>
      </c>
      <c r="R148" s="2"/>
      <c r="S148" s="2"/>
      <c r="T148" s="3"/>
      <c r="U148" s="14" t="str">
        <f t="shared" si="24"/>
        <v/>
      </c>
      <c r="V148" s="14" t="str">
        <f t="shared" si="25"/>
        <v/>
      </c>
      <c r="W148" s="15" t="str">
        <f t="shared" si="26"/>
        <v/>
      </c>
      <c r="X148" s="12" t="str">
        <f t="shared" si="27"/>
        <v/>
      </c>
      <c r="Y148" s="2"/>
      <c r="Z148" s="3"/>
      <c r="AA148" s="3"/>
      <c r="AB148" s="3"/>
      <c r="AC148" s="14" t="str">
        <f t="shared" si="28"/>
        <v/>
      </c>
      <c r="AD148" s="14" t="str">
        <f t="shared" si="29"/>
        <v/>
      </c>
    </row>
    <row r="149" spans="1:30">
      <c r="A149">
        <f t="shared" si="20"/>
        <v>146</v>
      </c>
      <c r="B149" s="2"/>
      <c r="C149" s="18"/>
      <c r="D149" s="2"/>
      <c r="E149" s="2"/>
      <c r="F149" s="3"/>
      <c r="G149" s="16"/>
      <c r="H149" s="16"/>
      <c r="I149" s="17" t="str">
        <f t="shared" ca="1" si="21"/>
        <v/>
      </c>
      <c r="J149" s="13" t="str">
        <f>IF(F149="","",'GİDER AYARLARI'!$B$4)</f>
        <v/>
      </c>
      <c r="K149" s="13" t="str">
        <f>IF(F149="","",'GİDER AYARLARI'!$B$5)</f>
        <v/>
      </c>
      <c r="L149" s="13" t="str">
        <f>IF(F149="","",'GİDER AYARLARI'!$B$6)</f>
        <v/>
      </c>
      <c r="M149" s="13" t="str">
        <f>IF(F149="","",'GİDER AYARLARI'!$B$7)</f>
        <v/>
      </c>
      <c r="N149" s="3"/>
      <c r="O149" s="13" t="str">
        <f ca="1">IF(OR(F149="",I149=""),"",IFERROR(IF(VLOOKUP(E149,'ALIM AYARLARI'!$A$4:$D$20,2,FALSE)="EVET",F149*'GİDER AYARLARI'!$B$8*I149/30,0),0))</f>
        <v/>
      </c>
      <c r="P149" s="14" t="str">
        <f t="shared" si="22"/>
        <v/>
      </c>
      <c r="Q149" s="14" t="str">
        <f t="shared" si="23"/>
        <v/>
      </c>
      <c r="R149" s="2"/>
      <c r="S149" s="2"/>
      <c r="T149" s="3"/>
      <c r="U149" s="14" t="str">
        <f t="shared" si="24"/>
        <v/>
      </c>
      <c r="V149" s="14" t="str">
        <f t="shared" si="25"/>
        <v/>
      </c>
      <c r="W149" s="15" t="str">
        <f t="shared" si="26"/>
        <v/>
      </c>
      <c r="X149" s="12" t="str">
        <f t="shared" si="27"/>
        <v/>
      </c>
      <c r="Y149" s="2"/>
      <c r="Z149" s="3"/>
      <c r="AA149" s="3"/>
      <c r="AB149" s="3"/>
      <c r="AC149" s="14" t="str">
        <f t="shared" si="28"/>
        <v/>
      </c>
      <c r="AD149" s="14" t="str">
        <f t="shared" si="29"/>
        <v/>
      </c>
    </row>
    <row r="150" spans="1:30">
      <c r="A150">
        <f t="shared" si="20"/>
        <v>147</v>
      </c>
      <c r="B150" s="2"/>
      <c r="C150" s="18"/>
      <c r="D150" s="2"/>
      <c r="E150" s="2"/>
      <c r="F150" s="3"/>
      <c r="G150" s="16"/>
      <c r="H150" s="16"/>
      <c r="I150" s="17" t="str">
        <f t="shared" ca="1" si="21"/>
        <v/>
      </c>
      <c r="J150" s="13" t="str">
        <f>IF(F150="","",'GİDER AYARLARI'!$B$4)</f>
        <v/>
      </c>
      <c r="K150" s="13" t="str">
        <f>IF(F150="","",'GİDER AYARLARI'!$B$5)</f>
        <v/>
      </c>
      <c r="L150" s="13" t="str">
        <f>IF(F150="","",'GİDER AYARLARI'!$B$6)</f>
        <v/>
      </c>
      <c r="M150" s="13" t="str">
        <f>IF(F150="","",'GİDER AYARLARI'!$B$7)</f>
        <v/>
      </c>
      <c r="N150" s="3"/>
      <c r="O150" s="13" t="str">
        <f ca="1">IF(OR(F150="",I150=""),"",IFERROR(IF(VLOOKUP(E150,'ALIM AYARLARI'!$A$4:$D$20,2,FALSE)="EVET",F150*'GİDER AYARLARI'!$B$8*I150/30,0),0))</f>
        <v/>
      </c>
      <c r="P150" s="14" t="str">
        <f t="shared" si="22"/>
        <v/>
      </c>
      <c r="Q150" s="14" t="str">
        <f t="shared" si="23"/>
        <v/>
      </c>
      <c r="R150" s="2"/>
      <c r="S150" s="2"/>
      <c r="T150" s="3"/>
      <c r="U150" s="14" t="str">
        <f t="shared" si="24"/>
        <v/>
      </c>
      <c r="V150" s="14" t="str">
        <f t="shared" si="25"/>
        <v/>
      </c>
      <c r="W150" s="15" t="str">
        <f t="shared" si="26"/>
        <v/>
      </c>
      <c r="X150" s="12" t="str">
        <f t="shared" si="27"/>
        <v/>
      </c>
      <c r="Y150" s="2"/>
      <c r="Z150" s="3"/>
      <c r="AA150" s="3"/>
      <c r="AB150" s="3"/>
      <c r="AC150" s="14" t="str">
        <f t="shared" si="28"/>
        <v/>
      </c>
      <c r="AD150" s="14" t="str">
        <f t="shared" si="29"/>
        <v/>
      </c>
    </row>
    <row r="151" spans="1:30">
      <c r="A151">
        <f t="shared" si="20"/>
        <v>148</v>
      </c>
      <c r="B151" s="2"/>
      <c r="C151" s="18"/>
      <c r="D151" s="2"/>
      <c r="E151" s="2"/>
      <c r="F151" s="3"/>
      <c r="G151" s="16"/>
      <c r="H151" s="16"/>
      <c r="I151" s="17" t="str">
        <f t="shared" ca="1" si="21"/>
        <v/>
      </c>
      <c r="J151" s="13" t="str">
        <f>IF(F151="","",'GİDER AYARLARI'!$B$4)</f>
        <v/>
      </c>
      <c r="K151" s="13" t="str">
        <f>IF(F151="","",'GİDER AYARLARI'!$B$5)</f>
        <v/>
      </c>
      <c r="L151" s="13" t="str">
        <f>IF(F151="","",'GİDER AYARLARI'!$B$6)</f>
        <v/>
      </c>
      <c r="M151" s="13" t="str">
        <f>IF(F151="","",'GİDER AYARLARI'!$B$7)</f>
        <v/>
      </c>
      <c r="N151" s="3"/>
      <c r="O151" s="13" t="str">
        <f ca="1">IF(OR(F151="",I151=""),"",IFERROR(IF(VLOOKUP(E151,'ALIM AYARLARI'!$A$4:$D$20,2,FALSE)="EVET",F151*'GİDER AYARLARI'!$B$8*I151/30,0),0))</f>
        <v/>
      </c>
      <c r="P151" s="14" t="str">
        <f t="shared" si="22"/>
        <v/>
      </c>
      <c r="Q151" s="14" t="str">
        <f t="shared" si="23"/>
        <v/>
      </c>
      <c r="R151" s="2"/>
      <c r="S151" s="2"/>
      <c r="T151" s="3"/>
      <c r="U151" s="14" t="str">
        <f t="shared" si="24"/>
        <v/>
      </c>
      <c r="V151" s="14" t="str">
        <f t="shared" si="25"/>
        <v/>
      </c>
      <c r="W151" s="15" t="str">
        <f t="shared" si="26"/>
        <v/>
      </c>
      <c r="X151" s="12" t="str">
        <f t="shared" si="27"/>
        <v/>
      </c>
      <c r="Y151" s="2"/>
      <c r="Z151" s="3"/>
      <c r="AA151" s="3"/>
      <c r="AB151" s="3"/>
      <c r="AC151" s="14" t="str">
        <f t="shared" si="28"/>
        <v/>
      </c>
      <c r="AD151" s="14" t="str">
        <f t="shared" si="29"/>
        <v/>
      </c>
    </row>
    <row r="152" spans="1:30">
      <c r="A152">
        <f t="shared" si="20"/>
        <v>149</v>
      </c>
      <c r="B152" s="2"/>
      <c r="C152" s="18"/>
      <c r="D152" s="2"/>
      <c r="E152" s="2"/>
      <c r="F152" s="3"/>
      <c r="G152" s="16"/>
      <c r="H152" s="16"/>
      <c r="I152" s="17" t="str">
        <f t="shared" ca="1" si="21"/>
        <v/>
      </c>
      <c r="J152" s="13" t="str">
        <f>IF(F152="","",'GİDER AYARLARI'!$B$4)</f>
        <v/>
      </c>
      <c r="K152" s="13" t="str">
        <f>IF(F152="","",'GİDER AYARLARI'!$B$5)</f>
        <v/>
      </c>
      <c r="L152" s="13" t="str">
        <f>IF(F152="","",'GİDER AYARLARI'!$B$6)</f>
        <v/>
      </c>
      <c r="M152" s="13" t="str">
        <f>IF(F152="","",'GİDER AYARLARI'!$B$7)</f>
        <v/>
      </c>
      <c r="N152" s="3"/>
      <c r="O152" s="13" t="str">
        <f ca="1">IF(OR(F152="",I152=""),"",IFERROR(IF(VLOOKUP(E152,'ALIM AYARLARI'!$A$4:$D$20,2,FALSE)="EVET",F152*'GİDER AYARLARI'!$B$8*I152/30,0),0))</f>
        <v/>
      </c>
      <c r="P152" s="14" t="str">
        <f t="shared" si="22"/>
        <v/>
      </c>
      <c r="Q152" s="14" t="str">
        <f t="shared" si="23"/>
        <v/>
      </c>
      <c r="R152" s="2"/>
      <c r="S152" s="2"/>
      <c r="T152" s="3"/>
      <c r="U152" s="14" t="str">
        <f t="shared" si="24"/>
        <v/>
      </c>
      <c r="V152" s="14" t="str">
        <f t="shared" si="25"/>
        <v/>
      </c>
      <c r="W152" s="15" t="str">
        <f t="shared" si="26"/>
        <v/>
      </c>
      <c r="X152" s="12" t="str">
        <f t="shared" si="27"/>
        <v/>
      </c>
      <c r="Y152" s="2"/>
      <c r="Z152" s="3"/>
      <c r="AA152" s="3"/>
      <c r="AB152" s="3"/>
      <c r="AC152" s="14" t="str">
        <f t="shared" si="28"/>
        <v/>
      </c>
      <c r="AD152" s="14" t="str">
        <f t="shared" si="29"/>
        <v/>
      </c>
    </row>
    <row r="153" spans="1:30">
      <c r="A153">
        <f t="shared" si="20"/>
        <v>150</v>
      </c>
      <c r="B153" s="2"/>
      <c r="C153" s="18"/>
      <c r="D153" s="2"/>
      <c r="E153" s="2"/>
      <c r="F153" s="3"/>
      <c r="G153" s="16"/>
      <c r="H153" s="16"/>
      <c r="I153" s="17" t="str">
        <f t="shared" ca="1" si="21"/>
        <v/>
      </c>
      <c r="J153" s="13" t="str">
        <f>IF(F153="","",'GİDER AYARLARI'!$B$4)</f>
        <v/>
      </c>
      <c r="K153" s="13" t="str">
        <f>IF(F153="","",'GİDER AYARLARI'!$B$5)</f>
        <v/>
      </c>
      <c r="L153" s="13" t="str">
        <f>IF(F153="","",'GİDER AYARLARI'!$B$6)</f>
        <v/>
      </c>
      <c r="M153" s="13" t="str">
        <f>IF(F153="","",'GİDER AYARLARI'!$B$7)</f>
        <v/>
      </c>
      <c r="N153" s="3"/>
      <c r="O153" s="13" t="str">
        <f ca="1">IF(OR(F153="",I153=""),"",IFERROR(IF(VLOOKUP(E153,'ALIM AYARLARI'!$A$4:$D$20,2,FALSE)="EVET",F153*'GİDER AYARLARI'!$B$8*I153/30,0),0))</f>
        <v/>
      </c>
      <c r="P153" s="14" t="str">
        <f t="shared" si="22"/>
        <v/>
      </c>
      <c r="Q153" s="14" t="str">
        <f t="shared" si="23"/>
        <v/>
      </c>
      <c r="R153" s="2"/>
      <c r="S153" s="2"/>
      <c r="T153" s="3"/>
      <c r="U153" s="14" t="str">
        <f t="shared" si="24"/>
        <v/>
      </c>
      <c r="V153" s="14" t="str">
        <f t="shared" si="25"/>
        <v/>
      </c>
      <c r="W153" s="15" t="str">
        <f t="shared" si="26"/>
        <v/>
      </c>
      <c r="X153" s="12" t="str">
        <f t="shared" si="27"/>
        <v/>
      </c>
      <c r="Y153" s="2"/>
      <c r="Z153" s="3"/>
      <c r="AA153" s="3"/>
      <c r="AB153" s="3"/>
      <c r="AC153" s="14" t="str">
        <f t="shared" si="28"/>
        <v/>
      </c>
      <c r="AD153" s="14" t="str">
        <f t="shared" si="29"/>
        <v/>
      </c>
    </row>
    <row r="154" spans="1:30">
      <c r="A154">
        <f t="shared" si="20"/>
        <v>151</v>
      </c>
      <c r="B154" s="2"/>
      <c r="C154" s="18"/>
      <c r="D154" s="2"/>
      <c r="E154" s="2"/>
      <c r="F154" s="3"/>
      <c r="G154" s="16"/>
      <c r="H154" s="16"/>
      <c r="I154" s="17" t="str">
        <f t="shared" ca="1" si="21"/>
        <v/>
      </c>
      <c r="J154" s="13" t="str">
        <f>IF(F154="","",'GİDER AYARLARI'!$B$4)</f>
        <v/>
      </c>
      <c r="K154" s="13" t="str">
        <f>IF(F154="","",'GİDER AYARLARI'!$B$5)</f>
        <v/>
      </c>
      <c r="L154" s="13" t="str">
        <f>IF(F154="","",'GİDER AYARLARI'!$B$6)</f>
        <v/>
      </c>
      <c r="M154" s="13" t="str">
        <f>IF(F154="","",'GİDER AYARLARI'!$B$7)</f>
        <v/>
      </c>
      <c r="N154" s="3"/>
      <c r="O154" s="13" t="str">
        <f ca="1">IF(OR(F154="",I154=""),"",IFERROR(IF(VLOOKUP(E154,'ALIM AYARLARI'!$A$4:$D$20,2,FALSE)="EVET",F154*'GİDER AYARLARI'!$B$8*I154/30,0),0))</f>
        <v/>
      </c>
      <c r="P154" s="14" t="str">
        <f t="shared" si="22"/>
        <v/>
      </c>
      <c r="Q154" s="14" t="str">
        <f t="shared" si="23"/>
        <v/>
      </c>
      <c r="R154" s="2"/>
      <c r="S154" s="2"/>
      <c r="T154" s="3"/>
      <c r="U154" s="14" t="str">
        <f t="shared" si="24"/>
        <v/>
      </c>
      <c r="V154" s="14" t="str">
        <f t="shared" si="25"/>
        <v/>
      </c>
      <c r="W154" s="15" t="str">
        <f t="shared" si="26"/>
        <v/>
      </c>
      <c r="X154" s="12" t="str">
        <f t="shared" si="27"/>
        <v/>
      </c>
      <c r="Y154" s="2"/>
      <c r="Z154" s="3"/>
      <c r="AA154" s="3"/>
      <c r="AB154" s="3"/>
      <c r="AC154" s="14" t="str">
        <f t="shared" si="28"/>
        <v/>
      </c>
      <c r="AD154" s="14" t="str">
        <f t="shared" si="29"/>
        <v/>
      </c>
    </row>
    <row r="155" spans="1:30">
      <c r="A155">
        <f t="shared" si="20"/>
        <v>152</v>
      </c>
      <c r="B155" s="2"/>
      <c r="C155" s="18"/>
      <c r="D155" s="2"/>
      <c r="E155" s="2"/>
      <c r="F155" s="3"/>
      <c r="G155" s="16"/>
      <c r="H155" s="16"/>
      <c r="I155" s="17" t="str">
        <f t="shared" ca="1" si="21"/>
        <v/>
      </c>
      <c r="J155" s="13" t="str">
        <f>IF(F155="","",'GİDER AYARLARI'!$B$4)</f>
        <v/>
      </c>
      <c r="K155" s="13" t="str">
        <f>IF(F155="","",'GİDER AYARLARI'!$B$5)</f>
        <v/>
      </c>
      <c r="L155" s="13" t="str">
        <f>IF(F155="","",'GİDER AYARLARI'!$B$6)</f>
        <v/>
      </c>
      <c r="M155" s="13" t="str">
        <f>IF(F155="","",'GİDER AYARLARI'!$B$7)</f>
        <v/>
      </c>
      <c r="N155" s="3"/>
      <c r="O155" s="13" t="str">
        <f ca="1">IF(OR(F155="",I155=""),"",IFERROR(IF(VLOOKUP(E155,'ALIM AYARLARI'!$A$4:$D$20,2,FALSE)="EVET",F155*'GİDER AYARLARI'!$B$8*I155/30,0),0))</f>
        <v/>
      </c>
      <c r="P155" s="14" t="str">
        <f t="shared" si="22"/>
        <v/>
      </c>
      <c r="Q155" s="14" t="str">
        <f t="shared" si="23"/>
        <v/>
      </c>
      <c r="R155" s="2"/>
      <c r="S155" s="2"/>
      <c r="T155" s="3"/>
      <c r="U155" s="14" t="str">
        <f t="shared" si="24"/>
        <v/>
      </c>
      <c r="V155" s="14" t="str">
        <f t="shared" si="25"/>
        <v/>
      </c>
      <c r="W155" s="15" t="str">
        <f t="shared" si="26"/>
        <v/>
      </c>
      <c r="X155" s="12" t="str">
        <f t="shared" si="27"/>
        <v/>
      </c>
      <c r="Y155" s="2"/>
      <c r="Z155" s="3"/>
      <c r="AA155" s="3"/>
      <c r="AB155" s="3"/>
      <c r="AC155" s="14" t="str">
        <f t="shared" si="28"/>
        <v/>
      </c>
      <c r="AD155" s="14" t="str">
        <f t="shared" si="29"/>
        <v/>
      </c>
    </row>
    <row r="156" spans="1:30">
      <c r="A156">
        <f t="shared" si="20"/>
        <v>153</v>
      </c>
      <c r="B156" s="2"/>
      <c r="C156" s="18"/>
      <c r="D156" s="2"/>
      <c r="E156" s="2"/>
      <c r="F156" s="3"/>
      <c r="G156" s="16"/>
      <c r="H156" s="16"/>
      <c r="I156" s="17" t="str">
        <f t="shared" ca="1" si="21"/>
        <v/>
      </c>
      <c r="J156" s="13" t="str">
        <f>IF(F156="","",'GİDER AYARLARI'!$B$4)</f>
        <v/>
      </c>
      <c r="K156" s="13" t="str">
        <f>IF(F156="","",'GİDER AYARLARI'!$B$5)</f>
        <v/>
      </c>
      <c r="L156" s="13" t="str">
        <f>IF(F156="","",'GİDER AYARLARI'!$B$6)</f>
        <v/>
      </c>
      <c r="M156" s="13" t="str">
        <f>IF(F156="","",'GİDER AYARLARI'!$B$7)</f>
        <v/>
      </c>
      <c r="N156" s="3"/>
      <c r="O156" s="13" t="str">
        <f ca="1">IF(OR(F156="",I156=""),"",IFERROR(IF(VLOOKUP(E156,'ALIM AYARLARI'!$A$4:$D$20,2,FALSE)="EVET",F156*'GİDER AYARLARI'!$B$8*I156/30,0),0))</f>
        <v/>
      </c>
      <c r="P156" s="14" t="str">
        <f t="shared" si="22"/>
        <v/>
      </c>
      <c r="Q156" s="14" t="str">
        <f t="shared" si="23"/>
        <v/>
      </c>
      <c r="R156" s="2"/>
      <c r="S156" s="2"/>
      <c r="T156" s="3"/>
      <c r="U156" s="14" t="str">
        <f t="shared" si="24"/>
        <v/>
      </c>
      <c r="V156" s="14" t="str">
        <f t="shared" si="25"/>
        <v/>
      </c>
      <c r="W156" s="15" t="str">
        <f t="shared" si="26"/>
        <v/>
      </c>
      <c r="X156" s="12" t="str">
        <f t="shared" si="27"/>
        <v/>
      </c>
      <c r="Y156" s="2"/>
      <c r="Z156" s="3"/>
      <c r="AA156" s="3"/>
      <c r="AB156" s="3"/>
      <c r="AC156" s="14" t="str">
        <f t="shared" si="28"/>
        <v/>
      </c>
      <c r="AD156" s="14" t="str">
        <f t="shared" si="29"/>
        <v/>
      </c>
    </row>
    <row r="157" spans="1:30">
      <c r="A157">
        <f t="shared" si="20"/>
        <v>154</v>
      </c>
      <c r="B157" s="2"/>
      <c r="C157" s="18"/>
      <c r="D157" s="2"/>
      <c r="E157" s="2"/>
      <c r="F157" s="3"/>
      <c r="G157" s="16"/>
      <c r="H157" s="16"/>
      <c r="I157" s="17" t="str">
        <f t="shared" ca="1" si="21"/>
        <v/>
      </c>
      <c r="J157" s="13" t="str">
        <f>IF(F157="","",'GİDER AYARLARI'!$B$4)</f>
        <v/>
      </c>
      <c r="K157" s="13" t="str">
        <f>IF(F157="","",'GİDER AYARLARI'!$B$5)</f>
        <v/>
      </c>
      <c r="L157" s="13" t="str">
        <f>IF(F157="","",'GİDER AYARLARI'!$B$6)</f>
        <v/>
      </c>
      <c r="M157" s="13" t="str">
        <f>IF(F157="","",'GİDER AYARLARI'!$B$7)</f>
        <v/>
      </c>
      <c r="N157" s="3"/>
      <c r="O157" s="13" t="str">
        <f ca="1">IF(OR(F157="",I157=""),"",IFERROR(IF(VLOOKUP(E157,'ALIM AYARLARI'!$A$4:$D$20,2,FALSE)="EVET",F157*'GİDER AYARLARI'!$B$8*I157/30,0),0))</f>
        <v/>
      </c>
      <c r="P157" s="14" t="str">
        <f t="shared" si="22"/>
        <v/>
      </c>
      <c r="Q157" s="14" t="str">
        <f t="shared" si="23"/>
        <v/>
      </c>
      <c r="R157" s="2"/>
      <c r="S157" s="2"/>
      <c r="T157" s="3"/>
      <c r="U157" s="14" t="str">
        <f t="shared" si="24"/>
        <v/>
      </c>
      <c r="V157" s="14" t="str">
        <f t="shared" si="25"/>
        <v/>
      </c>
      <c r="W157" s="15" t="str">
        <f t="shared" si="26"/>
        <v/>
      </c>
      <c r="X157" s="12" t="str">
        <f t="shared" si="27"/>
        <v/>
      </c>
      <c r="Y157" s="2"/>
      <c r="Z157" s="3"/>
      <c r="AA157" s="3"/>
      <c r="AB157" s="3"/>
      <c r="AC157" s="14" t="str">
        <f t="shared" si="28"/>
        <v/>
      </c>
      <c r="AD157" s="14" t="str">
        <f t="shared" si="29"/>
        <v/>
      </c>
    </row>
    <row r="158" spans="1:30">
      <c r="A158">
        <f t="shared" si="20"/>
        <v>155</v>
      </c>
      <c r="B158" s="2"/>
      <c r="C158" s="18"/>
      <c r="D158" s="2"/>
      <c r="E158" s="2"/>
      <c r="F158" s="3"/>
      <c r="G158" s="16"/>
      <c r="H158" s="16"/>
      <c r="I158" s="17" t="str">
        <f t="shared" ca="1" si="21"/>
        <v/>
      </c>
      <c r="J158" s="13" t="str">
        <f>IF(F158="","",'GİDER AYARLARI'!$B$4)</f>
        <v/>
      </c>
      <c r="K158" s="13" t="str">
        <f>IF(F158="","",'GİDER AYARLARI'!$B$5)</f>
        <v/>
      </c>
      <c r="L158" s="13" t="str">
        <f>IF(F158="","",'GİDER AYARLARI'!$B$6)</f>
        <v/>
      </c>
      <c r="M158" s="13" t="str">
        <f>IF(F158="","",'GİDER AYARLARI'!$B$7)</f>
        <v/>
      </c>
      <c r="N158" s="3"/>
      <c r="O158" s="13" t="str">
        <f ca="1">IF(OR(F158="",I158=""),"",IFERROR(IF(VLOOKUP(E158,'ALIM AYARLARI'!$A$4:$D$20,2,FALSE)="EVET",F158*'GİDER AYARLARI'!$B$8*I158/30,0),0))</f>
        <v/>
      </c>
      <c r="P158" s="14" t="str">
        <f t="shared" si="22"/>
        <v/>
      </c>
      <c r="Q158" s="14" t="str">
        <f t="shared" si="23"/>
        <v/>
      </c>
      <c r="R158" s="2"/>
      <c r="S158" s="2"/>
      <c r="T158" s="3"/>
      <c r="U158" s="14" t="str">
        <f t="shared" si="24"/>
        <v/>
      </c>
      <c r="V158" s="14" t="str">
        <f t="shared" si="25"/>
        <v/>
      </c>
      <c r="W158" s="15" t="str">
        <f t="shared" si="26"/>
        <v/>
      </c>
      <c r="X158" s="12" t="str">
        <f t="shared" si="27"/>
        <v/>
      </c>
      <c r="Y158" s="2"/>
      <c r="Z158" s="3"/>
      <c r="AA158" s="3"/>
      <c r="AB158" s="3"/>
      <c r="AC158" s="14" t="str">
        <f t="shared" si="28"/>
        <v/>
      </c>
      <c r="AD158" s="14" t="str">
        <f t="shared" si="29"/>
        <v/>
      </c>
    </row>
    <row r="159" spans="1:30">
      <c r="A159">
        <f t="shared" si="20"/>
        <v>156</v>
      </c>
      <c r="B159" s="2"/>
      <c r="C159" s="18"/>
      <c r="D159" s="2"/>
      <c r="E159" s="2"/>
      <c r="F159" s="3"/>
      <c r="G159" s="16"/>
      <c r="H159" s="16"/>
      <c r="I159" s="17" t="str">
        <f t="shared" ca="1" si="21"/>
        <v/>
      </c>
      <c r="J159" s="13" t="str">
        <f>IF(F159="","",'GİDER AYARLARI'!$B$4)</f>
        <v/>
      </c>
      <c r="K159" s="13" t="str">
        <f>IF(F159="","",'GİDER AYARLARI'!$B$5)</f>
        <v/>
      </c>
      <c r="L159" s="13" t="str">
        <f>IF(F159="","",'GİDER AYARLARI'!$B$6)</f>
        <v/>
      </c>
      <c r="M159" s="13" t="str">
        <f>IF(F159="","",'GİDER AYARLARI'!$B$7)</f>
        <v/>
      </c>
      <c r="N159" s="3"/>
      <c r="O159" s="13" t="str">
        <f ca="1">IF(OR(F159="",I159=""),"",IFERROR(IF(VLOOKUP(E159,'ALIM AYARLARI'!$A$4:$D$20,2,FALSE)="EVET",F159*'GİDER AYARLARI'!$B$8*I159/30,0),0))</f>
        <v/>
      </c>
      <c r="P159" s="14" t="str">
        <f t="shared" si="22"/>
        <v/>
      </c>
      <c r="Q159" s="14" t="str">
        <f t="shared" si="23"/>
        <v/>
      </c>
      <c r="R159" s="2"/>
      <c r="S159" s="2"/>
      <c r="T159" s="3"/>
      <c r="U159" s="14" t="str">
        <f t="shared" si="24"/>
        <v/>
      </c>
      <c r="V159" s="14" t="str">
        <f t="shared" si="25"/>
        <v/>
      </c>
      <c r="W159" s="15" t="str">
        <f t="shared" si="26"/>
        <v/>
      </c>
      <c r="X159" s="12" t="str">
        <f t="shared" si="27"/>
        <v/>
      </c>
      <c r="Y159" s="2"/>
      <c r="Z159" s="3"/>
      <c r="AA159" s="3"/>
      <c r="AB159" s="3"/>
      <c r="AC159" s="14" t="str">
        <f t="shared" si="28"/>
        <v/>
      </c>
      <c r="AD159" s="14" t="str">
        <f t="shared" si="29"/>
        <v/>
      </c>
    </row>
    <row r="160" spans="1:30">
      <c r="A160">
        <f t="shared" si="20"/>
        <v>157</v>
      </c>
      <c r="B160" s="2"/>
      <c r="C160" s="18"/>
      <c r="D160" s="2"/>
      <c r="E160" s="2"/>
      <c r="F160" s="3"/>
      <c r="G160" s="16"/>
      <c r="H160" s="16"/>
      <c r="I160" s="17" t="str">
        <f t="shared" ca="1" si="21"/>
        <v/>
      </c>
      <c r="J160" s="13" t="str">
        <f>IF(F160="","",'GİDER AYARLARI'!$B$4)</f>
        <v/>
      </c>
      <c r="K160" s="13" t="str">
        <f>IF(F160="","",'GİDER AYARLARI'!$B$5)</f>
        <v/>
      </c>
      <c r="L160" s="13" t="str">
        <f>IF(F160="","",'GİDER AYARLARI'!$B$6)</f>
        <v/>
      </c>
      <c r="M160" s="13" t="str">
        <f>IF(F160="","",'GİDER AYARLARI'!$B$7)</f>
        <v/>
      </c>
      <c r="N160" s="3"/>
      <c r="O160" s="13" t="str">
        <f ca="1">IF(OR(F160="",I160=""),"",IFERROR(IF(VLOOKUP(E160,'ALIM AYARLARI'!$A$4:$D$20,2,FALSE)="EVET",F160*'GİDER AYARLARI'!$B$8*I160/30,0),0))</f>
        <v/>
      </c>
      <c r="P160" s="14" t="str">
        <f t="shared" si="22"/>
        <v/>
      </c>
      <c r="Q160" s="14" t="str">
        <f t="shared" si="23"/>
        <v/>
      </c>
      <c r="R160" s="2"/>
      <c r="S160" s="2"/>
      <c r="T160" s="3"/>
      <c r="U160" s="14" t="str">
        <f t="shared" si="24"/>
        <v/>
      </c>
      <c r="V160" s="14" t="str">
        <f t="shared" si="25"/>
        <v/>
      </c>
      <c r="W160" s="15" t="str">
        <f t="shared" si="26"/>
        <v/>
      </c>
      <c r="X160" s="12" t="str">
        <f t="shared" si="27"/>
        <v/>
      </c>
      <c r="Y160" s="2"/>
      <c r="Z160" s="3"/>
      <c r="AA160" s="3"/>
      <c r="AB160" s="3"/>
      <c r="AC160" s="14" t="str">
        <f t="shared" si="28"/>
        <v/>
      </c>
      <c r="AD160" s="14" t="str">
        <f t="shared" si="29"/>
        <v/>
      </c>
    </row>
    <row r="161" spans="1:30">
      <c r="A161">
        <f t="shared" si="20"/>
        <v>158</v>
      </c>
      <c r="B161" s="2"/>
      <c r="C161" s="18"/>
      <c r="D161" s="2"/>
      <c r="E161" s="2"/>
      <c r="F161" s="3"/>
      <c r="G161" s="16"/>
      <c r="H161" s="16"/>
      <c r="I161" s="17" t="str">
        <f t="shared" ca="1" si="21"/>
        <v/>
      </c>
      <c r="J161" s="13" t="str">
        <f>IF(F161="","",'GİDER AYARLARI'!$B$4)</f>
        <v/>
      </c>
      <c r="K161" s="13" t="str">
        <f>IF(F161="","",'GİDER AYARLARI'!$B$5)</f>
        <v/>
      </c>
      <c r="L161" s="13" t="str">
        <f>IF(F161="","",'GİDER AYARLARI'!$B$6)</f>
        <v/>
      </c>
      <c r="M161" s="13" t="str">
        <f>IF(F161="","",'GİDER AYARLARI'!$B$7)</f>
        <v/>
      </c>
      <c r="N161" s="3"/>
      <c r="O161" s="13" t="str">
        <f ca="1">IF(OR(F161="",I161=""),"",IFERROR(IF(VLOOKUP(E161,'ALIM AYARLARI'!$A$4:$D$20,2,FALSE)="EVET",F161*'GİDER AYARLARI'!$B$8*I161/30,0),0))</f>
        <v/>
      </c>
      <c r="P161" s="14" t="str">
        <f t="shared" si="22"/>
        <v/>
      </c>
      <c r="Q161" s="14" t="str">
        <f t="shared" si="23"/>
        <v/>
      </c>
      <c r="R161" s="2"/>
      <c r="S161" s="2"/>
      <c r="T161" s="3"/>
      <c r="U161" s="14" t="str">
        <f t="shared" si="24"/>
        <v/>
      </c>
      <c r="V161" s="14" t="str">
        <f t="shared" si="25"/>
        <v/>
      </c>
      <c r="W161" s="15" t="str">
        <f t="shared" si="26"/>
        <v/>
      </c>
      <c r="X161" s="12" t="str">
        <f t="shared" si="27"/>
        <v/>
      </c>
      <c r="Y161" s="2"/>
      <c r="Z161" s="3"/>
      <c r="AA161" s="3"/>
      <c r="AB161" s="3"/>
      <c r="AC161" s="14" t="str">
        <f t="shared" si="28"/>
        <v/>
      </c>
      <c r="AD161" s="14" t="str">
        <f t="shared" si="29"/>
        <v/>
      </c>
    </row>
    <row r="162" spans="1:30">
      <c r="A162">
        <f t="shared" si="20"/>
        <v>159</v>
      </c>
      <c r="B162" s="2"/>
      <c r="C162" s="18"/>
      <c r="D162" s="2"/>
      <c r="E162" s="2"/>
      <c r="F162" s="3"/>
      <c r="G162" s="16"/>
      <c r="H162" s="16"/>
      <c r="I162" s="17" t="str">
        <f t="shared" ca="1" si="21"/>
        <v/>
      </c>
      <c r="J162" s="13" t="str">
        <f>IF(F162="","",'GİDER AYARLARI'!$B$4)</f>
        <v/>
      </c>
      <c r="K162" s="13" t="str">
        <f>IF(F162="","",'GİDER AYARLARI'!$B$5)</f>
        <v/>
      </c>
      <c r="L162" s="13" t="str">
        <f>IF(F162="","",'GİDER AYARLARI'!$B$6)</f>
        <v/>
      </c>
      <c r="M162" s="13" t="str">
        <f>IF(F162="","",'GİDER AYARLARI'!$B$7)</f>
        <v/>
      </c>
      <c r="N162" s="3"/>
      <c r="O162" s="13" t="str">
        <f ca="1">IF(OR(F162="",I162=""),"",IFERROR(IF(VLOOKUP(E162,'ALIM AYARLARI'!$A$4:$D$20,2,FALSE)="EVET",F162*'GİDER AYARLARI'!$B$8*I162/30,0),0))</f>
        <v/>
      </c>
      <c r="P162" s="14" t="str">
        <f t="shared" si="22"/>
        <v/>
      </c>
      <c r="Q162" s="14" t="str">
        <f t="shared" si="23"/>
        <v/>
      </c>
      <c r="R162" s="2"/>
      <c r="S162" s="2"/>
      <c r="T162" s="3"/>
      <c r="U162" s="14" t="str">
        <f t="shared" si="24"/>
        <v/>
      </c>
      <c r="V162" s="14" t="str">
        <f t="shared" si="25"/>
        <v/>
      </c>
      <c r="W162" s="15" t="str">
        <f t="shared" si="26"/>
        <v/>
      </c>
      <c r="X162" s="12" t="str">
        <f t="shared" si="27"/>
        <v/>
      </c>
      <c r="Y162" s="2"/>
      <c r="Z162" s="3"/>
      <c r="AA162" s="3"/>
      <c r="AB162" s="3"/>
      <c r="AC162" s="14" t="str">
        <f t="shared" si="28"/>
        <v/>
      </c>
      <c r="AD162" s="14" t="str">
        <f t="shared" si="29"/>
        <v/>
      </c>
    </row>
    <row r="163" spans="1:30">
      <c r="A163">
        <f t="shared" si="20"/>
        <v>160</v>
      </c>
      <c r="B163" s="2"/>
      <c r="C163" s="18"/>
      <c r="D163" s="2"/>
      <c r="E163" s="2"/>
      <c r="F163" s="3"/>
      <c r="G163" s="16"/>
      <c r="H163" s="16"/>
      <c r="I163" s="17" t="str">
        <f t="shared" ca="1" si="21"/>
        <v/>
      </c>
      <c r="J163" s="13" t="str">
        <f>IF(F163="","",'GİDER AYARLARI'!$B$4)</f>
        <v/>
      </c>
      <c r="K163" s="13" t="str">
        <f>IF(F163="","",'GİDER AYARLARI'!$B$5)</f>
        <v/>
      </c>
      <c r="L163" s="13" t="str">
        <f>IF(F163="","",'GİDER AYARLARI'!$B$6)</f>
        <v/>
      </c>
      <c r="M163" s="13" t="str">
        <f>IF(F163="","",'GİDER AYARLARI'!$B$7)</f>
        <v/>
      </c>
      <c r="N163" s="3"/>
      <c r="O163" s="13" t="str">
        <f ca="1">IF(OR(F163="",I163=""),"",IFERROR(IF(VLOOKUP(E163,'ALIM AYARLARI'!$A$4:$D$20,2,FALSE)="EVET",F163*'GİDER AYARLARI'!$B$8*I163/30,0),0))</f>
        <v/>
      </c>
      <c r="P163" s="14" t="str">
        <f t="shared" si="22"/>
        <v/>
      </c>
      <c r="Q163" s="14" t="str">
        <f t="shared" si="23"/>
        <v/>
      </c>
      <c r="R163" s="2"/>
      <c r="S163" s="2"/>
      <c r="T163" s="3"/>
      <c r="U163" s="14" t="str">
        <f t="shared" si="24"/>
        <v/>
      </c>
      <c r="V163" s="14" t="str">
        <f t="shared" si="25"/>
        <v/>
      </c>
      <c r="W163" s="15" t="str">
        <f t="shared" si="26"/>
        <v/>
      </c>
      <c r="X163" s="12" t="str">
        <f t="shared" si="27"/>
        <v/>
      </c>
      <c r="Y163" s="2"/>
      <c r="Z163" s="3"/>
      <c r="AA163" s="3"/>
      <c r="AB163" s="3"/>
      <c r="AC163" s="14" t="str">
        <f t="shared" si="28"/>
        <v/>
      </c>
      <c r="AD163" s="14" t="str">
        <f t="shared" si="29"/>
        <v/>
      </c>
    </row>
    <row r="164" spans="1:30">
      <c r="A164">
        <f t="shared" si="20"/>
        <v>161</v>
      </c>
      <c r="B164" s="2"/>
      <c r="C164" s="18"/>
      <c r="D164" s="2"/>
      <c r="E164" s="2"/>
      <c r="F164" s="3"/>
      <c r="G164" s="16"/>
      <c r="H164" s="16"/>
      <c r="I164" s="17" t="str">
        <f t="shared" ca="1" si="21"/>
        <v/>
      </c>
      <c r="J164" s="13" t="str">
        <f>IF(F164="","",'GİDER AYARLARI'!$B$4)</f>
        <v/>
      </c>
      <c r="K164" s="13" t="str">
        <f>IF(F164="","",'GİDER AYARLARI'!$B$5)</f>
        <v/>
      </c>
      <c r="L164" s="13" t="str">
        <f>IF(F164="","",'GİDER AYARLARI'!$B$6)</f>
        <v/>
      </c>
      <c r="M164" s="13" t="str">
        <f>IF(F164="","",'GİDER AYARLARI'!$B$7)</f>
        <v/>
      </c>
      <c r="N164" s="3"/>
      <c r="O164" s="13" t="str">
        <f ca="1">IF(OR(F164="",I164=""),"",IFERROR(IF(VLOOKUP(E164,'ALIM AYARLARI'!$A$4:$D$20,2,FALSE)="EVET",F164*'GİDER AYARLARI'!$B$8*I164/30,0),0))</f>
        <v/>
      </c>
      <c r="P164" s="14" t="str">
        <f t="shared" si="22"/>
        <v/>
      </c>
      <c r="Q164" s="14" t="str">
        <f t="shared" si="23"/>
        <v/>
      </c>
      <c r="R164" s="2"/>
      <c r="S164" s="2"/>
      <c r="T164" s="3"/>
      <c r="U164" s="14" t="str">
        <f t="shared" si="24"/>
        <v/>
      </c>
      <c r="V164" s="14" t="str">
        <f t="shared" si="25"/>
        <v/>
      </c>
      <c r="W164" s="15" t="str">
        <f t="shared" si="26"/>
        <v/>
      </c>
      <c r="X164" s="12" t="str">
        <f t="shared" si="27"/>
        <v/>
      </c>
      <c r="Y164" s="2"/>
      <c r="Z164" s="3"/>
      <c r="AA164" s="3"/>
      <c r="AB164" s="3"/>
      <c r="AC164" s="14" t="str">
        <f t="shared" si="28"/>
        <v/>
      </c>
      <c r="AD164" s="14" t="str">
        <f t="shared" si="29"/>
        <v/>
      </c>
    </row>
    <row r="165" spans="1:30">
      <c r="A165">
        <f t="shared" si="20"/>
        <v>162</v>
      </c>
      <c r="B165" s="2"/>
      <c r="C165" s="18"/>
      <c r="D165" s="2"/>
      <c r="E165" s="2"/>
      <c r="F165" s="3"/>
      <c r="G165" s="16"/>
      <c r="H165" s="16"/>
      <c r="I165" s="17" t="str">
        <f t="shared" ca="1" si="21"/>
        <v/>
      </c>
      <c r="J165" s="13" t="str">
        <f>IF(F165="","",'GİDER AYARLARI'!$B$4)</f>
        <v/>
      </c>
      <c r="K165" s="13" t="str">
        <f>IF(F165="","",'GİDER AYARLARI'!$B$5)</f>
        <v/>
      </c>
      <c r="L165" s="13" t="str">
        <f>IF(F165="","",'GİDER AYARLARI'!$B$6)</f>
        <v/>
      </c>
      <c r="M165" s="13" t="str">
        <f>IF(F165="","",'GİDER AYARLARI'!$B$7)</f>
        <v/>
      </c>
      <c r="N165" s="3"/>
      <c r="O165" s="13" t="str">
        <f ca="1">IF(OR(F165="",I165=""),"",IFERROR(IF(VLOOKUP(E165,'ALIM AYARLARI'!$A$4:$D$20,2,FALSE)="EVET",F165*'GİDER AYARLARI'!$B$8*I165/30,0),0))</f>
        <v/>
      </c>
      <c r="P165" s="14" t="str">
        <f t="shared" si="22"/>
        <v/>
      </c>
      <c r="Q165" s="14" t="str">
        <f t="shared" si="23"/>
        <v/>
      </c>
      <c r="R165" s="2"/>
      <c r="S165" s="2"/>
      <c r="T165" s="3"/>
      <c r="U165" s="14" t="str">
        <f t="shared" si="24"/>
        <v/>
      </c>
      <c r="V165" s="14" t="str">
        <f t="shared" si="25"/>
        <v/>
      </c>
      <c r="W165" s="15" t="str">
        <f t="shared" si="26"/>
        <v/>
      </c>
      <c r="X165" s="12" t="str">
        <f t="shared" si="27"/>
        <v/>
      </c>
      <c r="Y165" s="2"/>
      <c r="Z165" s="3"/>
      <c r="AA165" s="3"/>
      <c r="AB165" s="3"/>
      <c r="AC165" s="14" t="str">
        <f t="shared" si="28"/>
        <v/>
      </c>
      <c r="AD165" s="14" t="str">
        <f t="shared" si="29"/>
        <v/>
      </c>
    </row>
    <row r="166" spans="1:30">
      <c r="A166">
        <f t="shared" si="20"/>
        <v>163</v>
      </c>
      <c r="B166" s="2"/>
      <c r="C166" s="18"/>
      <c r="D166" s="2"/>
      <c r="E166" s="2"/>
      <c r="F166" s="3"/>
      <c r="G166" s="16"/>
      <c r="H166" s="16"/>
      <c r="I166" s="17" t="str">
        <f t="shared" ca="1" si="21"/>
        <v/>
      </c>
      <c r="J166" s="13" t="str">
        <f>IF(F166="","",'GİDER AYARLARI'!$B$4)</f>
        <v/>
      </c>
      <c r="K166" s="13" t="str">
        <f>IF(F166="","",'GİDER AYARLARI'!$B$5)</f>
        <v/>
      </c>
      <c r="L166" s="13" t="str">
        <f>IF(F166="","",'GİDER AYARLARI'!$B$6)</f>
        <v/>
      </c>
      <c r="M166" s="13" t="str">
        <f>IF(F166="","",'GİDER AYARLARI'!$B$7)</f>
        <v/>
      </c>
      <c r="N166" s="3"/>
      <c r="O166" s="13" t="str">
        <f ca="1">IF(OR(F166="",I166=""),"",IFERROR(IF(VLOOKUP(E166,'ALIM AYARLARI'!$A$4:$D$20,2,FALSE)="EVET",F166*'GİDER AYARLARI'!$B$8*I166/30,0),0))</f>
        <v/>
      </c>
      <c r="P166" s="14" t="str">
        <f t="shared" si="22"/>
        <v/>
      </c>
      <c r="Q166" s="14" t="str">
        <f t="shared" si="23"/>
        <v/>
      </c>
      <c r="R166" s="2"/>
      <c r="S166" s="2"/>
      <c r="T166" s="3"/>
      <c r="U166" s="14" t="str">
        <f t="shared" si="24"/>
        <v/>
      </c>
      <c r="V166" s="14" t="str">
        <f t="shared" si="25"/>
        <v/>
      </c>
      <c r="W166" s="15" t="str">
        <f t="shared" si="26"/>
        <v/>
      </c>
      <c r="X166" s="12" t="str">
        <f t="shared" si="27"/>
        <v/>
      </c>
      <c r="Y166" s="2"/>
      <c r="Z166" s="3"/>
      <c r="AA166" s="3"/>
      <c r="AB166" s="3"/>
      <c r="AC166" s="14" t="str">
        <f t="shared" si="28"/>
        <v/>
      </c>
      <c r="AD166" s="14" t="str">
        <f t="shared" si="29"/>
        <v/>
      </c>
    </row>
    <row r="167" spans="1:30">
      <c r="A167">
        <f t="shared" si="20"/>
        <v>164</v>
      </c>
      <c r="B167" s="2"/>
      <c r="C167" s="18"/>
      <c r="D167" s="2"/>
      <c r="E167" s="2"/>
      <c r="F167" s="3"/>
      <c r="G167" s="16"/>
      <c r="H167" s="16"/>
      <c r="I167" s="17" t="str">
        <f t="shared" ca="1" si="21"/>
        <v/>
      </c>
      <c r="J167" s="13" t="str">
        <f>IF(F167="","",'GİDER AYARLARI'!$B$4)</f>
        <v/>
      </c>
      <c r="K167" s="13" t="str">
        <f>IF(F167="","",'GİDER AYARLARI'!$B$5)</f>
        <v/>
      </c>
      <c r="L167" s="13" t="str">
        <f>IF(F167="","",'GİDER AYARLARI'!$B$6)</f>
        <v/>
      </c>
      <c r="M167" s="13" t="str">
        <f>IF(F167="","",'GİDER AYARLARI'!$B$7)</f>
        <v/>
      </c>
      <c r="N167" s="3"/>
      <c r="O167" s="13" t="str">
        <f ca="1">IF(OR(F167="",I167=""),"",IFERROR(IF(VLOOKUP(E167,'ALIM AYARLARI'!$A$4:$D$20,2,FALSE)="EVET",F167*'GİDER AYARLARI'!$B$8*I167/30,0),0))</f>
        <v/>
      </c>
      <c r="P167" s="14" t="str">
        <f t="shared" si="22"/>
        <v/>
      </c>
      <c r="Q167" s="14" t="str">
        <f t="shared" si="23"/>
        <v/>
      </c>
      <c r="R167" s="2"/>
      <c r="S167" s="2"/>
      <c r="T167" s="3"/>
      <c r="U167" s="14" t="str">
        <f t="shared" si="24"/>
        <v/>
      </c>
      <c r="V167" s="14" t="str">
        <f t="shared" si="25"/>
        <v/>
      </c>
      <c r="W167" s="15" t="str">
        <f t="shared" si="26"/>
        <v/>
      </c>
      <c r="X167" s="12" t="str">
        <f t="shared" si="27"/>
        <v/>
      </c>
      <c r="Y167" s="2"/>
      <c r="Z167" s="3"/>
      <c r="AA167" s="3"/>
      <c r="AB167" s="3"/>
      <c r="AC167" s="14" t="str">
        <f t="shared" si="28"/>
        <v/>
      </c>
      <c r="AD167" s="14" t="str">
        <f t="shared" si="29"/>
        <v/>
      </c>
    </row>
    <row r="168" spans="1:30">
      <c r="A168">
        <f t="shared" si="20"/>
        <v>165</v>
      </c>
      <c r="B168" s="2"/>
      <c r="C168" s="18"/>
      <c r="D168" s="2"/>
      <c r="E168" s="2"/>
      <c r="F168" s="3"/>
      <c r="G168" s="16"/>
      <c r="H168" s="16"/>
      <c r="I168" s="17" t="str">
        <f t="shared" ca="1" si="21"/>
        <v/>
      </c>
      <c r="J168" s="13" t="str">
        <f>IF(F168="","",'GİDER AYARLARI'!$B$4)</f>
        <v/>
      </c>
      <c r="K168" s="13" t="str">
        <f>IF(F168="","",'GİDER AYARLARI'!$B$5)</f>
        <v/>
      </c>
      <c r="L168" s="13" t="str">
        <f>IF(F168="","",'GİDER AYARLARI'!$B$6)</f>
        <v/>
      </c>
      <c r="M168" s="13" t="str">
        <f>IF(F168="","",'GİDER AYARLARI'!$B$7)</f>
        <v/>
      </c>
      <c r="N168" s="3"/>
      <c r="O168" s="13" t="str">
        <f ca="1">IF(OR(F168="",I168=""),"",IFERROR(IF(VLOOKUP(E168,'ALIM AYARLARI'!$A$4:$D$20,2,FALSE)="EVET",F168*'GİDER AYARLARI'!$B$8*I168/30,0),0))</f>
        <v/>
      </c>
      <c r="P168" s="14" t="str">
        <f t="shared" si="22"/>
        <v/>
      </c>
      <c r="Q168" s="14" t="str">
        <f t="shared" si="23"/>
        <v/>
      </c>
      <c r="R168" s="2"/>
      <c r="S168" s="2"/>
      <c r="T168" s="3"/>
      <c r="U168" s="14" t="str">
        <f t="shared" si="24"/>
        <v/>
      </c>
      <c r="V168" s="14" t="str">
        <f t="shared" si="25"/>
        <v/>
      </c>
      <c r="W168" s="15" t="str">
        <f t="shared" si="26"/>
        <v/>
      </c>
      <c r="X168" s="12" t="str">
        <f t="shared" si="27"/>
        <v/>
      </c>
      <c r="Y168" s="2"/>
      <c r="Z168" s="3"/>
      <c r="AA168" s="3"/>
      <c r="AB168" s="3"/>
      <c r="AC168" s="14" t="str">
        <f t="shared" si="28"/>
        <v/>
      </c>
      <c r="AD168" s="14" t="str">
        <f t="shared" si="29"/>
        <v/>
      </c>
    </row>
    <row r="169" spans="1:30">
      <c r="A169">
        <f t="shared" si="20"/>
        <v>166</v>
      </c>
      <c r="B169" s="2"/>
      <c r="C169" s="18"/>
      <c r="D169" s="2"/>
      <c r="E169" s="2"/>
      <c r="F169" s="3"/>
      <c r="G169" s="16"/>
      <c r="H169" s="16"/>
      <c r="I169" s="17" t="str">
        <f t="shared" ca="1" si="21"/>
        <v/>
      </c>
      <c r="J169" s="13" t="str">
        <f>IF(F169="","",'GİDER AYARLARI'!$B$4)</f>
        <v/>
      </c>
      <c r="K169" s="13" t="str">
        <f>IF(F169="","",'GİDER AYARLARI'!$B$5)</f>
        <v/>
      </c>
      <c r="L169" s="13" t="str">
        <f>IF(F169="","",'GİDER AYARLARI'!$B$6)</f>
        <v/>
      </c>
      <c r="M169" s="13" t="str">
        <f>IF(F169="","",'GİDER AYARLARI'!$B$7)</f>
        <v/>
      </c>
      <c r="N169" s="3"/>
      <c r="O169" s="13" t="str">
        <f ca="1">IF(OR(F169="",I169=""),"",IFERROR(IF(VLOOKUP(E169,'ALIM AYARLARI'!$A$4:$D$20,2,FALSE)="EVET",F169*'GİDER AYARLARI'!$B$8*I169/30,0),0))</f>
        <v/>
      </c>
      <c r="P169" s="14" t="str">
        <f t="shared" si="22"/>
        <v/>
      </c>
      <c r="Q169" s="14" t="str">
        <f t="shared" si="23"/>
        <v/>
      </c>
      <c r="R169" s="2"/>
      <c r="S169" s="2"/>
      <c r="T169" s="3"/>
      <c r="U169" s="14" t="str">
        <f t="shared" si="24"/>
        <v/>
      </c>
      <c r="V169" s="14" t="str">
        <f t="shared" si="25"/>
        <v/>
      </c>
      <c r="W169" s="15" t="str">
        <f t="shared" si="26"/>
        <v/>
      </c>
      <c r="X169" s="12" t="str">
        <f t="shared" si="27"/>
        <v/>
      </c>
      <c r="Y169" s="2"/>
      <c r="Z169" s="3"/>
      <c r="AA169" s="3"/>
      <c r="AB169" s="3"/>
      <c r="AC169" s="14" t="str">
        <f t="shared" si="28"/>
        <v/>
      </c>
      <c r="AD169" s="14" t="str">
        <f t="shared" si="29"/>
        <v/>
      </c>
    </row>
    <row r="170" spans="1:30">
      <c r="A170">
        <f t="shared" si="20"/>
        <v>167</v>
      </c>
      <c r="B170" s="2"/>
      <c r="C170" s="18"/>
      <c r="D170" s="2"/>
      <c r="E170" s="2"/>
      <c r="F170" s="3"/>
      <c r="G170" s="16"/>
      <c r="H170" s="16"/>
      <c r="I170" s="17" t="str">
        <f t="shared" ca="1" si="21"/>
        <v/>
      </c>
      <c r="J170" s="13" t="str">
        <f>IF(F170="","",'GİDER AYARLARI'!$B$4)</f>
        <v/>
      </c>
      <c r="K170" s="13" t="str">
        <f>IF(F170="","",'GİDER AYARLARI'!$B$5)</f>
        <v/>
      </c>
      <c r="L170" s="13" t="str">
        <f>IF(F170="","",'GİDER AYARLARI'!$B$6)</f>
        <v/>
      </c>
      <c r="M170" s="13" t="str">
        <f>IF(F170="","",'GİDER AYARLARI'!$B$7)</f>
        <v/>
      </c>
      <c r="N170" s="3"/>
      <c r="O170" s="13" t="str">
        <f ca="1">IF(OR(F170="",I170=""),"",IFERROR(IF(VLOOKUP(E170,'ALIM AYARLARI'!$A$4:$D$20,2,FALSE)="EVET",F170*'GİDER AYARLARI'!$B$8*I170/30,0),0))</f>
        <v/>
      </c>
      <c r="P170" s="14" t="str">
        <f t="shared" si="22"/>
        <v/>
      </c>
      <c r="Q170" s="14" t="str">
        <f t="shared" si="23"/>
        <v/>
      </c>
      <c r="R170" s="2"/>
      <c r="S170" s="2"/>
      <c r="T170" s="3"/>
      <c r="U170" s="14" t="str">
        <f t="shared" si="24"/>
        <v/>
      </c>
      <c r="V170" s="14" t="str">
        <f t="shared" si="25"/>
        <v/>
      </c>
      <c r="W170" s="15" t="str">
        <f t="shared" si="26"/>
        <v/>
      </c>
      <c r="X170" s="12" t="str">
        <f t="shared" si="27"/>
        <v/>
      </c>
      <c r="Y170" s="2"/>
      <c r="Z170" s="3"/>
      <c r="AA170" s="3"/>
      <c r="AB170" s="3"/>
      <c r="AC170" s="14" t="str">
        <f t="shared" si="28"/>
        <v/>
      </c>
      <c r="AD170" s="14" t="str">
        <f t="shared" si="29"/>
        <v/>
      </c>
    </row>
    <row r="171" spans="1:30">
      <c r="A171">
        <f t="shared" si="20"/>
        <v>168</v>
      </c>
      <c r="B171" s="2"/>
      <c r="C171" s="18"/>
      <c r="D171" s="2"/>
      <c r="E171" s="2"/>
      <c r="F171" s="3"/>
      <c r="G171" s="16"/>
      <c r="H171" s="16"/>
      <c r="I171" s="17" t="str">
        <f t="shared" ca="1" si="21"/>
        <v/>
      </c>
      <c r="J171" s="13" t="str">
        <f>IF(F171="","",'GİDER AYARLARI'!$B$4)</f>
        <v/>
      </c>
      <c r="K171" s="13" t="str">
        <f>IF(F171="","",'GİDER AYARLARI'!$B$5)</f>
        <v/>
      </c>
      <c r="L171" s="13" t="str">
        <f>IF(F171="","",'GİDER AYARLARI'!$B$6)</f>
        <v/>
      </c>
      <c r="M171" s="13" t="str">
        <f>IF(F171="","",'GİDER AYARLARI'!$B$7)</f>
        <v/>
      </c>
      <c r="N171" s="3"/>
      <c r="O171" s="13" t="str">
        <f ca="1">IF(OR(F171="",I171=""),"",IFERROR(IF(VLOOKUP(E171,'ALIM AYARLARI'!$A$4:$D$20,2,FALSE)="EVET",F171*'GİDER AYARLARI'!$B$8*I171/30,0),0))</f>
        <v/>
      </c>
      <c r="P171" s="14" t="str">
        <f t="shared" si="22"/>
        <v/>
      </c>
      <c r="Q171" s="14" t="str">
        <f t="shared" si="23"/>
        <v/>
      </c>
      <c r="R171" s="2"/>
      <c r="S171" s="2"/>
      <c r="T171" s="3"/>
      <c r="U171" s="14" t="str">
        <f t="shared" si="24"/>
        <v/>
      </c>
      <c r="V171" s="14" t="str">
        <f t="shared" si="25"/>
        <v/>
      </c>
      <c r="W171" s="15" t="str">
        <f t="shared" si="26"/>
        <v/>
      </c>
      <c r="X171" s="12" t="str">
        <f t="shared" si="27"/>
        <v/>
      </c>
      <c r="Y171" s="2"/>
      <c r="Z171" s="3"/>
      <c r="AA171" s="3"/>
      <c r="AB171" s="3"/>
      <c r="AC171" s="14" t="str">
        <f t="shared" si="28"/>
        <v/>
      </c>
      <c r="AD171" s="14" t="str">
        <f t="shared" si="29"/>
        <v/>
      </c>
    </row>
    <row r="172" spans="1:30">
      <c r="A172">
        <f t="shared" si="20"/>
        <v>169</v>
      </c>
      <c r="B172" s="2"/>
      <c r="C172" s="18"/>
      <c r="D172" s="2"/>
      <c r="E172" s="2"/>
      <c r="F172" s="3"/>
      <c r="G172" s="16"/>
      <c r="H172" s="16"/>
      <c r="I172" s="17" t="str">
        <f t="shared" ca="1" si="21"/>
        <v/>
      </c>
      <c r="J172" s="13" t="str">
        <f>IF(F172="","",'GİDER AYARLARI'!$B$4)</f>
        <v/>
      </c>
      <c r="K172" s="13" t="str">
        <f>IF(F172="","",'GİDER AYARLARI'!$B$5)</f>
        <v/>
      </c>
      <c r="L172" s="13" t="str">
        <f>IF(F172="","",'GİDER AYARLARI'!$B$6)</f>
        <v/>
      </c>
      <c r="M172" s="13" t="str">
        <f>IF(F172="","",'GİDER AYARLARI'!$B$7)</f>
        <v/>
      </c>
      <c r="N172" s="3"/>
      <c r="O172" s="13" t="str">
        <f ca="1">IF(OR(F172="",I172=""),"",IFERROR(IF(VLOOKUP(E172,'ALIM AYARLARI'!$A$4:$D$20,2,FALSE)="EVET",F172*'GİDER AYARLARI'!$B$8*I172/30,0),0))</f>
        <v/>
      </c>
      <c r="P172" s="14" t="str">
        <f t="shared" si="22"/>
        <v/>
      </c>
      <c r="Q172" s="14" t="str">
        <f t="shared" si="23"/>
        <v/>
      </c>
      <c r="R172" s="2"/>
      <c r="S172" s="2"/>
      <c r="T172" s="3"/>
      <c r="U172" s="14" t="str">
        <f t="shared" si="24"/>
        <v/>
      </c>
      <c r="V172" s="14" t="str">
        <f t="shared" si="25"/>
        <v/>
      </c>
      <c r="W172" s="15" t="str">
        <f t="shared" si="26"/>
        <v/>
      </c>
      <c r="X172" s="12" t="str">
        <f t="shared" si="27"/>
        <v/>
      </c>
      <c r="Y172" s="2"/>
      <c r="Z172" s="3"/>
      <c r="AA172" s="3"/>
      <c r="AB172" s="3"/>
      <c r="AC172" s="14" t="str">
        <f t="shared" si="28"/>
        <v/>
      </c>
      <c r="AD172" s="14" t="str">
        <f t="shared" si="29"/>
        <v/>
      </c>
    </row>
    <row r="173" spans="1:30">
      <c r="A173">
        <f t="shared" si="20"/>
        <v>170</v>
      </c>
      <c r="B173" s="2"/>
      <c r="C173" s="18"/>
      <c r="D173" s="2"/>
      <c r="E173" s="2"/>
      <c r="F173" s="3"/>
      <c r="G173" s="16"/>
      <c r="H173" s="16"/>
      <c r="I173" s="17" t="str">
        <f t="shared" ca="1" si="21"/>
        <v/>
      </c>
      <c r="J173" s="13" t="str">
        <f>IF(F173="","",'GİDER AYARLARI'!$B$4)</f>
        <v/>
      </c>
      <c r="K173" s="13" t="str">
        <f>IF(F173="","",'GİDER AYARLARI'!$B$5)</f>
        <v/>
      </c>
      <c r="L173" s="13" t="str">
        <f>IF(F173="","",'GİDER AYARLARI'!$B$6)</f>
        <v/>
      </c>
      <c r="M173" s="13" t="str">
        <f>IF(F173="","",'GİDER AYARLARI'!$B$7)</f>
        <v/>
      </c>
      <c r="N173" s="3"/>
      <c r="O173" s="13" t="str">
        <f ca="1">IF(OR(F173="",I173=""),"",IFERROR(IF(VLOOKUP(E173,'ALIM AYARLARI'!$A$4:$D$20,2,FALSE)="EVET",F173*'GİDER AYARLARI'!$B$8*I173/30,0),0))</f>
        <v/>
      </c>
      <c r="P173" s="14" t="str">
        <f t="shared" si="22"/>
        <v/>
      </c>
      <c r="Q173" s="14" t="str">
        <f t="shared" si="23"/>
        <v/>
      </c>
      <c r="R173" s="2"/>
      <c r="S173" s="2"/>
      <c r="T173" s="3"/>
      <c r="U173" s="14" t="str">
        <f t="shared" si="24"/>
        <v/>
      </c>
      <c r="V173" s="14" t="str">
        <f t="shared" si="25"/>
        <v/>
      </c>
      <c r="W173" s="15" t="str">
        <f t="shared" si="26"/>
        <v/>
      </c>
      <c r="X173" s="12" t="str">
        <f t="shared" si="27"/>
        <v/>
      </c>
      <c r="Y173" s="2"/>
      <c r="Z173" s="3"/>
      <c r="AA173" s="3"/>
      <c r="AB173" s="3"/>
      <c r="AC173" s="14" t="str">
        <f t="shared" si="28"/>
        <v/>
      </c>
      <c r="AD173" s="14" t="str">
        <f t="shared" si="29"/>
        <v/>
      </c>
    </row>
    <row r="174" spans="1:30">
      <c r="A174">
        <f t="shared" si="20"/>
        <v>171</v>
      </c>
      <c r="B174" s="2"/>
      <c r="C174" s="18"/>
      <c r="D174" s="2"/>
      <c r="E174" s="2"/>
      <c r="F174" s="3"/>
      <c r="G174" s="16"/>
      <c r="H174" s="16"/>
      <c r="I174" s="17" t="str">
        <f t="shared" ca="1" si="21"/>
        <v/>
      </c>
      <c r="J174" s="13" t="str">
        <f>IF(F174="","",'GİDER AYARLARI'!$B$4)</f>
        <v/>
      </c>
      <c r="K174" s="13" t="str">
        <f>IF(F174="","",'GİDER AYARLARI'!$B$5)</f>
        <v/>
      </c>
      <c r="L174" s="13" t="str">
        <f>IF(F174="","",'GİDER AYARLARI'!$B$6)</f>
        <v/>
      </c>
      <c r="M174" s="13" t="str">
        <f>IF(F174="","",'GİDER AYARLARI'!$B$7)</f>
        <v/>
      </c>
      <c r="N174" s="3"/>
      <c r="O174" s="13" t="str">
        <f ca="1">IF(OR(F174="",I174=""),"",IFERROR(IF(VLOOKUP(E174,'ALIM AYARLARI'!$A$4:$D$20,2,FALSE)="EVET",F174*'GİDER AYARLARI'!$B$8*I174/30,0),0))</f>
        <v/>
      </c>
      <c r="P174" s="14" t="str">
        <f t="shared" si="22"/>
        <v/>
      </c>
      <c r="Q174" s="14" t="str">
        <f t="shared" si="23"/>
        <v/>
      </c>
      <c r="R174" s="2"/>
      <c r="S174" s="2"/>
      <c r="T174" s="3"/>
      <c r="U174" s="14" t="str">
        <f t="shared" si="24"/>
        <v/>
      </c>
      <c r="V174" s="14" t="str">
        <f t="shared" si="25"/>
        <v/>
      </c>
      <c r="W174" s="15" t="str">
        <f t="shared" si="26"/>
        <v/>
      </c>
      <c r="X174" s="12" t="str">
        <f t="shared" si="27"/>
        <v/>
      </c>
      <c r="Y174" s="2"/>
      <c r="Z174" s="3"/>
      <c r="AA174" s="3"/>
      <c r="AB174" s="3"/>
      <c r="AC174" s="14" t="str">
        <f t="shared" si="28"/>
        <v/>
      </c>
      <c r="AD174" s="14" t="str">
        <f t="shared" si="29"/>
        <v/>
      </c>
    </row>
    <row r="175" spans="1:30">
      <c r="A175">
        <f t="shared" si="20"/>
        <v>172</v>
      </c>
      <c r="B175" s="2"/>
      <c r="C175" s="18"/>
      <c r="D175" s="2"/>
      <c r="E175" s="2"/>
      <c r="F175" s="3"/>
      <c r="G175" s="16"/>
      <c r="H175" s="16"/>
      <c r="I175" s="17" t="str">
        <f t="shared" ca="1" si="21"/>
        <v/>
      </c>
      <c r="J175" s="13" t="str">
        <f>IF(F175="","",'GİDER AYARLARI'!$B$4)</f>
        <v/>
      </c>
      <c r="K175" s="13" t="str">
        <f>IF(F175="","",'GİDER AYARLARI'!$B$5)</f>
        <v/>
      </c>
      <c r="L175" s="13" t="str">
        <f>IF(F175="","",'GİDER AYARLARI'!$B$6)</f>
        <v/>
      </c>
      <c r="M175" s="13" t="str">
        <f>IF(F175="","",'GİDER AYARLARI'!$B$7)</f>
        <v/>
      </c>
      <c r="N175" s="3"/>
      <c r="O175" s="13" t="str">
        <f ca="1">IF(OR(F175="",I175=""),"",IFERROR(IF(VLOOKUP(E175,'ALIM AYARLARI'!$A$4:$D$20,2,FALSE)="EVET",F175*'GİDER AYARLARI'!$B$8*I175/30,0),0))</f>
        <v/>
      </c>
      <c r="P175" s="14" t="str">
        <f t="shared" si="22"/>
        <v/>
      </c>
      <c r="Q175" s="14" t="str">
        <f t="shared" si="23"/>
        <v/>
      </c>
      <c r="R175" s="2"/>
      <c r="S175" s="2"/>
      <c r="T175" s="3"/>
      <c r="U175" s="14" t="str">
        <f t="shared" si="24"/>
        <v/>
      </c>
      <c r="V175" s="14" t="str">
        <f t="shared" si="25"/>
        <v/>
      </c>
      <c r="W175" s="15" t="str">
        <f t="shared" si="26"/>
        <v/>
      </c>
      <c r="X175" s="12" t="str">
        <f t="shared" si="27"/>
        <v/>
      </c>
      <c r="Y175" s="2"/>
      <c r="Z175" s="3"/>
      <c r="AA175" s="3"/>
      <c r="AB175" s="3"/>
      <c r="AC175" s="14" t="str">
        <f t="shared" si="28"/>
        <v/>
      </c>
      <c r="AD175" s="14" t="str">
        <f t="shared" si="29"/>
        <v/>
      </c>
    </row>
    <row r="176" spans="1:30">
      <c r="A176">
        <f t="shared" si="20"/>
        <v>173</v>
      </c>
      <c r="B176" s="2"/>
      <c r="C176" s="18"/>
      <c r="D176" s="2"/>
      <c r="E176" s="2"/>
      <c r="F176" s="3"/>
      <c r="G176" s="16"/>
      <c r="H176" s="16"/>
      <c r="I176" s="17" t="str">
        <f t="shared" ca="1" si="21"/>
        <v/>
      </c>
      <c r="J176" s="13" t="str">
        <f>IF(F176="","",'GİDER AYARLARI'!$B$4)</f>
        <v/>
      </c>
      <c r="K176" s="13" t="str">
        <f>IF(F176="","",'GİDER AYARLARI'!$B$5)</f>
        <v/>
      </c>
      <c r="L176" s="13" t="str">
        <f>IF(F176="","",'GİDER AYARLARI'!$B$6)</f>
        <v/>
      </c>
      <c r="M176" s="13" t="str">
        <f>IF(F176="","",'GİDER AYARLARI'!$B$7)</f>
        <v/>
      </c>
      <c r="N176" s="3"/>
      <c r="O176" s="13" t="str">
        <f ca="1">IF(OR(F176="",I176=""),"",IFERROR(IF(VLOOKUP(E176,'ALIM AYARLARI'!$A$4:$D$20,2,FALSE)="EVET",F176*'GİDER AYARLARI'!$B$8*I176/30,0),0))</f>
        <v/>
      </c>
      <c r="P176" s="14" t="str">
        <f t="shared" si="22"/>
        <v/>
      </c>
      <c r="Q176" s="14" t="str">
        <f t="shared" si="23"/>
        <v/>
      </c>
      <c r="R176" s="2"/>
      <c r="S176" s="2"/>
      <c r="T176" s="3"/>
      <c r="U176" s="14" t="str">
        <f t="shared" si="24"/>
        <v/>
      </c>
      <c r="V176" s="14" t="str">
        <f t="shared" si="25"/>
        <v/>
      </c>
      <c r="W176" s="15" t="str">
        <f t="shared" si="26"/>
        <v/>
      </c>
      <c r="X176" s="12" t="str">
        <f t="shared" si="27"/>
        <v/>
      </c>
      <c r="Y176" s="2"/>
      <c r="Z176" s="3"/>
      <c r="AA176" s="3"/>
      <c r="AB176" s="3"/>
      <c r="AC176" s="14" t="str">
        <f t="shared" si="28"/>
        <v/>
      </c>
      <c r="AD176" s="14" t="str">
        <f t="shared" si="29"/>
        <v/>
      </c>
    </row>
    <row r="177" spans="1:30">
      <c r="A177">
        <f t="shared" si="20"/>
        <v>174</v>
      </c>
      <c r="B177" s="2"/>
      <c r="C177" s="18"/>
      <c r="D177" s="2"/>
      <c r="E177" s="2"/>
      <c r="F177" s="3"/>
      <c r="G177" s="16"/>
      <c r="H177" s="16"/>
      <c r="I177" s="17" t="str">
        <f t="shared" ca="1" si="21"/>
        <v/>
      </c>
      <c r="J177" s="13" t="str">
        <f>IF(F177="","",'GİDER AYARLARI'!$B$4)</f>
        <v/>
      </c>
      <c r="K177" s="13" t="str">
        <f>IF(F177="","",'GİDER AYARLARI'!$B$5)</f>
        <v/>
      </c>
      <c r="L177" s="13" t="str">
        <f>IF(F177="","",'GİDER AYARLARI'!$B$6)</f>
        <v/>
      </c>
      <c r="M177" s="13" t="str">
        <f>IF(F177="","",'GİDER AYARLARI'!$B$7)</f>
        <v/>
      </c>
      <c r="N177" s="3"/>
      <c r="O177" s="13" t="str">
        <f ca="1">IF(OR(F177="",I177=""),"",IFERROR(IF(VLOOKUP(E177,'ALIM AYARLARI'!$A$4:$D$20,2,FALSE)="EVET",F177*'GİDER AYARLARI'!$B$8*I177/30,0),0))</f>
        <v/>
      </c>
      <c r="P177" s="14" t="str">
        <f t="shared" si="22"/>
        <v/>
      </c>
      <c r="Q177" s="14" t="str">
        <f t="shared" si="23"/>
        <v/>
      </c>
      <c r="R177" s="2"/>
      <c r="S177" s="2"/>
      <c r="T177" s="3"/>
      <c r="U177" s="14" t="str">
        <f t="shared" si="24"/>
        <v/>
      </c>
      <c r="V177" s="14" t="str">
        <f t="shared" si="25"/>
        <v/>
      </c>
      <c r="W177" s="15" t="str">
        <f t="shared" si="26"/>
        <v/>
      </c>
      <c r="X177" s="12" t="str">
        <f t="shared" si="27"/>
        <v/>
      </c>
      <c r="Y177" s="2"/>
      <c r="Z177" s="3"/>
      <c r="AA177" s="3"/>
      <c r="AB177" s="3"/>
      <c r="AC177" s="14" t="str">
        <f t="shared" si="28"/>
        <v/>
      </c>
      <c r="AD177" s="14" t="str">
        <f t="shared" si="29"/>
        <v/>
      </c>
    </row>
    <row r="178" spans="1:30">
      <c r="A178">
        <f t="shared" si="20"/>
        <v>175</v>
      </c>
      <c r="B178" s="2"/>
      <c r="C178" s="18"/>
      <c r="D178" s="2"/>
      <c r="E178" s="2"/>
      <c r="F178" s="3"/>
      <c r="G178" s="16"/>
      <c r="H178" s="16"/>
      <c r="I178" s="17" t="str">
        <f t="shared" ca="1" si="21"/>
        <v/>
      </c>
      <c r="J178" s="13" t="str">
        <f>IF(F178="","",'GİDER AYARLARI'!$B$4)</f>
        <v/>
      </c>
      <c r="K178" s="13" t="str">
        <f>IF(F178="","",'GİDER AYARLARI'!$B$5)</f>
        <v/>
      </c>
      <c r="L178" s="13" t="str">
        <f>IF(F178="","",'GİDER AYARLARI'!$B$6)</f>
        <v/>
      </c>
      <c r="M178" s="13" t="str">
        <f>IF(F178="","",'GİDER AYARLARI'!$B$7)</f>
        <v/>
      </c>
      <c r="N178" s="3"/>
      <c r="O178" s="13" t="str">
        <f ca="1">IF(OR(F178="",I178=""),"",IFERROR(IF(VLOOKUP(E178,'ALIM AYARLARI'!$A$4:$D$20,2,FALSE)="EVET",F178*'GİDER AYARLARI'!$B$8*I178/30,0),0))</f>
        <v/>
      </c>
      <c r="P178" s="14" t="str">
        <f t="shared" si="22"/>
        <v/>
      </c>
      <c r="Q178" s="14" t="str">
        <f t="shared" si="23"/>
        <v/>
      </c>
      <c r="R178" s="2"/>
      <c r="S178" s="2"/>
      <c r="T178" s="3"/>
      <c r="U178" s="14" t="str">
        <f t="shared" si="24"/>
        <v/>
      </c>
      <c r="V178" s="14" t="str">
        <f t="shared" si="25"/>
        <v/>
      </c>
      <c r="W178" s="15" t="str">
        <f t="shared" si="26"/>
        <v/>
      </c>
      <c r="X178" s="12" t="str">
        <f t="shared" si="27"/>
        <v/>
      </c>
      <c r="Y178" s="2"/>
      <c r="Z178" s="3"/>
      <c r="AA178" s="3"/>
      <c r="AB178" s="3"/>
      <c r="AC178" s="14" t="str">
        <f t="shared" si="28"/>
        <v/>
      </c>
      <c r="AD178" s="14" t="str">
        <f t="shared" si="29"/>
        <v/>
      </c>
    </row>
    <row r="179" spans="1:30">
      <c r="A179">
        <f t="shared" si="20"/>
        <v>176</v>
      </c>
      <c r="B179" s="2"/>
      <c r="C179" s="18"/>
      <c r="D179" s="2"/>
      <c r="E179" s="2"/>
      <c r="F179" s="3"/>
      <c r="G179" s="16"/>
      <c r="H179" s="16"/>
      <c r="I179" s="17" t="str">
        <f t="shared" ca="1" si="21"/>
        <v/>
      </c>
      <c r="J179" s="13" t="str">
        <f>IF(F179="","",'GİDER AYARLARI'!$B$4)</f>
        <v/>
      </c>
      <c r="K179" s="13" t="str">
        <f>IF(F179="","",'GİDER AYARLARI'!$B$5)</f>
        <v/>
      </c>
      <c r="L179" s="13" t="str">
        <f>IF(F179="","",'GİDER AYARLARI'!$B$6)</f>
        <v/>
      </c>
      <c r="M179" s="13" t="str">
        <f>IF(F179="","",'GİDER AYARLARI'!$B$7)</f>
        <v/>
      </c>
      <c r="N179" s="3"/>
      <c r="O179" s="13" t="str">
        <f ca="1">IF(OR(F179="",I179=""),"",IFERROR(IF(VLOOKUP(E179,'ALIM AYARLARI'!$A$4:$D$20,2,FALSE)="EVET",F179*'GİDER AYARLARI'!$B$8*I179/30,0),0))</f>
        <v/>
      </c>
      <c r="P179" s="14" t="str">
        <f t="shared" si="22"/>
        <v/>
      </c>
      <c r="Q179" s="14" t="str">
        <f t="shared" si="23"/>
        <v/>
      </c>
      <c r="R179" s="2"/>
      <c r="S179" s="2"/>
      <c r="T179" s="3"/>
      <c r="U179" s="14" t="str">
        <f t="shared" si="24"/>
        <v/>
      </c>
      <c r="V179" s="14" t="str">
        <f t="shared" si="25"/>
        <v/>
      </c>
      <c r="W179" s="15" t="str">
        <f t="shared" si="26"/>
        <v/>
      </c>
      <c r="X179" s="12" t="str">
        <f t="shared" si="27"/>
        <v/>
      </c>
      <c r="Y179" s="2"/>
      <c r="Z179" s="3"/>
      <c r="AA179" s="3"/>
      <c r="AB179" s="3"/>
      <c r="AC179" s="14" t="str">
        <f t="shared" si="28"/>
        <v/>
      </c>
      <c r="AD179" s="14" t="str">
        <f t="shared" si="29"/>
        <v/>
      </c>
    </row>
    <row r="180" spans="1:30">
      <c r="A180">
        <f t="shared" si="20"/>
        <v>177</v>
      </c>
      <c r="B180" s="2"/>
      <c r="C180" s="18"/>
      <c r="D180" s="2"/>
      <c r="E180" s="2"/>
      <c r="F180" s="3"/>
      <c r="G180" s="16"/>
      <c r="H180" s="16"/>
      <c r="I180" s="17" t="str">
        <f t="shared" ca="1" si="21"/>
        <v/>
      </c>
      <c r="J180" s="13" t="str">
        <f>IF(F180="","",'GİDER AYARLARI'!$B$4)</f>
        <v/>
      </c>
      <c r="K180" s="13" t="str">
        <f>IF(F180="","",'GİDER AYARLARI'!$B$5)</f>
        <v/>
      </c>
      <c r="L180" s="13" t="str">
        <f>IF(F180="","",'GİDER AYARLARI'!$B$6)</f>
        <v/>
      </c>
      <c r="M180" s="13" t="str">
        <f>IF(F180="","",'GİDER AYARLARI'!$B$7)</f>
        <v/>
      </c>
      <c r="N180" s="3"/>
      <c r="O180" s="13" t="str">
        <f ca="1">IF(OR(F180="",I180=""),"",IFERROR(IF(VLOOKUP(E180,'ALIM AYARLARI'!$A$4:$D$20,2,FALSE)="EVET",F180*'GİDER AYARLARI'!$B$8*I180/30,0),0))</f>
        <v/>
      </c>
      <c r="P180" s="14" t="str">
        <f t="shared" si="22"/>
        <v/>
      </c>
      <c r="Q180" s="14" t="str">
        <f t="shared" si="23"/>
        <v/>
      </c>
      <c r="R180" s="2"/>
      <c r="S180" s="2"/>
      <c r="T180" s="3"/>
      <c r="U180" s="14" t="str">
        <f t="shared" si="24"/>
        <v/>
      </c>
      <c r="V180" s="14" t="str">
        <f t="shared" si="25"/>
        <v/>
      </c>
      <c r="W180" s="15" t="str">
        <f t="shared" si="26"/>
        <v/>
      </c>
      <c r="X180" s="12" t="str">
        <f t="shared" si="27"/>
        <v/>
      </c>
      <c r="Y180" s="2"/>
      <c r="Z180" s="3"/>
      <c r="AA180" s="3"/>
      <c r="AB180" s="3"/>
      <c r="AC180" s="14" t="str">
        <f t="shared" si="28"/>
        <v/>
      </c>
      <c r="AD180" s="14" t="str">
        <f t="shared" si="29"/>
        <v/>
      </c>
    </row>
    <row r="181" spans="1:30">
      <c r="A181">
        <f t="shared" si="20"/>
        <v>178</v>
      </c>
      <c r="B181" s="2"/>
      <c r="C181" s="18"/>
      <c r="D181" s="2"/>
      <c r="E181" s="2"/>
      <c r="F181" s="3"/>
      <c r="G181" s="16"/>
      <c r="H181" s="16"/>
      <c r="I181" s="17" t="str">
        <f t="shared" ca="1" si="21"/>
        <v/>
      </c>
      <c r="J181" s="13" t="str">
        <f>IF(F181="","",'GİDER AYARLARI'!$B$4)</f>
        <v/>
      </c>
      <c r="K181" s="13" t="str">
        <f>IF(F181="","",'GİDER AYARLARI'!$B$5)</f>
        <v/>
      </c>
      <c r="L181" s="13" t="str">
        <f>IF(F181="","",'GİDER AYARLARI'!$B$6)</f>
        <v/>
      </c>
      <c r="M181" s="13" t="str">
        <f>IF(F181="","",'GİDER AYARLARI'!$B$7)</f>
        <v/>
      </c>
      <c r="N181" s="3"/>
      <c r="O181" s="13" t="str">
        <f ca="1">IF(OR(F181="",I181=""),"",IFERROR(IF(VLOOKUP(E181,'ALIM AYARLARI'!$A$4:$D$20,2,FALSE)="EVET",F181*'GİDER AYARLARI'!$B$8*I181/30,0),0))</f>
        <v/>
      </c>
      <c r="P181" s="14" t="str">
        <f t="shared" si="22"/>
        <v/>
      </c>
      <c r="Q181" s="14" t="str">
        <f t="shared" si="23"/>
        <v/>
      </c>
      <c r="R181" s="2"/>
      <c r="S181" s="2"/>
      <c r="T181" s="3"/>
      <c r="U181" s="14" t="str">
        <f t="shared" si="24"/>
        <v/>
      </c>
      <c r="V181" s="14" t="str">
        <f t="shared" si="25"/>
        <v/>
      </c>
      <c r="W181" s="15" t="str">
        <f t="shared" si="26"/>
        <v/>
      </c>
      <c r="X181" s="12" t="str">
        <f t="shared" si="27"/>
        <v/>
      </c>
      <c r="Y181" s="2"/>
      <c r="Z181" s="3"/>
      <c r="AA181" s="3"/>
      <c r="AB181" s="3"/>
      <c r="AC181" s="14" t="str">
        <f t="shared" si="28"/>
        <v/>
      </c>
      <c r="AD181" s="14" t="str">
        <f t="shared" si="29"/>
        <v/>
      </c>
    </row>
    <row r="182" spans="1:30">
      <c r="A182">
        <f t="shared" si="20"/>
        <v>179</v>
      </c>
      <c r="B182" s="2"/>
      <c r="C182" s="18"/>
      <c r="D182" s="2"/>
      <c r="E182" s="2"/>
      <c r="F182" s="3"/>
      <c r="G182" s="16"/>
      <c r="H182" s="16"/>
      <c r="I182" s="17" t="str">
        <f t="shared" ca="1" si="21"/>
        <v/>
      </c>
      <c r="J182" s="13" t="str">
        <f>IF(F182="","",'GİDER AYARLARI'!$B$4)</f>
        <v/>
      </c>
      <c r="K182" s="13" t="str">
        <f>IF(F182="","",'GİDER AYARLARI'!$B$5)</f>
        <v/>
      </c>
      <c r="L182" s="13" t="str">
        <f>IF(F182="","",'GİDER AYARLARI'!$B$6)</f>
        <v/>
      </c>
      <c r="M182" s="13" t="str">
        <f>IF(F182="","",'GİDER AYARLARI'!$B$7)</f>
        <v/>
      </c>
      <c r="N182" s="3"/>
      <c r="O182" s="13" t="str">
        <f ca="1">IF(OR(F182="",I182=""),"",IFERROR(IF(VLOOKUP(E182,'ALIM AYARLARI'!$A$4:$D$20,2,FALSE)="EVET",F182*'GİDER AYARLARI'!$B$8*I182/30,0),0))</f>
        <v/>
      </c>
      <c r="P182" s="14" t="str">
        <f t="shared" si="22"/>
        <v/>
      </c>
      <c r="Q182" s="14" t="str">
        <f t="shared" si="23"/>
        <v/>
      </c>
      <c r="R182" s="2"/>
      <c r="S182" s="2"/>
      <c r="T182" s="3"/>
      <c r="U182" s="14" t="str">
        <f t="shared" si="24"/>
        <v/>
      </c>
      <c r="V182" s="14" t="str">
        <f t="shared" si="25"/>
        <v/>
      </c>
      <c r="W182" s="15" t="str">
        <f t="shared" si="26"/>
        <v/>
      </c>
      <c r="X182" s="12" t="str">
        <f t="shared" si="27"/>
        <v/>
      </c>
      <c r="Y182" s="2"/>
      <c r="Z182" s="3"/>
      <c r="AA182" s="3"/>
      <c r="AB182" s="3"/>
      <c r="AC182" s="14" t="str">
        <f t="shared" si="28"/>
        <v/>
      </c>
      <c r="AD182" s="14" t="str">
        <f t="shared" si="29"/>
        <v/>
      </c>
    </row>
    <row r="183" spans="1:30">
      <c r="A183">
        <f t="shared" si="20"/>
        <v>180</v>
      </c>
      <c r="B183" s="2"/>
      <c r="C183" s="18"/>
      <c r="D183" s="2"/>
      <c r="E183" s="2"/>
      <c r="F183" s="3"/>
      <c r="G183" s="16"/>
      <c r="H183" s="16"/>
      <c r="I183" s="17" t="str">
        <f t="shared" ca="1" si="21"/>
        <v/>
      </c>
      <c r="J183" s="13" t="str">
        <f>IF(F183="","",'GİDER AYARLARI'!$B$4)</f>
        <v/>
      </c>
      <c r="K183" s="13" t="str">
        <f>IF(F183="","",'GİDER AYARLARI'!$B$5)</f>
        <v/>
      </c>
      <c r="L183" s="13" t="str">
        <f>IF(F183="","",'GİDER AYARLARI'!$B$6)</f>
        <v/>
      </c>
      <c r="M183" s="13" t="str">
        <f>IF(F183="","",'GİDER AYARLARI'!$B$7)</f>
        <v/>
      </c>
      <c r="N183" s="3"/>
      <c r="O183" s="13" t="str">
        <f ca="1">IF(OR(F183="",I183=""),"",IFERROR(IF(VLOOKUP(E183,'ALIM AYARLARI'!$A$4:$D$20,2,FALSE)="EVET",F183*'GİDER AYARLARI'!$B$8*I183/30,0),0))</f>
        <v/>
      </c>
      <c r="P183" s="14" t="str">
        <f t="shared" si="22"/>
        <v/>
      </c>
      <c r="Q183" s="14" t="str">
        <f t="shared" si="23"/>
        <v/>
      </c>
      <c r="R183" s="2"/>
      <c r="S183" s="2"/>
      <c r="T183" s="3"/>
      <c r="U183" s="14" t="str">
        <f t="shared" si="24"/>
        <v/>
      </c>
      <c r="V183" s="14" t="str">
        <f t="shared" si="25"/>
        <v/>
      </c>
      <c r="W183" s="15" t="str">
        <f t="shared" si="26"/>
        <v/>
      </c>
      <c r="X183" s="12" t="str">
        <f t="shared" si="27"/>
        <v/>
      </c>
      <c r="Y183" s="2"/>
      <c r="Z183" s="3"/>
      <c r="AA183" s="3"/>
      <c r="AB183" s="3"/>
      <c r="AC183" s="14" t="str">
        <f t="shared" si="28"/>
        <v/>
      </c>
      <c r="AD183" s="14" t="str">
        <f t="shared" si="29"/>
        <v/>
      </c>
    </row>
    <row r="184" spans="1:30">
      <c r="A184">
        <f t="shared" si="20"/>
        <v>181</v>
      </c>
      <c r="B184" s="2"/>
      <c r="C184" s="18"/>
      <c r="D184" s="2"/>
      <c r="E184" s="2"/>
      <c r="F184" s="3"/>
      <c r="G184" s="16"/>
      <c r="H184" s="16"/>
      <c r="I184" s="17" t="str">
        <f t="shared" ca="1" si="21"/>
        <v/>
      </c>
      <c r="J184" s="13" t="str">
        <f>IF(F184="","",'GİDER AYARLARI'!$B$4)</f>
        <v/>
      </c>
      <c r="K184" s="13" t="str">
        <f>IF(F184="","",'GİDER AYARLARI'!$B$5)</f>
        <v/>
      </c>
      <c r="L184" s="13" t="str">
        <f>IF(F184="","",'GİDER AYARLARI'!$B$6)</f>
        <v/>
      </c>
      <c r="M184" s="13" t="str">
        <f>IF(F184="","",'GİDER AYARLARI'!$B$7)</f>
        <v/>
      </c>
      <c r="N184" s="3"/>
      <c r="O184" s="13" t="str">
        <f ca="1">IF(OR(F184="",I184=""),"",IFERROR(IF(VLOOKUP(E184,'ALIM AYARLARI'!$A$4:$D$20,2,FALSE)="EVET",F184*'GİDER AYARLARI'!$B$8*I184/30,0),0))</f>
        <v/>
      </c>
      <c r="P184" s="14" t="str">
        <f t="shared" si="22"/>
        <v/>
      </c>
      <c r="Q184" s="14" t="str">
        <f t="shared" si="23"/>
        <v/>
      </c>
      <c r="R184" s="2"/>
      <c r="S184" s="2"/>
      <c r="T184" s="3"/>
      <c r="U184" s="14" t="str">
        <f t="shared" si="24"/>
        <v/>
      </c>
      <c r="V184" s="14" t="str">
        <f t="shared" si="25"/>
        <v/>
      </c>
      <c r="W184" s="15" t="str">
        <f t="shared" si="26"/>
        <v/>
      </c>
      <c r="X184" s="12" t="str">
        <f t="shared" si="27"/>
        <v/>
      </c>
      <c r="Y184" s="2"/>
      <c r="Z184" s="3"/>
      <c r="AA184" s="3"/>
      <c r="AB184" s="3"/>
      <c r="AC184" s="14" t="str">
        <f t="shared" si="28"/>
        <v/>
      </c>
      <c r="AD184" s="14" t="str">
        <f t="shared" si="29"/>
        <v/>
      </c>
    </row>
    <row r="185" spans="1:30">
      <c r="A185">
        <f t="shared" si="20"/>
        <v>182</v>
      </c>
      <c r="B185" s="2"/>
      <c r="C185" s="18"/>
      <c r="D185" s="2"/>
      <c r="E185" s="2"/>
      <c r="F185" s="3"/>
      <c r="G185" s="16"/>
      <c r="H185" s="16"/>
      <c r="I185" s="17" t="str">
        <f t="shared" ca="1" si="21"/>
        <v/>
      </c>
      <c r="J185" s="13" t="str">
        <f>IF(F185="","",'GİDER AYARLARI'!$B$4)</f>
        <v/>
      </c>
      <c r="K185" s="13" t="str">
        <f>IF(F185="","",'GİDER AYARLARI'!$B$5)</f>
        <v/>
      </c>
      <c r="L185" s="13" t="str">
        <f>IF(F185="","",'GİDER AYARLARI'!$B$6)</f>
        <v/>
      </c>
      <c r="M185" s="13" t="str">
        <f>IF(F185="","",'GİDER AYARLARI'!$B$7)</f>
        <v/>
      </c>
      <c r="N185" s="3"/>
      <c r="O185" s="13" t="str">
        <f ca="1">IF(OR(F185="",I185=""),"",IFERROR(IF(VLOOKUP(E185,'ALIM AYARLARI'!$A$4:$D$20,2,FALSE)="EVET",F185*'GİDER AYARLARI'!$B$8*I185/30,0),0))</f>
        <v/>
      </c>
      <c r="P185" s="14" t="str">
        <f t="shared" si="22"/>
        <v/>
      </c>
      <c r="Q185" s="14" t="str">
        <f t="shared" si="23"/>
        <v/>
      </c>
      <c r="R185" s="2"/>
      <c r="S185" s="2"/>
      <c r="T185" s="3"/>
      <c r="U185" s="14" t="str">
        <f t="shared" si="24"/>
        <v/>
      </c>
      <c r="V185" s="14" t="str">
        <f t="shared" si="25"/>
        <v/>
      </c>
      <c r="W185" s="15" t="str">
        <f t="shared" si="26"/>
        <v/>
      </c>
      <c r="X185" s="12" t="str">
        <f t="shared" si="27"/>
        <v/>
      </c>
      <c r="Y185" s="2"/>
      <c r="Z185" s="3"/>
      <c r="AA185" s="3"/>
      <c r="AB185" s="3"/>
      <c r="AC185" s="14" t="str">
        <f t="shared" si="28"/>
        <v/>
      </c>
      <c r="AD185" s="14" t="str">
        <f t="shared" si="29"/>
        <v/>
      </c>
    </row>
    <row r="186" spans="1:30">
      <c r="A186">
        <f t="shared" si="20"/>
        <v>183</v>
      </c>
      <c r="B186" s="2"/>
      <c r="C186" s="18"/>
      <c r="D186" s="2"/>
      <c r="E186" s="2"/>
      <c r="F186" s="3"/>
      <c r="G186" s="16"/>
      <c r="H186" s="16"/>
      <c r="I186" s="17" t="str">
        <f t="shared" ca="1" si="21"/>
        <v/>
      </c>
      <c r="J186" s="13" t="str">
        <f>IF(F186="","",'GİDER AYARLARI'!$B$4)</f>
        <v/>
      </c>
      <c r="K186" s="13" t="str">
        <f>IF(F186="","",'GİDER AYARLARI'!$B$5)</f>
        <v/>
      </c>
      <c r="L186" s="13" t="str">
        <f>IF(F186="","",'GİDER AYARLARI'!$B$6)</f>
        <v/>
      </c>
      <c r="M186" s="13" t="str">
        <f>IF(F186="","",'GİDER AYARLARI'!$B$7)</f>
        <v/>
      </c>
      <c r="N186" s="3"/>
      <c r="O186" s="13" t="str">
        <f ca="1">IF(OR(F186="",I186=""),"",IFERROR(IF(VLOOKUP(E186,'ALIM AYARLARI'!$A$4:$D$20,2,FALSE)="EVET",F186*'GİDER AYARLARI'!$B$8*I186/30,0),0))</f>
        <v/>
      </c>
      <c r="P186" s="14" t="str">
        <f t="shared" si="22"/>
        <v/>
      </c>
      <c r="Q186" s="14" t="str">
        <f t="shared" si="23"/>
        <v/>
      </c>
      <c r="R186" s="2"/>
      <c r="S186" s="2"/>
      <c r="T186" s="3"/>
      <c r="U186" s="14" t="str">
        <f t="shared" si="24"/>
        <v/>
      </c>
      <c r="V186" s="14" t="str">
        <f t="shared" si="25"/>
        <v/>
      </c>
      <c r="W186" s="15" t="str">
        <f t="shared" si="26"/>
        <v/>
      </c>
      <c r="X186" s="12" t="str">
        <f t="shared" si="27"/>
        <v/>
      </c>
      <c r="Y186" s="2"/>
      <c r="Z186" s="3"/>
      <c r="AA186" s="3"/>
      <c r="AB186" s="3"/>
      <c r="AC186" s="14" t="str">
        <f t="shared" si="28"/>
        <v/>
      </c>
      <c r="AD186" s="14" t="str">
        <f t="shared" si="29"/>
        <v/>
      </c>
    </row>
    <row r="187" spans="1:30">
      <c r="A187">
        <f t="shared" si="20"/>
        <v>184</v>
      </c>
      <c r="B187" s="2"/>
      <c r="C187" s="18"/>
      <c r="D187" s="2"/>
      <c r="E187" s="2"/>
      <c r="F187" s="3"/>
      <c r="G187" s="16"/>
      <c r="H187" s="16"/>
      <c r="I187" s="17" t="str">
        <f t="shared" ca="1" si="21"/>
        <v/>
      </c>
      <c r="J187" s="13" t="str">
        <f>IF(F187="","",'GİDER AYARLARI'!$B$4)</f>
        <v/>
      </c>
      <c r="K187" s="13" t="str">
        <f>IF(F187="","",'GİDER AYARLARI'!$B$5)</f>
        <v/>
      </c>
      <c r="L187" s="13" t="str">
        <f>IF(F187="","",'GİDER AYARLARI'!$B$6)</f>
        <v/>
      </c>
      <c r="M187" s="13" t="str">
        <f>IF(F187="","",'GİDER AYARLARI'!$B$7)</f>
        <v/>
      </c>
      <c r="N187" s="3"/>
      <c r="O187" s="13" t="str">
        <f ca="1">IF(OR(F187="",I187=""),"",IFERROR(IF(VLOOKUP(E187,'ALIM AYARLARI'!$A$4:$D$20,2,FALSE)="EVET",F187*'GİDER AYARLARI'!$B$8*I187/30,0),0))</f>
        <v/>
      </c>
      <c r="P187" s="14" t="str">
        <f t="shared" si="22"/>
        <v/>
      </c>
      <c r="Q187" s="14" t="str">
        <f t="shared" si="23"/>
        <v/>
      </c>
      <c r="R187" s="2"/>
      <c r="S187" s="2"/>
      <c r="T187" s="3"/>
      <c r="U187" s="14" t="str">
        <f t="shared" si="24"/>
        <v/>
      </c>
      <c r="V187" s="14" t="str">
        <f t="shared" si="25"/>
        <v/>
      </c>
      <c r="W187" s="15" t="str">
        <f t="shared" si="26"/>
        <v/>
      </c>
      <c r="X187" s="12" t="str">
        <f t="shared" si="27"/>
        <v/>
      </c>
      <c r="Y187" s="2"/>
      <c r="Z187" s="3"/>
      <c r="AA187" s="3"/>
      <c r="AB187" s="3"/>
      <c r="AC187" s="14" t="str">
        <f t="shared" si="28"/>
        <v/>
      </c>
      <c r="AD187" s="14" t="str">
        <f t="shared" si="29"/>
        <v/>
      </c>
    </row>
    <row r="188" spans="1:30">
      <c r="A188">
        <f t="shared" si="20"/>
        <v>185</v>
      </c>
      <c r="B188" s="2"/>
      <c r="C188" s="18"/>
      <c r="D188" s="2"/>
      <c r="E188" s="2"/>
      <c r="F188" s="3"/>
      <c r="G188" s="16"/>
      <c r="H188" s="16"/>
      <c r="I188" s="17" t="str">
        <f t="shared" ca="1" si="21"/>
        <v/>
      </c>
      <c r="J188" s="13" t="str">
        <f>IF(F188="","",'GİDER AYARLARI'!$B$4)</f>
        <v/>
      </c>
      <c r="K188" s="13" t="str">
        <f>IF(F188="","",'GİDER AYARLARI'!$B$5)</f>
        <v/>
      </c>
      <c r="L188" s="13" t="str">
        <f>IF(F188="","",'GİDER AYARLARI'!$B$6)</f>
        <v/>
      </c>
      <c r="M188" s="13" t="str">
        <f>IF(F188="","",'GİDER AYARLARI'!$B$7)</f>
        <v/>
      </c>
      <c r="N188" s="3"/>
      <c r="O188" s="13" t="str">
        <f ca="1">IF(OR(F188="",I188=""),"",IFERROR(IF(VLOOKUP(E188,'ALIM AYARLARI'!$A$4:$D$20,2,FALSE)="EVET",F188*'GİDER AYARLARI'!$B$8*I188/30,0),0))</f>
        <v/>
      </c>
      <c r="P188" s="14" t="str">
        <f t="shared" si="22"/>
        <v/>
      </c>
      <c r="Q188" s="14" t="str">
        <f t="shared" si="23"/>
        <v/>
      </c>
      <c r="R188" s="2"/>
      <c r="S188" s="2"/>
      <c r="T188" s="3"/>
      <c r="U188" s="14" t="str">
        <f t="shared" si="24"/>
        <v/>
      </c>
      <c r="V188" s="14" t="str">
        <f t="shared" si="25"/>
        <v/>
      </c>
      <c r="W188" s="15" t="str">
        <f t="shared" si="26"/>
        <v/>
      </c>
      <c r="X188" s="12" t="str">
        <f t="shared" si="27"/>
        <v/>
      </c>
      <c r="Y188" s="2"/>
      <c r="Z188" s="3"/>
      <c r="AA188" s="3"/>
      <c r="AB188" s="3"/>
      <c r="AC188" s="14" t="str">
        <f t="shared" si="28"/>
        <v/>
      </c>
      <c r="AD188" s="14" t="str">
        <f t="shared" si="29"/>
        <v/>
      </c>
    </row>
    <row r="189" spans="1:30">
      <c r="A189">
        <f t="shared" si="20"/>
        <v>186</v>
      </c>
      <c r="B189" s="2"/>
      <c r="C189" s="18"/>
      <c r="D189" s="2"/>
      <c r="E189" s="2"/>
      <c r="F189" s="3"/>
      <c r="G189" s="16"/>
      <c r="H189" s="16"/>
      <c r="I189" s="17" t="str">
        <f t="shared" ca="1" si="21"/>
        <v/>
      </c>
      <c r="J189" s="13" t="str">
        <f>IF(F189="","",'GİDER AYARLARI'!$B$4)</f>
        <v/>
      </c>
      <c r="K189" s="13" t="str">
        <f>IF(F189="","",'GİDER AYARLARI'!$B$5)</f>
        <v/>
      </c>
      <c r="L189" s="13" t="str">
        <f>IF(F189="","",'GİDER AYARLARI'!$B$6)</f>
        <v/>
      </c>
      <c r="M189" s="13" t="str">
        <f>IF(F189="","",'GİDER AYARLARI'!$B$7)</f>
        <v/>
      </c>
      <c r="N189" s="3"/>
      <c r="O189" s="13" t="str">
        <f ca="1">IF(OR(F189="",I189=""),"",IFERROR(IF(VLOOKUP(E189,'ALIM AYARLARI'!$A$4:$D$20,2,FALSE)="EVET",F189*'GİDER AYARLARI'!$B$8*I189/30,0),0))</f>
        <v/>
      </c>
      <c r="P189" s="14" t="str">
        <f t="shared" si="22"/>
        <v/>
      </c>
      <c r="Q189" s="14" t="str">
        <f t="shared" si="23"/>
        <v/>
      </c>
      <c r="R189" s="2"/>
      <c r="S189" s="2"/>
      <c r="T189" s="3"/>
      <c r="U189" s="14" t="str">
        <f t="shared" si="24"/>
        <v/>
      </c>
      <c r="V189" s="14" t="str">
        <f t="shared" si="25"/>
        <v/>
      </c>
      <c r="W189" s="15" t="str">
        <f t="shared" si="26"/>
        <v/>
      </c>
      <c r="X189" s="12" t="str">
        <f t="shared" si="27"/>
        <v/>
      </c>
      <c r="Y189" s="2"/>
      <c r="Z189" s="3"/>
      <c r="AA189" s="3"/>
      <c r="AB189" s="3"/>
      <c r="AC189" s="14" t="str">
        <f t="shared" si="28"/>
        <v/>
      </c>
      <c r="AD189" s="14" t="str">
        <f t="shared" si="29"/>
        <v/>
      </c>
    </row>
    <row r="190" spans="1:30">
      <c r="A190">
        <f t="shared" si="20"/>
        <v>187</v>
      </c>
      <c r="B190" s="2"/>
      <c r="C190" s="18"/>
      <c r="D190" s="2"/>
      <c r="E190" s="2"/>
      <c r="F190" s="3"/>
      <c r="G190" s="16"/>
      <c r="H190" s="16"/>
      <c r="I190" s="17" t="str">
        <f t="shared" ca="1" si="21"/>
        <v/>
      </c>
      <c r="J190" s="13" t="str">
        <f>IF(F190="","",'GİDER AYARLARI'!$B$4)</f>
        <v/>
      </c>
      <c r="K190" s="13" t="str">
        <f>IF(F190="","",'GİDER AYARLARI'!$B$5)</f>
        <v/>
      </c>
      <c r="L190" s="13" t="str">
        <f>IF(F190="","",'GİDER AYARLARI'!$B$6)</f>
        <v/>
      </c>
      <c r="M190" s="13" t="str">
        <f>IF(F190="","",'GİDER AYARLARI'!$B$7)</f>
        <v/>
      </c>
      <c r="N190" s="3"/>
      <c r="O190" s="13" t="str">
        <f ca="1">IF(OR(F190="",I190=""),"",IFERROR(IF(VLOOKUP(E190,'ALIM AYARLARI'!$A$4:$D$20,2,FALSE)="EVET",F190*'GİDER AYARLARI'!$B$8*I190/30,0),0))</f>
        <v/>
      </c>
      <c r="P190" s="14" t="str">
        <f t="shared" si="22"/>
        <v/>
      </c>
      <c r="Q190" s="14" t="str">
        <f t="shared" si="23"/>
        <v/>
      </c>
      <c r="R190" s="2"/>
      <c r="S190" s="2"/>
      <c r="T190" s="3"/>
      <c r="U190" s="14" t="str">
        <f t="shared" si="24"/>
        <v/>
      </c>
      <c r="V190" s="14" t="str">
        <f t="shared" si="25"/>
        <v/>
      </c>
      <c r="W190" s="15" t="str">
        <f t="shared" si="26"/>
        <v/>
      </c>
      <c r="X190" s="12" t="str">
        <f t="shared" si="27"/>
        <v/>
      </c>
      <c r="Y190" s="2"/>
      <c r="Z190" s="3"/>
      <c r="AA190" s="3"/>
      <c r="AB190" s="3"/>
      <c r="AC190" s="14" t="str">
        <f t="shared" si="28"/>
        <v/>
      </c>
      <c r="AD190" s="14" t="str">
        <f t="shared" si="29"/>
        <v/>
      </c>
    </row>
    <row r="191" spans="1:30">
      <c r="A191">
        <f t="shared" si="20"/>
        <v>188</v>
      </c>
      <c r="B191" s="2"/>
      <c r="C191" s="18"/>
      <c r="D191" s="2"/>
      <c r="E191" s="2"/>
      <c r="F191" s="3"/>
      <c r="G191" s="16"/>
      <c r="H191" s="16"/>
      <c r="I191" s="17" t="str">
        <f t="shared" ca="1" si="21"/>
        <v/>
      </c>
      <c r="J191" s="13" t="str">
        <f>IF(F191="","",'GİDER AYARLARI'!$B$4)</f>
        <v/>
      </c>
      <c r="K191" s="13" t="str">
        <f>IF(F191="","",'GİDER AYARLARI'!$B$5)</f>
        <v/>
      </c>
      <c r="L191" s="13" t="str">
        <f>IF(F191="","",'GİDER AYARLARI'!$B$6)</f>
        <v/>
      </c>
      <c r="M191" s="13" t="str">
        <f>IF(F191="","",'GİDER AYARLARI'!$B$7)</f>
        <v/>
      </c>
      <c r="N191" s="3"/>
      <c r="O191" s="13" t="str">
        <f ca="1">IF(OR(F191="",I191=""),"",IFERROR(IF(VLOOKUP(E191,'ALIM AYARLARI'!$A$4:$D$20,2,FALSE)="EVET",F191*'GİDER AYARLARI'!$B$8*I191/30,0),0))</f>
        <v/>
      </c>
      <c r="P191" s="14" t="str">
        <f t="shared" si="22"/>
        <v/>
      </c>
      <c r="Q191" s="14" t="str">
        <f t="shared" si="23"/>
        <v/>
      </c>
      <c r="R191" s="2"/>
      <c r="S191" s="2"/>
      <c r="T191" s="3"/>
      <c r="U191" s="14" t="str">
        <f t="shared" si="24"/>
        <v/>
      </c>
      <c r="V191" s="14" t="str">
        <f t="shared" si="25"/>
        <v/>
      </c>
      <c r="W191" s="15" t="str">
        <f t="shared" si="26"/>
        <v/>
      </c>
      <c r="X191" s="12" t="str">
        <f t="shared" si="27"/>
        <v/>
      </c>
      <c r="Y191" s="2"/>
      <c r="Z191" s="3"/>
      <c r="AA191" s="3"/>
      <c r="AB191" s="3"/>
      <c r="AC191" s="14" t="str">
        <f t="shared" si="28"/>
        <v/>
      </c>
      <c r="AD191" s="14" t="str">
        <f t="shared" si="29"/>
        <v/>
      </c>
    </row>
    <row r="192" spans="1:30">
      <c r="A192">
        <f t="shared" si="20"/>
        <v>189</v>
      </c>
      <c r="B192" s="2"/>
      <c r="C192" s="18"/>
      <c r="D192" s="2"/>
      <c r="E192" s="2"/>
      <c r="F192" s="3"/>
      <c r="G192" s="16"/>
      <c r="H192" s="16"/>
      <c r="I192" s="17" t="str">
        <f t="shared" ca="1" si="21"/>
        <v/>
      </c>
      <c r="J192" s="13" t="str">
        <f>IF(F192="","",'GİDER AYARLARI'!$B$4)</f>
        <v/>
      </c>
      <c r="K192" s="13" t="str">
        <f>IF(F192="","",'GİDER AYARLARI'!$B$5)</f>
        <v/>
      </c>
      <c r="L192" s="13" t="str">
        <f>IF(F192="","",'GİDER AYARLARI'!$B$6)</f>
        <v/>
      </c>
      <c r="M192" s="13" t="str">
        <f>IF(F192="","",'GİDER AYARLARI'!$B$7)</f>
        <v/>
      </c>
      <c r="N192" s="3"/>
      <c r="O192" s="13" t="str">
        <f ca="1">IF(OR(F192="",I192=""),"",IFERROR(IF(VLOOKUP(E192,'ALIM AYARLARI'!$A$4:$D$20,2,FALSE)="EVET",F192*'GİDER AYARLARI'!$B$8*I192/30,0),0))</f>
        <v/>
      </c>
      <c r="P192" s="14" t="str">
        <f t="shared" si="22"/>
        <v/>
      </c>
      <c r="Q192" s="14" t="str">
        <f t="shared" si="23"/>
        <v/>
      </c>
      <c r="R192" s="2"/>
      <c r="S192" s="2"/>
      <c r="T192" s="3"/>
      <c r="U192" s="14" t="str">
        <f t="shared" si="24"/>
        <v/>
      </c>
      <c r="V192" s="14" t="str">
        <f t="shared" si="25"/>
        <v/>
      </c>
      <c r="W192" s="15" t="str">
        <f t="shared" si="26"/>
        <v/>
      </c>
      <c r="X192" s="12" t="str">
        <f t="shared" si="27"/>
        <v/>
      </c>
      <c r="Y192" s="2"/>
      <c r="Z192" s="3"/>
      <c r="AA192" s="3"/>
      <c r="AB192" s="3"/>
      <c r="AC192" s="14" t="str">
        <f t="shared" si="28"/>
        <v/>
      </c>
      <c r="AD192" s="14" t="str">
        <f t="shared" si="29"/>
        <v/>
      </c>
    </row>
    <row r="193" spans="1:30">
      <c r="A193">
        <f t="shared" si="20"/>
        <v>190</v>
      </c>
      <c r="B193" s="2"/>
      <c r="C193" s="18"/>
      <c r="D193" s="2"/>
      <c r="E193" s="2"/>
      <c r="F193" s="3"/>
      <c r="G193" s="16"/>
      <c r="H193" s="16"/>
      <c r="I193" s="17" t="str">
        <f t="shared" ca="1" si="21"/>
        <v/>
      </c>
      <c r="J193" s="13" t="str">
        <f>IF(F193="","",'GİDER AYARLARI'!$B$4)</f>
        <v/>
      </c>
      <c r="K193" s="13" t="str">
        <f>IF(F193="","",'GİDER AYARLARI'!$B$5)</f>
        <v/>
      </c>
      <c r="L193" s="13" t="str">
        <f>IF(F193="","",'GİDER AYARLARI'!$B$6)</f>
        <v/>
      </c>
      <c r="M193" s="13" t="str">
        <f>IF(F193="","",'GİDER AYARLARI'!$B$7)</f>
        <v/>
      </c>
      <c r="N193" s="3"/>
      <c r="O193" s="13" t="str">
        <f ca="1">IF(OR(F193="",I193=""),"",IFERROR(IF(VLOOKUP(E193,'ALIM AYARLARI'!$A$4:$D$20,2,FALSE)="EVET",F193*'GİDER AYARLARI'!$B$8*I193/30,0),0))</f>
        <v/>
      </c>
      <c r="P193" s="14" t="str">
        <f t="shared" si="22"/>
        <v/>
      </c>
      <c r="Q193" s="14" t="str">
        <f t="shared" si="23"/>
        <v/>
      </c>
      <c r="R193" s="2"/>
      <c r="S193" s="2"/>
      <c r="T193" s="3"/>
      <c r="U193" s="14" t="str">
        <f t="shared" si="24"/>
        <v/>
      </c>
      <c r="V193" s="14" t="str">
        <f t="shared" si="25"/>
        <v/>
      </c>
      <c r="W193" s="15" t="str">
        <f t="shared" si="26"/>
        <v/>
      </c>
      <c r="X193" s="12" t="str">
        <f t="shared" si="27"/>
        <v/>
      </c>
      <c r="Y193" s="2"/>
      <c r="Z193" s="3"/>
      <c r="AA193" s="3"/>
      <c r="AB193" s="3"/>
      <c r="AC193" s="14" t="str">
        <f t="shared" si="28"/>
        <v/>
      </c>
      <c r="AD193" s="14" t="str">
        <f t="shared" si="29"/>
        <v/>
      </c>
    </row>
    <row r="194" spans="1:30">
      <c r="A194">
        <f t="shared" si="20"/>
        <v>191</v>
      </c>
      <c r="B194" s="2"/>
      <c r="C194" s="18"/>
      <c r="D194" s="2"/>
      <c r="E194" s="2"/>
      <c r="F194" s="3"/>
      <c r="G194" s="16"/>
      <c r="H194" s="16"/>
      <c r="I194" s="17" t="str">
        <f t="shared" ca="1" si="21"/>
        <v/>
      </c>
      <c r="J194" s="13" t="str">
        <f>IF(F194="","",'GİDER AYARLARI'!$B$4)</f>
        <v/>
      </c>
      <c r="K194" s="13" t="str">
        <f>IF(F194="","",'GİDER AYARLARI'!$B$5)</f>
        <v/>
      </c>
      <c r="L194" s="13" t="str">
        <f>IF(F194="","",'GİDER AYARLARI'!$B$6)</f>
        <v/>
      </c>
      <c r="M194" s="13" t="str">
        <f>IF(F194="","",'GİDER AYARLARI'!$B$7)</f>
        <v/>
      </c>
      <c r="N194" s="3"/>
      <c r="O194" s="13" t="str">
        <f ca="1">IF(OR(F194="",I194=""),"",IFERROR(IF(VLOOKUP(E194,'ALIM AYARLARI'!$A$4:$D$20,2,FALSE)="EVET",F194*'GİDER AYARLARI'!$B$8*I194/30,0),0))</f>
        <v/>
      </c>
      <c r="P194" s="14" t="str">
        <f t="shared" si="22"/>
        <v/>
      </c>
      <c r="Q194" s="14" t="str">
        <f t="shared" si="23"/>
        <v/>
      </c>
      <c r="R194" s="2"/>
      <c r="S194" s="2"/>
      <c r="T194" s="3"/>
      <c r="U194" s="14" t="str">
        <f t="shared" si="24"/>
        <v/>
      </c>
      <c r="V194" s="14" t="str">
        <f t="shared" si="25"/>
        <v/>
      </c>
      <c r="W194" s="15" t="str">
        <f t="shared" si="26"/>
        <v/>
      </c>
      <c r="X194" s="12" t="str">
        <f t="shared" si="27"/>
        <v/>
      </c>
      <c r="Y194" s="2"/>
      <c r="Z194" s="3"/>
      <c r="AA194" s="3"/>
      <c r="AB194" s="3"/>
      <c r="AC194" s="14" t="str">
        <f t="shared" si="28"/>
        <v/>
      </c>
      <c r="AD194" s="14" t="str">
        <f t="shared" si="29"/>
        <v/>
      </c>
    </row>
    <row r="195" spans="1:30">
      <c r="A195">
        <f t="shared" si="20"/>
        <v>192</v>
      </c>
      <c r="B195" s="2"/>
      <c r="C195" s="18"/>
      <c r="D195" s="2"/>
      <c r="E195" s="2"/>
      <c r="F195" s="3"/>
      <c r="G195" s="16"/>
      <c r="H195" s="16"/>
      <c r="I195" s="17" t="str">
        <f t="shared" ca="1" si="21"/>
        <v/>
      </c>
      <c r="J195" s="13" t="str">
        <f>IF(F195="","",'GİDER AYARLARI'!$B$4)</f>
        <v/>
      </c>
      <c r="K195" s="13" t="str">
        <f>IF(F195="","",'GİDER AYARLARI'!$B$5)</f>
        <v/>
      </c>
      <c r="L195" s="13" t="str">
        <f>IF(F195="","",'GİDER AYARLARI'!$B$6)</f>
        <v/>
      </c>
      <c r="M195" s="13" t="str">
        <f>IF(F195="","",'GİDER AYARLARI'!$B$7)</f>
        <v/>
      </c>
      <c r="N195" s="3"/>
      <c r="O195" s="13" t="str">
        <f ca="1">IF(OR(F195="",I195=""),"",IFERROR(IF(VLOOKUP(E195,'ALIM AYARLARI'!$A$4:$D$20,2,FALSE)="EVET",F195*'GİDER AYARLARI'!$B$8*I195/30,0),0))</f>
        <v/>
      </c>
      <c r="P195" s="14" t="str">
        <f t="shared" si="22"/>
        <v/>
      </c>
      <c r="Q195" s="14" t="str">
        <f t="shared" si="23"/>
        <v/>
      </c>
      <c r="R195" s="2"/>
      <c r="S195" s="2"/>
      <c r="T195" s="3"/>
      <c r="U195" s="14" t="str">
        <f t="shared" si="24"/>
        <v/>
      </c>
      <c r="V195" s="14" t="str">
        <f t="shared" si="25"/>
        <v/>
      </c>
      <c r="W195" s="15" t="str">
        <f t="shared" si="26"/>
        <v/>
      </c>
      <c r="X195" s="12" t="str">
        <f t="shared" si="27"/>
        <v/>
      </c>
      <c r="Y195" s="2"/>
      <c r="Z195" s="3"/>
      <c r="AA195" s="3"/>
      <c r="AB195" s="3"/>
      <c r="AC195" s="14" t="str">
        <f t="shared" si="28"/>
        <v/>
      </c>
      <c r="AD195" s="14" t="str">
        <f t="shared" si="29"/>
        <v/>
      </c>
    </row>
    <row r="196" spans="1:30">
      <c r="A196">
        <f t="shared" ref="A196:A259" si="30">ROW()-3</f>
        <v>193</v>
      </c>
      <c r="B196" s="2"/>
      <c r="C196" s="18"/>
      <c r="D196" s="2"/>
      <c r="E196" s="2"/>
      <c r="F196" s="3"/>
      <c r="G196" s="16"/>
      <c r="H196" s="16"/>
      <c r="I196" s="17" t="str">
        <f t="shared" ref="I196:I259" ca="1" si="31">IF(G196="","",IF(H196="",TODAY()-G196,H196-G196))</f>
        <v/>
      </c>
      <c r="J196" s="13" t="str">
        <f>IF(F196="","",'GİDER AYARLARI'!$B$4)</f>
        <v/>
      </c>
      <c r="K196" s="13" t="str">
        <f>IF(F196="","",'GİDER AYARLARI'!$B$5)</f>
        <v/>
      </c>
      <c r="L196" s="13" t="str">
        <f>IF(F196="","",'GİDER AYARLARI'!$B$6)</f>
        <v/>
      </c>
      <c r="M196" s="13" t="str">
        <f>IF(F196="","",'GİDER AYARLARI'!$B$7)</f>
        <v/>
      </c>
      <c r="N196" s="3"/>
      <c r="O196" s="13" t="str">
        <f ca="1">IF(OR(F196="",I196=""),"",IFERROR(IF(VLOOKUP(E196,'ALIM AYARLARI'!$A$4:$D$20,2,FALSE)="EVET",F196*'GİDER AYARLARI'!$B$8*I196/30,0),0))</f>
        <v/>
      </c>
      <c r="P196" s="14" t="str">
        <f t="shared" ref="P196:P259" si="32">IF(F196="","",SUM(J196:O196))</f>
        <v/>
      </c>
      <c r="Q196" s="14" t="str">
        <f t="shared" ref="Q196:Q259" si="33">IF(F196="","",F196+P196)</f>
        <v/>
      </c>
      <c r="R196" s="2"/>
      <c r="S196" s="2"/>
      <c r="T196" s="3"/>
      <c r="U196" s="14" t="str">
        <f t="shared" ref="U196:U259" si="34">IF(OR(F196="",T196=""),"",T196-F196)</f>
        <v/>
      </c>
      <c r="V196" s="14" t="str">
        <f t="shared" ref="V196:V259" si="35">IF(T196="","",T196-Q196)</f>
        <v/>
      </c>
      <c r="W196" s="15" t="str">
        <f t="shared" ref="W196:W259" si="36">IFERROR(V196/T196,"")</f>
        <v/>
      </c>
      <c r="X196" s="12" t="str">
        <f t="shared" ref="X196:X259" si="37">IF(F196="","",IF(H196="","STOKTA","SATILDI"))</f>
        <v/>
      </c>
      <c r="Y196" s="2"/>
      <c r="Z196" s="3"/>
      <c r="AA196" s="3"/>
      <c r="AB196" s="3"/>
      <c r="AC196" s="14" t="str">
        <f t="shared" ref="AC196:AC259" si="38">IF(F196="","",SUM(Z196:AB196))</f>
        <v/>
      </c>
      <c r="AD196" s="14" t="str">
        <f t="shared" ref="AD196:AD259" si="39">IF(T196="","",V196+AC196)</f>
        <v/>
      </c>
    </row>
    <row r="197" spans="1:30">
      <c r="A197">
        <f t="shared" si="30"/>
        <v>194</v>
      </c>
      <c r="B197" s="2"/>
      <c r="C197" s="18"/>
      <c r="D197" s="2"/>
      <c r="E197" s="2"/>
      <c r="F197" s="3"/>
      <c r="G197" s="16"/>
      <c r="H197" s="16"/>
      <c r="I197" s="17" t="str">
        <f t="shared" ca="1" si="31"/>
        <v/>
      </c>
      <c r="J197" s="13" t="str">
        <f>IF(F197="","",'GİDER AYARLARI'!$B$4)</f>
        <v/>
      </c>
      <c r="K197" s="13" t="str">
        <f>IF(F197="","",'GİDER AYARLARI'!$B$5)</f>
        <v/>
      </c>
      <c r="L197" s="13" t="str">
        <f>IF(F197="","",'GİDER AYARLARI'!$B$6)</f>
        <v/>
      </c>
      <c r="M197" s="13" t="str">
        <f>IF(F197="","",'GİDER AYARLARI'!$B$7)</f>
        <v/>
      </c>
      <c r="N197" s="3"/>
      <c r="O197" s="13" t="str">
        <f ca="1">IF(OR(F197="",I197=""),"",IFERROR(IF(VLOOKUP(E197,'ALIM AYARLARI'!$A$4:$D$20,2,FALSE)="EVET",F197*'GİDER AYARLARI'!$B$8*I197/30,0),0))</f>
        <v/>
      </c>
      <c r="P197" s="14" t="str">
        <f t="shared" si="32"/>
        <v/>
      </c>
      <c r="Q197" s="14" t="str">
        <f t="shared" si="33"/>
        <v/>
      </c>
      <c r="R197" s="2"/>
      <c r="S197" s="2"/>
      <c r="T197" s="3"/>
      <c r="U197" s="14" t="str">
        <f t="shared" si="34"/>
        <v/>
      </c>
      <c r="V197" s="14" t="str">
        <f t="shared" si="35"/>
        <v/>
      </c>
      <c r="W197" s="15" t="str">
        <f t="shared" si="36"/>
        <v/>
      </c>
      <c r="X197" s="12" t="str">
        <f t="shared" si="37"/>
        <v/>
      </c>
      <c r="Y197" s="2"/>
      <c r="Z197" s="3"/>
      <c r="AA197" s="3"/>
      <c r="AB197" s="3"/>
      <c r="AC197" s="14" t="str">
        <f t="shared" si="38"/>
        <v/>
      </c>
      <c r="AD197" s="14" t="str">
        <f t="shared" si="39"/>
        <v/>
      </c>
    </row>
    <row r="198" spans="1:30">
      <c r="A198">
        <f t="shared" si="30"/>
        <v>195</v>
      </c>
      <c r="B198" s="2"/>
      <c r="C198" s="18"/>
      <c r="D198" s="2"/>
      <c r="E198" s="2"/>
      <c r="F198" s="3"/>
      <c r="G198" s="16"/>
      <c r="H198" s="16"/>
      <c r="I198" s="17" t="str">
        <f t="shared" ca="1" si="31"/>
        <v/>
      </c>
      <c r="J198" s="13" t="str">
        <f>IF(F198="","",'GİDER AYARLARI'!$B$4)</f>
        <v/>
      </c>
      <c r="K198" s="13" t="str">
        <f>IF(F198="","",'GİDER AYARLARI'!$B$5)</f>
        <v/>
      </c>
      <c r="L198" s="13" t="str">
        <f>IF(F198="","",'GİDER AYARLARI'!$B$6)</f>
        <v/>
      </c>
      <c r="M198" s="13" t="str">
        <f>IF(F198="","",'GİDER AYARLARI'!$B$7)</f>
        <v/>
      </c>
      <c r="N198" s="3"/>
      <c r="O198" s="13" t="str">
        <f ca="1">IF(OR(F198="",I198=""),"",IFERROR(IF(VLOOKUP(E198,'ALIM AYARLARI'!$A$4:$D$20,2,FALSE)="EVET",F198*'GİDER AYARLARI'!$B$8*I198/30,0),0))</f>
        <v/>
      </c>
      <c r="P198" s="14" t="str">
        <f t="shared" si="32"/>
        <v/>
      </c>
      <c r="Q198" s="14" t="str">
        <f t="shared" si="33"/>
        <v/>
      </c>
      <c r="R198" s="2"/>
      <c r="S198" s="2"/>
      <c r="T198" s="3"/>
      <c r="U198" s="14" t="str">
        <f t="shared" si="34"/>
        <v/>
      </c>
      <c r="V198" s="14" t="str">
        <f t="shared" si="35"/>
        <v/>
      </c>
      <c r="W198" s="15" t="str">
        <f t="shared" si="36"/>
        <v/>
      </c>
      <c r="X198" s="12" t="str">
        <f t="shared" si="37"/>
        <v/>
      </c>
      <c r="Y198" s="2"/>
      <c r="Z198" s="3"/>
      <c r="AA198" s="3"/>
      <c r="AB198" s="3"/>
      <c r="AC198" s="14" t="str">
        <f t="shared" si="38"/>
        <v/>
      </c>
      <c r="AD198" s="14" t="str">
        <f t="shared" si="39"/>
        <v/>
      </c>
    </row>
    <row r="199" spans="1:30">
      <c r="A199">
        <f t="shared" si="30"/>
        <v>196</v>
      </c>
      <c r="B199" s="2"/>
      <c r="C199" s="18"/>
      <c r="D199" s="2"/>
      <c r="E199" s="2"/>
      <c r="F199" s="3"/>
      <c r="G199" s="16"/>
      <c r="H199" s="16"/>
      <c r="I199" s="17" t="str">
        <f t="shared" ca="1" si="31"/>
        <v/>
      </c>
      <c r="J199" s="13" t="str">
        <f>IF(F199="","",'GİDER AYARLARI'!$B$4)</f>
        <v/>
      </c>
      <c r="K199" s="13" t="str">
        <f>IF(F199="","",'GİDER AYARLARI'!$B$5)</f>
        <v/>
      </c>
      <c r="L199" s="13" t="str">
        <f>IF(F199="","",'GİDER AYARLARI'!$B$6)</f>
        <v/>
      </c>
      <c r="M199" s="13" t="str">
        <f>IF(F199="","",'GİDER AYARLARI'!$B$7)</f>
        <v/>
      </c>
      <c r="N199" s="3"/>
      <c r="O199" s="13" t="str">
        <f ca="1">IF(OR(F199="",I199=""),"",IFERROR(IF(VLOOKUP(E199,'ALIM AYARLARI'!$A$4:$D$20,2,FALSE)="EVET",F199*'GİDER AYARLARI'!$B$8*I199/30,0),0))</f>
        <v/>
      </c>
      <c r="P199" s="14" t="str">
        <f t="shared" si="32"/>
        <v/>
      </c>
      <c r="Q199" s="14" t="str">
        <f t="shared" si="33"/>
        <v/>
      </c>
      <c r="R199" s="2"/>
      <c r="S199" s="2"/>
      <c r="T199" s="3"/>
      <c r="U199" s="14" t="str">
        <f t="shared" si="34"/>
        <v/>
      </c>
      <c r="V199" s="14" t="str">
        <f t="shared" si="35"/>
        <v/>
      </c>
      <c r="W199" s="15" t="str">
        <f t="shared" si="36"/>
        <v/>
      </c>
      <c r="X199" s="12" t="str">
        <f t="shared" si="37"/>
        <v/>
      </c>
      <c r="Y199" s="2"/>
      <c r="Z199" s="3"/>
      <c r="AA199" s="3"/>
      <c r="AB199" s="3"/>
      <c r="AC199" s="14" t="str">
        <f t="shared" si="38"/>
        <v/>
      </c>
      <c r="AD199" s="14" t="str">
        <f t="shared" si="39"/>
        <v/>
      </c>
    </row>
    <row r="200" spans="1:30">
      <c r="A200">
        <f t="shared" si="30"/>
        <v>197</v>
      </c>
      <c r="B200" s="2"/>
      <c r="C200" s="18"/>
      <c r="D200" s="2"/>
      <c r="E200" s="2"/>
      <c r="F200" s="3"/>
      <c r="G200" s="16"/>
      <c r="H200" s="16"/>
      <c r="I200" s="17" t="str">
        <f t="shared" ca="1" si="31"/>
        <v/>
      </c>
      <c r="J200" s="13" t="str">
        <f>IF(F200="","",'GİDER AYARLARI'!$B$4)</f>
        <v/>
      </c>
      <c r="K200" s="13" t="str">
        <f>IF(F200="","",'GİDER AYARLARI'!$B$5)</f>
        <v/>
      </c>
      <c r="L200" s="13" t="str">
        <f>IF(F200="","",'GİDER AYARLARI'!$B$6)</f>
        <v/>
      </c>
      <c r="M200" s="13" t="str">
        <f>IF(F200="","",'GİDER AYARLARI'!$B$7)</f>
        <v/>
      </c>
      <c r="N200" s="3"/>
      <c r="O200" s="13" t="str">
        <f ca="1">IF(OR(F200="",I200=""),"",IFERROR(IF(VLOOKUP(E200,'ALIM AYARLARI'!$A$4:$D$20,2,FALSE)="EVET",F200*'GİDER AYARLARI'!$B$8*I200/30,0),0))</f>
        <v/>
      </c>
      <c r="P200" s="14" t="str">
        <f t="shared" si="32"/>
        <v/>
      </c>
      <c r="Q200" s="14" t="str">
        <f t="shared" si="33"/>
        <v/>
      </c>
      <c r="R200" s="2"/>
      <c r="S200" s="2"/>
      <c r="T200" s="3"/>
      <c r="U200" s="14" t="str">
        <f t="shared" si="34"/>
        <v/>
      </c>
      <c r="V200" s="14" t="str">
        <f t="shared" si="35"/>
        <v/>
      </c>
      <c r="W200" s="15" t="str">
        <f t="shared" si="36"/>
        <v/>
      </c>
      <c r="X200" s="12" t="str">
        <f t="shared" si="37"/>
        <v/>
      </c>
      <c r="Y200" s="2"/>
      <c r="Z200" s="3"/>
      <c r="AA200" s="3"/>
      <c r="AB200" s="3"/>
      <c r="AC200" s="14" t="str">
        <f t="shared" si="38"/>
        <v/>
      </c>
      <c r="AD200" s="14" t="str">
        <f t="shared" si="39"/>
        <v/>
      </c>
    </row>
    <row r="201" spans="1:30">
      <c r="A201">
        <f t="shared" si="30"/>
        <v>198</v>
      </c>
      <c r="B201" s="2"/>
      <c r="C201" s="18"/>
      <c r="D201" s="2"/>
      <c r="E201" s="2"/>
      <c r="F201" s="3"/>
      <c r="G201" s="16"/>
      <c r="H201" s="16"/>
      <c r="I201" s="17" t="str">
        <f t="shared" ca="1" si="31"/>
        <v/>
      </c>
      <c r="J201" s="13" t="str">
        <f>IF(F201="","",'GİDER AYARLARI'!$B$4)</f>
        <v/>
      </c>
      <c r="K201" s="13" t="str">
        <f>IF(F201="","",'GİDER AYARLARI'!$B$5)</f>
        <v/>
      </c>
      <c r="L201" s="13" t="str">
        <f>IF(F201="","",'GİDER AYARLARI'!$B$6)</f>
        <v/>
      </c>
      <c r="M201" s="13" t="str">
        <f>IF(F201="","",'GİDER AYARLARI'!$B$7)</f>
        <v/>
      </c>
      <c r="N201" s="3"/>
      <c r="O201" s="13" t="str">
        <f ca="1">IF(OR(F201="",I201=""),"",IFERROR(IF(VLOOKUP(E201,'ALIM AYARLARI'!$A$4:$D$20,2,FALSE)="EVET",F201*'GİDER AYARLARI'!$B$8*I201/30,0),0))</f>
        <v/>
      </c>
      <c r="P201" s="14" t="str">
        <f t="shared" si="32"/>
        <v/>
      </c>
      <c r="Q201" s="14" t="str">
        <f t="shared" si="33"/>
        <v/>
      </c>
      <c r="R201" s="2"/>
      <c r="S201" s="2"/>
      <c r="T201" s="3"/>
      <c r="U201" s="14" t="str">
        <f t="shared" si="34"/>
        <v/>
      </c>
      <c r="V201" s="14" t="str">
        <f t="shared" si="35"/>
        <v/>
      </c>
      <c r="W201" s="15" t="str">
        <f t="shared" si="36"/>
        <v/>
      </c>
      <c r="X201" s="12" t="str">
        <f t="shared" si="37"/>
        <v/>
      </c>
      <c r="Y201" s="2"/>
      <c r="Z201" s="3"/>
      <c r="AA201" s="3"/>
      <c r="AB201" s="3"/>
      <c r="AC201" s="14" t="str">
        <f t="shared" si="38"/>
        <v/>
      </c>
      <c r="AD201" s="14" t="str">
        <f t="shared" si="39"/>
        <v/>
      </c>
    </row>
    <row r="202" spans="1:30">
      <c r="A202">
        <f t="shared" si="30"/>
        <v>199</v>
      </c>
      <c r="B202" s="2"/>
      <c r="C202" s="18"/>
      <c r="D202" s="2"/>
      <c r="E202" s="2"/>
      <c r="F202" s="3"/>
      <c r="G202" s="16"/>
      <c r="H202" s="16"/>
      <c r="I202" s="17" t="str">
        <f t="shared" ca="1" si="31"/>
        <v/>
      </c>
      <c r="J202" s="13" t="str">
        <f>IF(F202="","",'GİDER AYARLARI'!$B$4)</f>
        <v/>
      </c>
      <c r="K202" s="13" t="str">
        <f>IF(F202="","",'GİDER AYARLARI'!$B$5)</f>
        <v/>
      </c>
      <c r="L202" s="13" t="str">
        <f>IF(F202="","",'GİDER AYARLARI'!$B$6)</f>
        <v/>
      </c>
      <c r="M202" s="13" t="str">
        <f>IF(F202="","",'GİDER AYARLARI'!$B$7)</f>
        <v/>
      </c>
      <c r="N202" s="3"/>
      <c r="O202" s="13" t="str">
        <f ca="1">IF(OR(F202="",I202=""),"",IFERROR(IF(VLOOKUP(E202,'ALIM AYARLARI'!$A$4:$D$20,2,FALSE)="EVET",F202*'GİDER AYARLARI'!$B$8*I202/30,0),0))</f>
        <v/>
      </c>
      <c r="P202" s="14" t="str">
        <f t="shared" si="32"/>
        <v/>
      </c>
      <c r="Q202" s="14" t="str">
        <f t="shared" si="33"/>
        <v/>
      </c>
      <c r="R202" s="2"/>
      <c r="S202" s="2"/>
      <c r="T202" s="3"/>
      <c r="U202" s="14" t="str">
        <f t="shared" si="34"/>
        <v/>
      </c>
      <c r="V202" s="14" t="str">
        <f t="shared" si="35"/>
        <v/>
      </c>
      <c r="W202" s="15" t="str">
        <f t="shared" si="36"/>
        <v/>
      </c>
      <c r="X202" s="12" t="str">
        <f t="shared" si="37"/>
        <v/>
      </c>
      <c r="Y202" s="2"/>
      <c r="Z202" s="3"/>
      <c r="AA202" s="3"/>
      <c r="AB202" s="3"/>
      <c r="AC202" s="14" t="str">
        <f t="shared" si="38"/>
        <v/>
      </c>
      <c r="AD202" s="14" t="str">
        <f t="shared" si="39"/>
        <v/>
      </c>
    </row>
    <row r="203" spans="1:30">
      <c r="A203">
        <f t="shared" si="30"/>
        <v>200</v>
      </c>
      <c r="B203" s="2"/>
      <c r="C203" s="18"/>
      <c r="D203" s="2"/>
      <c r="E203" s="2"/>
      <c r="F203" s="3"/>
      <c r="G203" s="16"/>
      <c r="H203" s="16"/>
      <c r="I203" s="17" t="str">
        <f t="shared" ca="1" si="31"/>
        <v/>
      </c>
      <c r="J203" s="13" t="str">
        <f>IF(F203="","",'GİDER AYARLARI'!$B$4)</f>
        <v/>
      </c>
      <c r="K203" s="13" t="str">
        <f>IF(F203="","",'GİDER AYARLARI'!$B$5)</f>
        <v/>
      </c>
      <c r="L203" s="13" t="str">
        <f>IF(F203="","",'GİDER AYARLARI'!$B$6)</f>
        <v/>
      </c>
      <c r="M203" s="13" t="str">
        <f>IF(F203="","",'GİDER AYARLARI'!$B$7)</f>
        <v/>
      </c>
      <c r="N203" s="3"/>
      <c r="O203" s="13" t="str">
        <f ca="1">IF(OR(F203="",I203=""),"",IFERROR(IF(VLOOKUP(E203,'ALIM AYARLARI'!$A$4:$D$20,2,FALSE)="EVET",F203*'GİDER AYARLARI'!$B$8*I203/30,0),0))</f>
        <v/>
      </c>
      <c r="P203" s="14" t="str">
        <f t="shared" si="32"/>
        <v/>
      </c>
      <c r="Q203" s="14" t="str">
        <f t="shared" si="33"/>
        <v/>
      </c>
      <c r="R203" s="2"/>
      <c r="S203" s="2"/>
      <c r="T203" s="3"/>
      <c r="U203" s="14" t="str">
        <f t="shared" si="34"/>
        <v/>
      </c>
      <c r="V203" s="14" t="str">
        <f t="shared" si="35"/>
        <v/>
      </c>
      <c r="W203" s="15" t="str">
        <f t="shared" si="36"/>
        <v/>
      </c>
      <c r="X203" s="12" t="str">
        <f t="shared" si="37"/>
        <v/>
      </c>
      <c r="Y203" s="2"/>
      <c r="Z203" s="3"/>
      <c r="AA203" s="3"/>
      <c r="AB203" s="3"/>
      <c r="AC203" s="14" t="str">
        <f t="shared" si="38"/>
        <v/>
      </c>
      <c r="AD203" s="14" t="str">
        <f t="shared" si="39"/>
        <v/>
      </c>
    </row>
    <row r="204" spans="1:30">
      <c r="A204">
        <f t="shared" si="30"/>
        <v>201</v>
      </c>
      <c r="B204" s="2"/>
      <c r="C204" s="18"/>
      <c r="D204" s="2"/>
      <c r="E204" s="2"/>
      <c r="F204" s="3"/>
      <c r="G204" s="16"/>
      <c r="H204" s="16"/>
      <c r="I204" s="17" t="str">
        <f t="shared" ca="1" si="31"/>
        <v/>
      </c>
      <c r="J204" s="13" t="str">
        <f>IF(F204="","",'GİDER AYARLARI'!$B$4)</f>
        <v/>
      </c>
      <c r="K204" s="13" t="str">
        <f>IF(F204="","",'GİDER AYARLARI'!$B$5)</f>
        <v/>
      </c>
      <c r="L204" s="13" t="str">
        <f>IF(F204="","",'GİDER AYARLARI'!$B$6)</f>
        <v/>
      </c>
      <c r="M204" s="13" t="str">
        <f>IF(F204="","",'GİDER AYARLARI'!$B$7)</f>
        <v/>
      </c>
      <c r="N204" s="3"/>
      <c r="O204" s="13" t="str">
        <f ca="1">IF(OR(F204="",I204=""),"",IFERROR(IF(VLOOKUP(E204,'ALIM AYARLARI'!$A$4:$D$20,2,FALSE)="EVET",F204*'GİDER AYARLARI'!$B$8*I204/30,0),0))</f>
        <v/>
      </c>
      <c r="P204" s="14" t="str">
        <f t="shared" si="32"/>
        <v/>
      </c>
      <c r="Q204" s="14" t="str">
        <f t="shared" si="33"/>
        <v/>
      </c>
      <c r="R204" s="2"/>
      <c r="S204" s="2"/>
      <c r="T204" s="3"/>
      <c r="U204" s="14" t="str">
        <f t="shared" si="34"/>
        <v/>
      </c>
      <c r="V204" s="14" t="str">
        <f t="shared" si="35"/>
        <v/>
      </c>
      <c r="W204" s="15" t="str">
        <f t="shared" si="36"/>
        <v/>
      </c>
      <c r="X204" s="12" t="str">
        <f t="shared" si="37"/>
        <v/>
      </c>
      <c r="Y204" s="2"/>
      <c r="Z204" s="3"/>
      <c r="AA204" s="3"/>
      <c r="AB204" s="3"/>
      <c r="AC204" s="14" t="str">
        <f t="shared" si="38"/>
        <v/>
      </c>
      <c r="AD204" s="14" t="str">
        <f t="shared" si="39"/>
        <v/>
      </c>
    </row>
    <row r="205" spans="1:30">
      <c r="A205">
        <f t="shared" si="30"/>
        <v>202</v>
      </c>
      <c r="B205" s="2"/>
      <c r="C205" s="18"/>
      <c r="D205" s="2"/>
      <c r="E205" s="2"/>
      <c r="F205" s="3"/>
      <c r="G205" s="16"/>
      <c r="H205" s="16"/>
      <c r="I205" s="17" t="str">
        <f t="shared" ca="1" si="31"/>
        <v/>
      </c>
      <c r="J205" s="13" t="str">
        <f>IF(F205="","",'GİDER AYARLARI'!$B$4)</f>
        <v/>
      </c>
      <c r="K205" s="13" t="str">
        <f>IF(F205="","",'GİDER AYARLARI'!$B$5)</f>
        <v/>
      </c>
      <c r="L205" s="13" t="str">
        <f>IF(F205="","",'GİDER AYARLARI'!$B$6)</f>
        <v/>
      </c>
      <c r="M205" s="13" t="str">
        <f>IF(F205="","",'GİDER AYARLARI'!$B$7)</f>
        <v/>
      </c>
      <c r="N205" s="3"/>
      <c r="O205" s="13" t="str">
        <f ca="1">IF(OR(F205="",I205=""),"",IFERROR(IF(VLOOKUP(E205,'ALIM AYARLARI'!$A$4:$D$20,2,FALSE)="EVET",F205*'GİDER AYARLARI'!$B$8*I205/30,0),0))</f>
        <v/>
      </c>
      <c r="P205" s="14" t="str">
        <f t="shared" si="32"/>
        <v/>
      </c>
      <c r="Q205" s="14" t="str">
        <f t="shared" si="33"/>
        <v/>
      </c>
      <c r="R205" s="2"/>
      <c r="S205" s="2"/>
      <c r="T205" s="3"/>
      <c r="U205" s="14" t="str">
        <f t="shared" si="34"/>
        <v/>
      </c>
      <c r="V205" s="14" t="str">
        <f t="shared" si="35"/>
        <v/>
      </c>
      <c r="W205" s="15" t="str">
        <f t="shared" si="36"/>
        <v/>
      </c>
      <c r="X205" s="12" t="str">
        <f t="shared" si="37"/>
        <v/>
      </c>
      <c r="Y205" s="2"/>
      <c r="Z205" s="3"/>
      <c r="AA205" s="3"/>
      <c r="AB205" s="3"/>
      <c r="AC205" s="14" t="str">
        <f t="shared" si="38"/>
        <v/>
      </c>
      <c r="AD205" s="14" t="str">
        <f t="shared" si="39"/>
        <v/>
      </c>
    </row>
    <row r="206" spans="1:30">
      <c r="A206">
        <f t="shared" si="30"/>
        <v>203</v>
      </c>
      <c r="B206" s="2"/>
      <c r="C206" s="18"/>
      <c r="D206" s="2"/>
      <c r="E206" s="2"/>
      <c r="F206" s="3"/>
      <c r="G206" s="16"/>
      <c r="H206" s="16"/>
      <c r="I206" s="17" t="str">
        <f t="shared" ca="1" si="31"/>
        <v/>
      </c>
      <c r="J206" s="13" t="str">
        <f>IF(F206="","",'GİDER AYARLARI'!$B$4)</f>
        <v/>
      </c>
      <c r="K206" s="13" t="str">
        <f>IF(F206="","",'GİDER AYARLARI'!$B$5)</f>
        <v/>
      </c>
      <c r="L206" s="13" t="str">
        <f>IF(F206="","",'GİDER AYARLARI'!$B$6)</f>
        <v/>
      </c>
      <c r="M206" s="13" t="str">
        <f>IF(F206="","",'GİDER AYARLARI'!$B$7)</f>
        <v/>
      </c>
      <c r="N206" s="3"/>
      <c r="O206" s="13" t="str">
        <f ca="1">IF(OR(F206="",I206=""),"",IFERROR(IF(VLOOKUP(E206,'ALIM AYARLARI'!$A$4:$D$20,2,FALSE)="EVET",F206*'GİDER AYARLARI'!$B$8*I206/30,0),0))</f>
        <v/>
      </c>
      <c r="P206" s="14" t="str">
        <f t="shared" si="32"/>
        <v/>
      </c>
      <c r="Q206" s="14" t="str">
        <f t="shared" si="33"/>
        <v/>
      </c>
      <c r="R206" s="2"/>
      <c r="S206" s="2"/>
      <c r="T206" s="3"/>
      <c r="U206" s="14" t="str">
        <f t="shared" si="34"/>
        <v/>
      </c>
      <c r="V206" s="14" t="str">
        <f t="shared" si="35"/>
        <v/>
      </c>
      <c r="W206" s="15" t="str">
        <f t="shared" si="36"/>
        <v/>
      </c>
      <c r="X206" s="12" t="str">
        <f t="shared" si="37"/>
        <v/>
      </c>
      <c r="Y206" s="2"/>
      <c r="Z206" s="3"/>
      <c r="AA206" s="3"/>
      <c r="AB206" s="3"/>
      <c r="AC206" s="14" t="str">
        <f t="shared" si="38"/>
        <v/>
      </c>
      <c r="AD206" s="14" t="str">
        <f t="shared" si="39"/>
        <v/>
      </c>
    </row>
    <row r="207" spans="1:30">
      <c r="A207">
        <f t="shared" si="30"/>
        <v>204</v>
      </c>
      <c r="B207" s="2"/>
      <c r="C207" s="18"/>
      <c r="D207" s="2"/>
      <c r="E207" s="2"/>
      <c r="F207" s="3"/>
      <c r="G207" s="16"/>
      <c r="H207" s="16"/>
      <c r="I207" s="17" t="str">
        <f t="shared" ca="1" si="31"/>
        <v/>
      </c>
      <c r="J207" s="13" t="str">
        <f>IF(F207="","",'GİDER AYARLARI'!$B$4)</f>
        <v/>
      </c>
      <c r="K207" s="13" t="str">
        <f>IF(F207="","",'GİDER AYARLARI'!$B$5)</f>
        <v/>
      </c>
      <c r="L207" s="13" t="str">
        <f>IF(F207="","",'GİDER AYARLARI'!$B$6)</f>
        <v/>
      </c>
      <c r="M207" s="13" t="str">
        <f>IF(F207="","",'GİDER AYARLARI'!$B$7)</f>
        <v/>
      </c>
      <c r="N207" s="3"/>
      <c r="O207" s="13" t="str">
        <f ca="1">IF(OR(F207="",I207=""),"",IFERROR(IF(VLOOKUP(E207,'ALIM AYARLARI'!$A$4:$D$20,2,FALSE)="EVET",F207*'GİDER AYARLARI'!$B$8*I207/30,0),0))</f>
        <v/>
      </c>
      <c r="P207" s="14" t="str">
        <f t="shared" si="32"/>
        <v/>
      </c>
      <c r="Q207" s="14" t="str">
        <f t="shared" si="33"/>
        <v/>
      </c>
      <c r="R207" s="2"/>
      <c r="S207" s="2"/>
      <c r="T207" s="3"/>
      <c r="U207" s="14" t="str">
        <f t="shared" si="34"/>
        <v/>
      </c>
      <c r="V207" s="14" t="str">
        <f t="shared" si="35"/>
        <v/>
      </c>
      <c r="W207" s="15" t="str">
        <f t="shared" si="36"/>
        <v/>
      </c>
      <c r="X207" s="12" t="str">
        <f t="shared" si="37"/>
        <v/>
      </c>
      <c r="Y207" s="2"/>
      <c r="Z207" s="3"/>
      <c r="AA207" s="3"/>
      <c r="AB207" s="3"/>
      <c r="AC207" s="14" t="str">
        <f t="shared" si="38"/>
        <v/>
      </c>
      <c r="AD207" s="14" t="str">
        <f t="shared" si="39"/>
        <v/>
      </c>
    </row>
    <row r="208" spans="1:30">
      <c r="A208">
        <f t="shared" si="30"/>
        <v>205</v>
      </c>
      <c r="B208" s="2"/>
      <c r="C208" s="18"/>
      <c r="D208" s="2"/>
      <c r="E208" s="2"/>
      <c r="F208" s="3"/>
      <c r="G208" s="16"/>
      <c r="H208" s="16"/>
      <c r="I208" s="17" t="str">
        <f t="shared" ca="1" si="31"/>
        <v/>
      </c>
      <c r="J208" s="13" t="str">
        <f>IF(F208="","",'GİDER AYARLARI'!$B$4)</f>
        <v/>
      </c>
      <c r="K208" s="13" t="str">
        <f>IF(F208="","",'GİDER AYARLARI'!$B$5)</f>
        <v/>
      </c>
      <c r="L208" s="13" t="str">
        <f>IF(F208="","",'GİDER AYARLARI'!$B$6)</f>
        <v/>
      </c>
      <c r="M208" s="13" t="str">
        <f>IF(F208="","",'GİDER AYARLARI'!$B$7)</f>
        <v/>
      </c>
      <c r="N208" s="3"/>
      <c r="O208" s="13" t="str">
        <f ca="1">IF(OR(F208="",I208=""),"",IFERROR(IF(VLOOKUP(E208,'ALIM AYARLARI'!$A$4:$D$20,2,FALSE)="EVET",F208*'GİDER AYARLARI'!$B$8*I208/30,0),0))</f>
        <v/>
      </c>
      <c r="P208" s="14" t="str">
        <f t="shared" si="32"/>
        <v/>
      </c>
      <c r="Q208" s="14" t="str">
        <f t="shared" si="33"/>
        <v/>
      </c>
      <c r="R208" s="2"/>
      <c r="S208" s="2"/>
      <c r="T208" s="3"/>
      <c r="U208" s="14" t="str">
        <f t="shared" si="34"/>
        <v/>
      </c>
      <c r="V208" s="14" t="str">
        <f t="shared" si="35"/>
        <v/>
      </c>
      <c r="W208" s="15" t="str">
        <f t="shared" si="36"/>
        <v/>
      </c>
      <c r="X208" s="12" t="str">
        <f t="shared" si="37"/>
        <v/>
      </c>
      <c r="Y208" s="2"/>
      <c r="Z208" s="3"/>
      <c r="AA208" s="3"/>
      <c r="AB208" s="3"/>
      <c r="AC208" s="14" t="str">
        <f t="shared" si="38"/>
        <v/>
      </c>
      <c r="AD208" s="14" t="str">
        <f t="shared" si="39"/>
        <v/>
      </c>
    </row>
    <row r="209" spans="1:30">
      <c r="A209">
        <f t="shared" si="30"/>
        <v>206</v>
      </c>
      <c r="B209" s="2"/>
      <c r="C209" s="18"/>
      <c r="D209" s="2"/>
      <c r="E209" s="2"/>
      <c r="F209" s="3"/>
      <c r="G209" s="16"/>
      <c r="H209" s="16"/>
      <c r="I209" s="17" t="str">
        <f t="shared" ca="1" si="31"/>
        <v/>
      </c>
      <c r="J209" s="13" t="str">
        <f>IF(F209="","",'GİDER AYARLARI'!$B$4)</f>
        <v/>
      </c>
      <c r="K209" s="13" t="str">
        <f>IF(F209="","",'GİDER AYARLARI'!$B$5)</f>
        <v/>
      </c>
      <c r="L209" s="13" t="str">
        <f>IF(F209="","",'GİDER AYARLARI'!$B$6)</f>
        <v/>
      </c>
      <c r="M209" s="13" t="str">
        <f>IF(F209="","",'GİDER AYARLARI'!$B$7)</f>
        <v/>
      </c>
      <c r="N209" s="3"/>
      <c r="O209" s="13" t="str">
        <f ca="1">IF(OR(F209="",I209=""),"",IFERROR(IF(VLOOKUP(E209,'ALIM AYARLARI'!$A$4:$D$20,2,FALSE)="EVET",F209*'GİDER AYARLARI'!$B$8*I209/30,0),0))</f>
        <v/>
      </c>
      <c r="P209" s="14" t="str">
        <f t="shared" si="32"/>
        <v/>
      </c>
      <c r="Q209" s="14" t="str">
        <f t="shared" si="33"/>
        <v/>
      </c>
      <c r="R209" s="2"/>
      <c r="S209" s="2"/>
      <c r="T209" s="3"/>
      <c r="U209" s="14" t="str">
        <f t="shared" si="34"/>
        <v/>
      </c>
      <c r="V209" s="14" t="str">
        <f t="shared" si="35"/>
        <v/>
      </c>
      <c r="W209" s="15" t="str">
        <f t="shared" si="36"/>
        <v/>
      </c>
      <c r="X209" s="12" t="str">
        <f t="shared" si="37"/>
        <v/>
      </c>
      <c r="Y209" s="2"/>
      <c r="Z209" s="3"/>
      <c r="AA209" s="3"/>
      <c r="AB209" s="3"/>
      <c r="AC209" s="14" t="str">
        <f t="shared" si="38"/>
        <v/>
      </c>
      <c r="AD209" s="14" t="str">
        <f t="shared" si="39"/>
        <v/>
      </c>
    </row>
    <row r="210" spans="1:30">
      <c r="A210">
        <f t="shared" si="30"/>
        <v>207</v>
      </c>
      <c r="B210" s="2"/>
      <c r="C210" s="18"/>
      <c r="D210" s="2"/>
      <c r="E210" s="2"/>
      <c r="F210" s="3"/>
      <c r="G210" s="16"/>
      <c r="H210" s="16"/>
      <c r="I210" s="17" t="str">
        <f t="shared" ca="1" si="31"/>
        <v/>
      </c>
      <c r="J210" s="13" t="str">
        <f>IF(F210="","",'GİDER AYARLARI'!$B$4)</f>
        <v/>
      </c>
      <c r="K210" s="13" t="str">
        <f>IF(F210="","",'GİDER AYARLARI'!$B$5)</f>
        <v/>
      </c>
      <c r="L210" s="13" t="str">
        <f>IF(F210="","",'GİDER AYARLARI'!$B$6)</f>
        <v/>
      </c>
      <c r="M210" s="13" t="str">
        <f>IF(F210="","",'GİDER AYARLARI'!$B$7)</f>
        <v/>
      </c>
      <c r="N210" s="3"/>
      <c r="O210" s="13" t="str">
        <f ca="1">IF(OR(F210="",I210=""),"",IFERROR(IF(VLOOKUP(E210,'ALIM AYARLARI'!$A$4:$D$20,2,FALSE)="EVET",F210*'GİDER AYARLARI'!$B$8*I210/30,0),0))</f>
        <v/>
      </c>
      <c r="P210" s="14" t="str">
        <f t="shared" si="32"/>
        <v/>
      </c>
      <c r="Q210" s="14" t="str">
        <f t="shared" si="33"/>
        <v/>
      </c>
      <c r="R210" s="2"/>
      <c r="S210" s="2"/>
      <c r="T210" s="3"/>
      <c r="U210" s="14" t="str">
        <f t="shared" si="34"/>
        <v/>
      </c>
      <c r="V210" s="14" t="str">
        <f t="shared" si="35"/>
        <v/>
      </c>
      <c r="W210" s="15" t="str">
        <f t="shared" si="36"/>
        <v/>
      </c>
      <c r="X210" s="12" t="str">
        <f t="shared" si="37"/>
        <v/>
      </c>
      <c r="Y210" s="2"/>
      <c r="Z210" s="3"/>
      <c r="AA210" s="3"/>
      <c r="AB210" s="3"/>
      <c r="AC210" s="14" t="str">
        <f t="shared" si="38"/>
        <v/>
      </c>
      <c r="AD210" s="14" t="str">
        <f t="shared" si="39"/>
        <v/>
      </c>
    </row>
    <row r="211" spans="1:30">
      <c r="A211">
        <f t="shared" si="30"/>
        <v>208</v>
      </c>
      <c r="B211" s="2"/>
      <c r="C211" s="18"/>
      <c r="D211" s="2"/>
      <c r="E211" s="2"/>
      <c r="F211" s="3"/>
      <c r="G211" s="16"/>
      <c r="H211" s="16"/>
      <c r="I211" s="17" t="str">
        <f t="shared" ca="1" si="31"/>
        <v/>
      </c>
      <c r="J211" s="13" t="str">
        <f>IF(F211="","",'GİDER AYARLARI'!$B$4)</f>
        <v/>
      </c>
      <c r="K211" s="13" t="str">
        <f>IF(F211="","",'GİDER AYARLARI'!$B$5)</f>
        <v/>
      </c>
      <c r="L211" s="13" t="str">
        <f>IF(F211="","",'GİDER AYARLARI'!$B$6)</f>
        <v/>
      </c>
      <c r="M211" s="13" t="str">
        <f>IF(F211="","",'GİDER AYARLARI'!$B$7)</f>
        <v/>
      </c>
      <c r="N211" s="3"/>
      <c r="O211" s="13" t="str">
        <f ca="1">IF(OR(F211="",I211=""),"",IFERROR(IF(VLOOKUP(E211,'ALIM AYARLARI'!$A$4:$D$20,2,FALSE)="EVET",F211*'GİDER AYARLARI'!$B$8*I211/30,0),0))</f>
        <v/>
      </c>
      <c r="P211" s="14" t="str">
        <f t="shared" si="32"/>
        <v/>
      </c>
      <c r="Q211" s="14" t="str">
        <f t="shared" si="33"/>
        <v/>
      </c>
      <c r="R211" s="2"/>
      <c r="S211" s="2"/>
      <c r="T211" s="3"/>
      <c r="U211" s="14" t="str">
        <f t="shared" si="34"/>
        <v/>
      </c>
      <c r="V211" s="14" t="str">
        <f t="shared" si="35"/>
        <v/>
      </c>
      <c r="W211" s="15" t="str">
        <f t="shared" si="36"/>
        <v/>
      </c>
      <c r="X211" s="12" t="str">
        <f t="shared" si="37"/>
        <v/>
      </c>
      <c r="Y211" s="2"/>
      <c r="Z211" s="3"/>
      <c r="AA211" s="3"/>
      <c r="AB211" s="3"/>
      <c r="AC211" s="14" t="str">
        <f t="shared" si="38"/>
        <v/>
      </c>
      <c r="AD211" s="14" t="str">
        <f t="shared" si="39"/>
        <v/>
      </c>
    </row>
    <row r="212" spans="1:30">
      <c r="A212">
        <f t="shared" si="30"/>
        <v>209</v>
      </c>
      <c r="B212" s="2"/>
      <c r="C212" s="18"/>
      <c r="D212" s="2"/>
      <c r="E212" s="2"/>
      <c r="F212" s="3"/>
      <c r="G212" s="16"/>
      <c r="H212" s="16"/>
      <c r="I212" s="17" t="str">
        <f t="shared" ca="1" si="31"/>
        <v/>
      </c>
      <c r="J212" s="13" t="str">
        <f>IF(F212="","",'GİDER AYARLARI'!$B$4)</f>
        <v/>
      </c>
      <c r="K212" s="13" t="str">
        <f>IF(F212="","",'GİDER AYARLARI'!$B$5)</f>
        <v/>
      </c>
      <c r="L212" s="13" t="str">
        <f>IF(F212="","",'GİDER AYARLARI'!$B$6)</f>
        <v/>
      </c>
      <c r="M212" s="13" t="str">
        <f>IF(F212="","",'GİDER AYARLARI'!$B$7)</f>
        <v/>
      </c>
      <c r="N212" s="3"/>
      <c r="O212" s="13" t="str">
        <f ca="1">IF(OR(F212="",I212=""),"",IFERROR(IF(VLOOKUP(E212,'ALIM AYARLARI'!$A$4:$D$20,2,FALSE)="EVET",F212*'GİDER AYARLARI'!$B$8*I212/30,0),0))</f>
        <v/>
      </c>
      <c r="P212" s="14" t="str">
        <f t="shared" si="32"/>
        <v/>
      </c>
      <c r="Q212" s="14" t="str">
        <f t="shared" si="33"/>
        <v/>
      </c>
      <c r="R212" s="2"/>
      <c r="S212" s="2"/>
      <c r="T212" s="3"/>
      <c r="U212" s="14" t="str">
        <f t="shared" si="34"/>
        <v/>
      </c>
      <c r="V212" s="14" t="str">
        <f t="shared" si="35"/>
        <v/>
      </c>
      <c r="W212" s="15" t="str">
        <f t="shared" si="36"/>
        <v/>
      </c>
      <c r="X212" s="12" t="str">
        <f t="shared" si="37"/>
        <v/>
      </c>
      <c r="Y212" s="2"/>
      <c r="Z212" s="3"/>
      <c r="AA212" s="3"/>
      <c r="AB212" s="3"/>
      <c r="AC212" s="14" t="str">
        <f t="shared" si="38"/>
        <v/>
      </c>
      <c r="AD212" s="14" t="str">
        <f t="shared" si="39"/>
        <v/>
      </c>
    </row>
    <row r="213" spans="1:30">
      <c r="A213">
        <f t="shared" si="30"/>
        <v>210</v>
      </c>
      <c r="B213" s="2"/>
      <c r="C213" s="18"/>
      <c r="D213" s="2"/>
      <c r="E213" s="2"/>
      <c r="F213" s="3"/>
      <c r="G213" s="16"/>
      <c r="H213" s="16"/>
      <c r="I213" s="17" t="str">
        <f t="shared" ca="1" si="31"/>
        <v/>
      </c>
      <c r="J213" s="13" t="str">
        <f>IF(F213="","",'GİDER AYARLARI'!$B$4)</f>
        <v/>
      </c>
      <c r="K213" s="13" t="str">
        <f>IF(F213="","",'GİDER AYARLARI'!$B$5)</f>
        <v/>
      </c>
      <c r="L213" s="13" t="str">
        <f>IF(F213="","",'GİDER AYARLARI'!$B$6)</f>
        <v/>
      </c>
      <c r="M213" s="13" t="str">
        <f>IF(F213="","",'GİDER AYARLARI'!$B$7)</f>
        <v/>
      </c>
      <c r="N213" s="3"/>
      <c r="O213" s="13" t="str">
        <f ca="1">IF(OR(F213="",I213=""),"",IFERROR(IF(VLOOKUP(E213,'ALIM AYARLARI'!$A$4:$D$20,2,FALSE)="EVET",F213*'GİDER AYARLARI'!$B$8*I213/30,0),0))</f>
        <v/>
      </c>
      <c r="P213" s="14" t="str">
        <f t="shared" si="32"/>
        <v/>
      </c>
      <c r="Q213" s="14" t="str">
        <f t="shared" si="33"/>
        <v/>
      </c>
      <c r="R213" s="2"/>
      <c r="S213" s="2"/>
      <c r="T213" s="3"/>
      <c r="U213" s="14" t="str">
        <f t="shared" si="34"/>
        <v/>
      </c>
      <c r="V213" s="14" t="str">
        <f t="shared" si="35"/>
        <v/>
      </c>
      <c r="W213" s="15" t="str">
        <f t="shared" si="36"/>
        <v/>
      </c>
      <c r="X213" s="12" t="str">
        <f t="shared" si="37"/>
        <v/>
      </c>
      <c r="Y213" s="2"/>
      <c r="Z213" s="3"/>
      <c r="AA213" s="3"/>
      <c r="AB213" s="3"/>
      <c r="AC213" s="14" t="str">
        <f t="shared" si="38"/>
        <v/>
      </c>
      <c r="AD213" s="14" t="str">
        <f t="shared" si="39"/>
        <v/>
      </c>
    </row>
    <row r="214" spans="1:30">
      <c r="A214">
        <f t="shared" si="30"/>
        <v>211</v>
      </c>
      <c r="B214" s="2"/>
      <c r="C214" s="18"/>
      <c r="D214" s="2"/>
      <c r="E214" s="2"/>
      <c r="F214" s="3"/>
      <c r="G214" s="16"/>
      <c r="H214" s="16"/>
      <c r="I214" s="17" t="str">
        <f t="shared" ca="1" si="31"/>
        <v/>
      </c>
      <c r="J214" s="13" t="str">
        <f>IF(F214="","",'GİDER AYARLARI'!$B$4)</f>
        <v/>
      </c>
      <c r="K214" s="13" t="str">
        <f>IF(F214="","",'GİDER AYARLARI'!$B$5)</f>
        <v/>
      </c>
      <c r="L214" s="13" t="str">
        <f>IF(F214="","",'GİDER AYARLARI'!$B$6)</f>
        <v/>
      </c>
      <c r="M214" s="13" t="str">
        <f>IF(F214="","",'GİDER AYARLARI'!$B$7)</f>
        <v/>
      </c>
      <c r="N214" s="3"/>
      <c r="O214" s="13" t="str">
        <f ca="1">IF(OR(F214="",I214=""),"",IFERROR(IF(VLOOKUP(E214,'ALIM AYARLARI'!$A$4:$D$20,2,FALSE)="EVET",F214*'GİDER AYARLARI'!$B$8*I214/30,0),0))</f>
        <v/>
      </c>
      <c r="P214" s="14" t="str">
        <f t="shared" si="32"/>
        <v/>
      </c>
      <c r="Q214" s="14" t="str">
        <f t="shared" si="33"/>
        <v/>
      </c>
      <c r="R214" s="2"/>
      <c r="S214" s="2"/>
      <c r="T214" s="3"/>
      <c r="U214" s="14" t="str">
        <f t="shared" si="34"/>
        <v/>
      </c>
      <c r="V214" s="14" t="str">
        <f t="shared" si="35"/>
        <v/>
      </c>
      <c r="W214" s="15" t="str">
        <f t="shared" si="36"/>
        <v/>
      </c>
      <c r="X214" s="12" t="str">
        <f t="shared" si="37"/>
        <v/>
      </c>
      <c r="Y214" s="2"/>
      <c r="Z214" s="3"/>
      <c r="AA214" s="3"/>
      <c r="AB214" s="3"/>
      <c r="AC214" s="14" t="str">
        <f t="shared" si="38"/>
        <v/>
      </c>
      <c r="AD214" s="14" t="str">
        <f t="shared" si="39"/>
        <v/>
      </c>
    </row>
    <row r="215" spans="1:30">
      <c r="A215">
        <f t="shared" si="30"/>
        <v>212</v>
      </c>
      <c r="B215" s="2"/>
      <c r="C215" s="18"/>
      <c r="D215" s="2"/>
      <c r="E215" s="2"/>
      <c r="F215" s="3"/>
      <c r="G215" s="16"/>
      <c r="H215" s="16"/>
      <c r="I215" s="17" t="str">
        <f t="shared" ca="1" si="31"/>
        <v/>
      </c>
      <c r="J215" s="13" t="str">
        <f>IF(F215="","",'GİDER AYARLARI'!$B$4)</f>
        <v/>
      </c>
      <c r="K215" s="13" t="str">
        <f>IF(F215="","",'GİDER AYARLARI'!$B$5)</f>
        <v/>
      </c>
      <c r="L215" s="13" t="str">
        <f>IF(F215="","",'GİDER AYARLARI'!$B$6)</f>
        <v/>
      </c>
      <c r="M215" s="13" t="str">
        <f>IF(F215="","",'GİDER AYARLARI'!$B$7)</f>
        <v/>
      </c>
      <c r="N215" s="3"/>
      <c r="O215" s="13" t="str">
        <f ca="1">IF(OR(F215="",I215=""),"",IFERROR(IF(VLOOKUP(E215,'ALIM AYARLARI'!$A$4:$D$20,2,FALSE)="EVET",F215*'GİDER AYARLARI'!$B$8*I215/30,0),0))</f>
        <v/>
      </c>
      <c r="P215" s="14" t="str">
        <f t="shared" si="32"/>
        <v/>
      </c>
      <c r="Q215" s="14" t="str">
        <f t="shared" si="33"/>
        <v/>
      </c>
      <c r="R215" s="2"/>
      <c r="S215" s="2"/>
      <c r="T215" s="3"/>
      <c r="U215" s="14" t="str">
        <f t="shared" si="34"/>
        <v/>
      </c>
      <c r="V215" s="14" t="str">
        <f t="shared" si="35"/>
        <v/>
      </c>
      <c r="W215" s="15" t="str">
        <f t="shared" si="36"/>
        <v/>
      </c>
      <c r="X215" s="12" t="str">
        <f t="shared" si="37"/>
        <v/>
      </c>
      <c r="Y215" s="2"/>
      <c r="Z215" s="3"/>
      <c r="AA215" s="3"/>
      <c r="AB215" s="3"/>
      <c r="AC215" s="14" t="str">
        <f t="shared" si="38"/>
        <v/>
      </c>
      <c r="AD215" s="14" t="str">
        <f t="shared" si="39"/>
        <v/>
      </c>
    </row>
    <row r="216" spans="1:30">
      <c r="A216">
        <f t="shared" si="30"/>
        <v>213</v>
      </c>
      <c r="B216" s="2"/>
      <c r="C216" s="18"/>
      <c r="D216" s="2"/>
      <c r="E216" s="2"/>
      <c r="F216" s="3"/>
      <c r="G216" s="16"/>
      <c r="H216" s="16"/>
      <c r="I216" s="17" t="str">
        <f t="shared" ca="1" si="31"/>
        <v/>
      </c>
      <c r="J216" s="13" t="str">
        <f>IF(F216="","",'GİDER AYARLARI'!$B$4)</f>
        <v/>
      </c>
      <c r="K216" s="13" t="str">
        <f>IF(F216="","",'GİDER AYARLARI'!$B$5)</f>
        <v/>
      </c>
      <c r="L216" s="13" t="str">
        <f>IF(F216="","",'GİDER AYARLARI'!$B$6)</f>
        <v/>
      </c>
      <c r="M216" s="13" t="str">
        <f>IF(F216="","",'GİDER AYARLARI'!$B$7)</f>
        <v/>
      </c>
      <c r="N216" s="3"/>
      <c r="O216" s="13" t="str">
        <f ca="1">IF(OR(F216="",I216=""),"",IFERROR(IF(VLOOKUP(E216,'ALIM AYARLARI'!$A$4:$D$20,2,FALSE)="EVET",F216*'GİDER AYARLARI'!$B$8*I216/30,0),0))</f>
        <v/>
      </c>
      <c r="P216" s="14" t="str">
        <f t="shared" si="32"/>
        <v/>
      </c>
      <c r="Q216" s="14" t="str">
        <f t="shared" si="33"/>
        <v/>
      </c>
      <c r="R216" s="2"/>
      <c r="S216" s="2"/>
      <c r="T216" s="3"/>
      <c r="U216" s="14" t="str">
        <f t="shared" si="34"/>
        <v/>
      </c>
      <c r="V216" s="14" t="str">
        <f t="shared" si="35"/>
        <v/>
      </c>
      <c r="W216" s="15" t="str">
        <f t="shared" si="36"/>
        <v/>
      </c>
      <c r="X216" s="12" t="str">
        <f t="shared" si="37"/>
        <v/>
      </c>
      <c r="Y216" s="2"/>
      <c r="Z216" s="3"/>
      <c r="AA216" s="3"/>
      <c r="AB216" s="3"/>
      <c r="AC216" s="14" t="str">
        <f t="shared" si="38"/>
        <v/>
      </c>
      <c r="AD216" s="14" t="str">
        <f t="shared" si="39"/>
        <v/>
      </c>
    </row>
    <row r="217" spans="1:30">
      <c r="A217">
        <f t="shared" si="30"/>
        <v>214</v>
      </c>
      <c r="B217" s="2"/>
      <c r="C217" s="18"/>
      <c r="D217" s="2"/>
      <c r="E217" s="2"/>
      <c r="F217" s="3"/>
      <c r="G217" s="16"/>
      <c r="H217" s="16"/>
      <c r="I217" s="17" t="str">
        <f t="shared" ca="1" si="31"/>
        <v/>
      </c>
      <c r="J217" s="13" t="str">
        <f>IF(F217="","",'GİDER AYARLARI'!$B$4)</f>
        <v/>
      </c>
      <c r="K217" s="13" t="str">
        <f>IF(F217="","",'GİDER AYARLARI'!$B$5)</f>
        <v/>
      </c>
      <c r="L217" s="13" t="str">
        <f>IF(F217="","",'GİDER AYARLARI'!$B$6)</f>
        <v/>
      </c>
      <c r="M217" s="13" t="str">
        <f>IF(F217="","",'GİDER AYARLARI'!$B$7)</f>
        <v/>
      </c>
      <c r="N217" s="3"/>
      <c r="O217" s="13" t="str">
        <f ca="1">IF(OR(F217="",I217=""),"",IFERROR(IF(VLOOKUP(E217,'ALIM AYARLARI'!$A$4:$D$20,2,FALSE)="EVET",F217*'GİDER AYARLARI'!$B$8*I217/30,0),0))</f>
        <v/>
      </c>
      <c r="P217" s="14" t="str">
        <f t="shared" si="32"/>
        <v/>
      </c>
      <c r="Q217" s="14" t="str">
        <f t="shared" si="33"/>
        <v/>
      </c>
      <c r="R217" s="2"/>
      <c r="S217" s="2"/>
      <c r="T217" s="3"/>
      <c r="U217" s="14" t="str">
        <f t="shared" si="34"/>
        <v/>
      </c>
      <c r="V217" s="14" t="str">
        <f t="shared" si="35"/>
        <v/>
      </c>
      <c r="W217" s="15" t="str">
        <f t="shared" si="36"/>
        <v/>
      </c>
      <c r="X217" s="12" t="str">
        <f t="shared" si="37"/>
        <v/>
      </c>
      <c r="Y217" s="2"/>
      <c r="Z217" s="3"/>
      <c r="AA217" s="3"/>
      <c r="AB217" s="3"/>
      <c r="AC217" s="14" t="str">
        <f t="shared" si="38"/>
        <v/>
      </c>
      <c r="AD217" s="14" t="str">
        <f t="shared" si="39"/>
        <v/>
      </c>
    </row>
    <row r="218" spans="1:30">
      <c r="A218">
        <f t="shared" si="30"/>
        <v>215</v>
      </c>
      <c r="B218" s="2"/>
      <c r="C218" s="18"/>
      <c r="D218" s="2"/>
      <c r="E218" s="2"/>
      <c r="F218" s="3"/>
      <c r="G218" s="16"/>
      <c r="H218" s="16"/>
      <c r="I218" s="17" t="str">
        <f t="shared" ca="1" si="31"/>
        <v/>
      </c>
      <c r="J218" s="13" t="str">
        <f>IF(F218="","",'GİDER AYARLARI'!$B$4)</f>
        <v/>
      </c>
      <c r="K218" s="13" t="str">
        <f>IF(F218="","",'GİDER AYARLARI'!$B$5)</f>
        <v/>
      </c>
      <c r="L218" s="13" t="str">
        <f>IF(F218="","",'GİDER AYARLARI'!$B$6)</f>
        <v/>
      </c>
      <c r="M218" s="13" t="str">
        <f>IF(F218="","",'GİDER AYARLARI'!$B$7)</f>
        <v/>
      </c>
      <c r="N218" s="3"/>
      <c r="O218" s="13" t="str">
        <f ca="1">IF(OR(F218="",I218=""),"",IFERROR(IF(VLOOKUP(E218,'ALIM AYARLARI'!$A$4:$D$20,2,FALSE)="EVET",F218*'GİDER AYARLARI'!$B$8*I218/30,0),0))</f>
        <v/>
      </c>
      <c r="P218" s="14" t="str">
        <f t="shared" si="32"/>
        <v/>
      </c>
      <c r="Q218" s="14" t="str">
        <f t="shared" si="33"/>
        <v/>
      </c>
      <c r="R218" s="2"/>
      <c r="S218" s="2"/>
      <c r="T218" s="3"/>
      <c r="U218" s="14" t="str">
        <f t="shared" si="34"/>
        <v/>
      </c>
      <c r="V218" s="14" t="str">
        <f t="shared" si="35"/>
        <v/>
      </c>
      <c r="W218" s="15" t="str">
        <f t="shared" si="36"/>
        <v/>
      </c>
      <c r="X218" s="12" t="str">
        <f t="shared" si="37"/>
        <v/>
      </c>
      <c r="Y218" s="2"/>
      <c r="Z218" s="3"/>
      <c r="AA218" s="3"/>
      <c r="AB218" s="3"/>
      <c r="AC218" s="14" t="str">
        <f t="shared" si="38"/>
        <v/>
      </c>
      <c r="AD218" s="14" t="str">
        <f t="shared" si="39"/>
        <v/>
      </c>
    </row>
    <row r="219" spans="1:30">
      <c r="A219">
        <f t="shared" si="30"/>
        <v>216</v>
      </c>
      <c r="B219" s="2"/>
      <c r="C219" s="18"/>
      <c r="D219" s="2"/>
      <c r="E219" s="2"/>
      <c r="F219" s="3"/>
      <c r="G219" s="16"/>
      <c r="H219" s="16"/>
      <c r="I219" s="17" t="str">
        <f t="shared" ca="1" si="31"/>
        <v/>
      </c>
      <c r="J219" s="13" t="str">
        <f>IF(F219="","",'GİDER AYARLARI'!$B$4)</f>
        <v/>
      </c>
      <c r="K219" s="13" t="str">
        <f>IF(F219="","",'GİDER AYARLARI'!$B$5)</f>
        <v/>
      </c>
      <c r="L219" s="13" t="str">
        <f>IF(F219="","",'GİDER AYARLARI'!$B$6)</f>
        <v/>
      </c>
      <c r="M219" s="13" t="str">
        <f>IF(F219="","",'GİDER AYARLARI'!$B$7)</f>
        <v/>
      </c>
      <c r="N219" s="3"/>
      <c r="O219" s="13" t="str">
        <f ca="1">IF(OR(F219="",I219=""),"",IFERROR(IF(VLOOKUP(E219,'ALIM AYARLARI'!$A$4:$D$20,2,FALSE)="EVET",F219*'GİDER AYARLARI'!$B$8*I219/30,0),0))</f>
        <v/>
      </c>
      <c r="P219" s="14" t="str">
        <f t="shared" si="32"/>
        <v/>
      </c>
      <c r="Q219" s="14" t="str">
        <f t="shared" si="33"/>
        <v/>
      </c>
      <c r="R219" s="2"/>
      <c r="S219" s="2"/>
      <c r="T219" s="3"/>
      <c r="U219" s="14" t="str">
        <f t="shared" si="34"/>
        <v/>
      </c>
      <c r="V219" s="14" t="str">
        <f t="shared" si="35"/>
        <v/>
      </c>
      <c r="W219" s="15" t="str">
        <f t="shared" si="36"/>
        <v/>
      </c>
      <c r="X219" s="12" t="str">
        <f t="shared" si="37"/>
        <v/>
      </c>
      <c r="Y219" s="2"/>
      <c r="Z219" s="3"/>
      <c r="AA219" s="3"/>
      <c r="AB219" s="3"/>
      <c r="AC219" s="14" t="str">
        <f t="shared" si="38"/>
        <v/>
      </c>
      <c r="AD219" s="14" t="str">
        <f t="shared" si="39"/>
        <v/>
      </c>
    </row>
    <row r="220" spans="1:30">
      <c r="A220">
        <f t="shared" si="30"/>
        <v>217</v>
      </c>
      <c r="B220" s="2"/>
      <c r="C220" s="18"/>
      <c r="D220" s="2"/>
      <c r="E220" s="2"/>
      <c r="F220" s="3"/>
      <c r="G220" s="16"/>
      <c r="H220" s="16"/>
      <c r="I220" s="17" t="str">
        <f t="shared" ca="1" si="31"/>
        <v/>
      </c>
      <c r="J220" s="13" t="str">
        <f>IF(F220="","",'GİDER AYARLARI'!$B$4)</f>
        <v/>
      </c>
      <c r="K220" s="13" t="str">
        <f>IF(F220="","",'GİDER AYARLARI'!$B$5)</f>
        <v/>
      </c>
      <c r="L220" s="13" t="str">
        <f>IF(F220="","",'GİDER AYARLARI'!$B$6)</f>
        <v/>
      </c>
      <c r="M220" s="13" t="str">
        <f>IF(F220="","",'GİDER AYARLARI'!$B$7)</f>
        <v/>
      </c>
      <c r="N220" s="3"/>
      <c r="O220" s="13" t="str">
        <f ca="1">IF(OR(F220="",I220=""),"",IFERROR(IF(VLOOKUP(E220,'ALIM AYARLARI'!$A$4:$D$20,2,FALSE)="EVET",F220*'GİDER AYARLARI'!$B$8*I220/30,0),0))</f>
        <v/>
      </c>
      <c r="P220" s="14" t="str">
        <f t="shared" si="32"/>
        <v/>
      </c>
      <c r="Q220" s="14" t="str">
        <f t="shared" si="33"/>
        <v/>
      </c>
      <c r="R220" s="2"/>
      <c r="S220" s="2"/>
      <c r="T220" s="3"/>
      <c r="U220" s="14" t="str">
        <f t="shared" si="34"/>
        <v/>
      </c>
      <c r="V220" s="14" t="str">
        <f t="shared" si="35"/>
        <v/>
      </c>
      <c r="W220" s="15" t="str">
        <f t="shared" si="36"/>
        <v/>
      </c>
      <c r="X220" s="12" t="str">
        <f t="shared" si="37"/>
        <v/>
      </c>
      <c r="Y220" s="2"/>
      <c r="Z220" s="3"/>
      <c r="AA220" s="3"/>
      <c r="AB220" s="3"/>
      <c r="AC220" s="14" t="str">
        <f t="shared" si="38"/>
        <v/>
      </c>
      <c r="AD220" s="14" t="str">
        <f t="shared" si="39"/>
        <v/>
      </c>
    </row>
    <row r="221" spans="1:30">
      <c r="A221">
        <f t="shared" si="30"/>
        <v>218</v>
      </c>
      <c r="B221" s="2"/>
      <c r="C221" s="18"/>
      <c r="D221" s="2"/>
      <c r="E221" s="2"/>
      <c r="F221" s="3"/>
      <c r="G221" s="16"/>
      <c r="H221" s="16"/>
      <c r="I221" s="17" t="str">
        <f t="shared" ca="1" si="31"/>
        <v/>
      </c>
      <c r="J221" s="13" t="str">
        <f>IF(F221="","",'GİDER AYARLARI'!$B$4)</f>
        <v/>
      </c>
      <c r="K221" s="13" t="str">
        <f>IF(F221="","",'GİDER AYARLARI'!$B$5)</f>
        <v/>
      </c>
      <c r="L221" s="13" t="str">
        <f>IF(F221="","",'GİDER AYARLARI'!$B$6)</f>
        <v/>
      </c>
      <c r="M221" s="13" t="str">
        <f>IF(F221="","",'GİDER AYARLARI'!$B$7)</f>
        <v/>
      </c>
      <c r="N221" s="3"/>
      <c r="O221" s="13" t="str">
        <f ca="1">IF(OR(F221="",I221=""),"",IFERROR(IF(VLOOKUP(E221,'ALIM AYARLARI'!$A$4:$D$20,2,FALSE)="EVET",F221*'GİDER AYARLARI'!$B$8*I221/30,0),0))</f>
        <v/>
      </c>
      <c r="P221" s="14" t="str">
        <f t="shared" si="32"/>
        <v/>
      </c>
      <c r="Q221" s="14" t="str">
        <f t="shared" si="33"/>
        <v/>
      </c>
      <c r="R221" s="2"/>
      <c r="S221" s="2"/>
      <c r="T221" s="3"/>
      <c r="U221" s="14" t="str">
        <f t="shared" si="34"/>
        <v/>
      </c>
      <c r="V221" s="14" t="str">
        <f t="shared" si="35"/>
        <v/>
      </c>
      <c r="W221" s="15" t="str">
        <f t="shared" si="36"/>
        <v/>
      </c>
      <c r="X221" s="12" t="str">
        <f t="shared" si="37"/>
        <v/>
      </c>
      <c r="Y221" s="2"/>
      <c r="Z221" s="3"/>
      <c r="AA221" s="3"/>
      <c r="AB221" s="3"/>
      <c r="AC221" s="14" t="str">
        <f t="shared" si="38"/>
        <v/>
      </c>
      <c r="AD221" s="14" t="str">
        <f t="shared" si="39"/>
        <v/>
      </c>
    </row>
    <row r="222" spans="1:30">
      <c r="A222">
        <f t="shared" si="30"/>
        <v>219</v>
      </c>
      <c r="B222" s="2"/>
      <c r="C222" s="18"/>
      <c r="D222" s="2"/>
      <c r="E222" s="2"/>
      <c r="F222" s="3"/>
      <c r="G222" s="16"/>
      <c r="H222" s="16"/>
      <c r="I222" s="17" t="str">
        <f t="shared" ca="1" si="31"/>
        <v/>
      </c>
      <c r="J222" s="13" t="str">
        <f>IF(F222="","",'GİDER AYARLARI'!$B$4)</f>
        <v/>
      </c>
      <c r="K222" s="13" t="str">
        <f>IF(F222="","",'GİDER AYARLARI'!$B$5)</f>
        <v/>
      </c>
      <c r="L222" s="13" t="str">
        <f>IF(F222="","",'GİDER AYARLARI'!$B$6)</f>
        <v/>
      </c>
      <c r="M222" s="13" t="str">
        <f>IF(F222="","",'GİDER AYARLARI'!$B$7)</f>
        <v/>
      </c>
      <c r="N222" s="3"/>
      <c r="O222" s="13" t="str">
        <f ca="1">IF(OR(F222="",I222=""),"",IFERROR(IF(VLOOKUP(E222,'ALIM AYARLARI'!$A$4:$D$20,2,FALSE)="EVET",F222*'GİDER AYARLARI'!$B$8*I222/30,0),0))</f>
        <v/>
      </c>
      <c r="P222" s="14" t="str">
        <f t="shared" si="32"/>
        <v/>
      </c>
      <c r="Q222" s="14" t="str">
        <f t="shared" si="33"/>
        <v/>
      </c>
      <c r="R222" s="2"/>
      <c r="S222" s="2"/>
      <c r="T222" s="3"/>
      <c r="U222" s="14" t="str">
        <f t="shared" si="34"/>
        <v/>
      </c>
      <c r="V222" s="14" t="str">
        <f t="shared" si="35"/>
        <v/>
      </c>
      <c r="W222" s="15" t="str">
        <f t="shared" si="36"/>
        <v/>
      </c>
      <c r="X222" s="12" t="str">
        <f t="shared" si="37"/>
        <v/>
      </c>
      <c r="Y222" s="2"/>
      <c r="Z222" s="3"/>
      <c r="AA222" s="3"/>
      <c r="AB222" s="3"/>
      <c r="AC222" s="14" t="str">
        <f t="shared" si="38"/>
        <v/>
      </c>
      <c r="AD222" s="14" t="str">
        <f t="shared" si="39"/>
        <v/>
      </c>
    </row>
    <row r="223" spans="1:30">
      <c r="A223">
        <f t="shared" si="30"/>
        <v>220</v>
      </c>
      <c r="B223" s="2"/>
      <c r="C223" s="18"/>
      <c r="D223" s="2"/>
      <c r="E223" s="2"/>
      <c r="F223" s="3"/>
      <c r="G223" s="16"/>
      <c r="H223" s="16"/>
      <c r="I223" s="17" t="str">
        <f t="shared" ca="1" si="31"/>
        <v/>
      </c>
      <c r="J223" s="13" t="str">
        <f>IF(F223="","",'GİDER AYARLARI'!$B$4)</f>
        <v/>
      </c>
      <c r="K223" s="13" t="str">
        <f>IF(F223="","",'GİDER AYARLARI'!$B$5)</f>
        <v/>
      </c>
      <c r="L223" s="13" t="str">
        <f>IF(F223="","",'GİDER AYARLARI'!$B$6)</f>
        <v/>
      </c>
      <c r="M223" s="13" t="str">
        <f>IF(F223="","",'GİDER AYARLARI'!$B$7)</f>
        <v/>
      </c>
      <c r="N223" s="3"/>
      <c r="O223" s="13" t="str">
        <f ca="1">IF(OR(F223="",I223=""),"",IFERROR(IF(VLOOKUP(E223,'ALIM AYARLARI'!$A$4:$D$20,2,FALSE)="EVET",F223*'GİDER AYARLARI'!$B$8*I223/30,0),0))</f>
        <v/>
      </c>
      <c r="P223" s="14" t="str">
        <f t="shared" si="32"/>
        <v/>
      </c>
      <c r="Q223" s="14" t="str">
        <f t="shared" si="33"/>
        <v/>
      </c>
      <c r="R223" s="2"/>
      <c r="S223" s="2"/>
      <c r="T223" s="3"/>
      <c r="U223" s="14" t="str">
        <f t="shared" si="34"/>
        <v/>
      </c>
      <c r="V223" s="14" t="str">
        <f t="shared" si="35"/>
        <v/>
      </c>
      <c r="W223" s="15" t="str">
        <f t="shared" si="36"/>
        <v/>
      </c>
      <c r="X223" s="12" t="str">
        <f t="shared" si="37"/>
        <v/>
      </c>
      <c r="Y223" s="2"/>
      <c r="Z223" s="3"/>
      <c r="AA223" s="3"/>
      <c r="AB223" s="3"/>
      <c r="AC223" s="14" t="str">
        <f t="shared" si="38"/>
        <v/>
      </c>
      <c r="AD223" s="14" t="str">
        <f t="shared" si="39"/>
        <v/>
      </c>
    </row>
    <row r="224" spans="1:30">
      <c r="A224">
        <f t="shared" si="30"/>
        <v>221</v>
      </c>
      <c r="B224" s="2"/>
      <c r="C224" s="18"/>
      <c r="D224" s="2"/>
      <c r="E224" s="2"/>
      <c r="F224" s="3"/>
      <c r="G224" s="16"/>
      <c r="H224" s="16"/>
      <c r="I224" s="17" t="str">
        <f t="shared" ca="1" si="31"/>
        <v/>
      </c>
      <c r="J224" s="13" t="str">
        <f>IF(F224="","",'GİDER AYARLARI'!$B$4)</f>
        <v/>
      </c>
      <c r="K224" s="13" t="str">
        <f>IF(F224="","",'GİDER AYARLARI'!$B$5)</f>
        <v/>
      </c>
      <c r="L224" s="13" t="str">
        <f>IF(F224="","",'GİDER AYARLARI'!$B$6)</f>
        <v/>
      </c>
      <c r="M224" s="13" t="str">
        <f>IF(F224="","",'GİDER AYARLARI'!$B$7)</f>
        <v/>
      </c>
      <c r="N224" s="3"/>
      <c r="O224" s="13" t="str">
        <f ca="1">IF(OR(F224="",I224=""),"",IFERROR(IF(VLOOKUP(E224,'ALIM AYARLARI'!$A$4:$D$20,2,FALSE)="EVET",F224*'GİDER AYARLARI'!$B$8*I224/30,0),0))</f>
        <v/>
      </c>
      <c r="P224" s="14" t="str">
        <f t="shared" si="32"/>
        <v/>
      </c>
      <c r="Q224" s="14" t="str">
        <f t="shared" si="33"/>
        <v/>
      </c>
      <c r="R224" s="2"/>
      <c r="S224" s="2"/>
      <c r="T224" s="3"/>
      <c r="U224" s="14" t="str">
        <f t="shared" si="34"/>
        <v/>
      </c>
      <c r="V224" s="14" t="str">
        <f t="shared" si="35"/>
        <v/>
      </c>
      <c r="W224" s="15" t="str">
        <f t="shared" si="36"/>
        <v/>
      </c>
      <c r="X224" s="12" t="str">
        <f t="shared" si="37"/>
        <v/>
      </c>
      <c r="Y224" s="2"/>
      <c r="Z224" s="3"/>
      <c r="AA224" s="3"/>
      <c r="AB224" s="3"/>
      <c r="AC224" s="14" t="str">
        <f t="shared" si="38"/>
        <v/>
      </c>
      <c r="AD224" s="14" t="str">
        <f t="shared" si="39"/>
        <v/>
      </c>
    </row>
    <row r="225" spans="1:30">
      <c r="A225">
        <f t="shared" si="30"/>
        <v>222</v>
      </c>
      <c r="B225" s="2"/>
      <c r="C225" s="18"/>
      <c r="D225" s="2"/>
      <c r="E225" s="2"/>
      <c r="F225" s="3"/>
      <c r="G225" s="16"/>
      <c r="H225" s="16"/>
      <c r="I225" s="17" t="str">
        <f t="shared" ca="1" si="31"/>
        <v/>
      </c>
      <c r="J225" s="13" t="str">
        <f>IF(F225="","",'GİDER AYARLARI'!$B$4)</f>
        <v/>
      </c>
      <c r="K225" s="13" t="str">
        <f>IF(F225="","",'GİDER AYARLARI'!$B$5)</f>
        <v/>
      </c>
      <c r="L225" s="13" t="str">
        <f>IF(F225="","",'GİDER AYARLARI'!$B$6)</f>
        <v/>
      </c>
      <c r="M225" s="13" t="str">
        <f>IF(F225="","",'GİDER AYARLARI'!$B$7)</f>
        <v/>
      </c>
      <c r="N225" s="3"/>
      <c r="O225" s="13" t="str">
        <f ca="1">IF(OR(F225="",I225=""),"",IFERROR(IF(VLOOKUP(E225,'ALIM AYARLARI'!$A$4:$D$20,2,FALSE)="EVET",F225*'GİDER AYARLARI'!$B$8*I225/30,0),0))</f>
        <v/>
      </c>
      <c r="P225" s="14" t="str">
        <f t="shared" si="32"/>
        <v/>
      </c>
      <c r="Q225" s="14" t="str">
        <f t="shared" si="33"/>
        <v/>
      </c>
      <c r="R225" s="2"/>
      <c r="S225" s="2"/>
      <c r="T225" s="3"/>
      <c r="U225" s="14" t="str">
        <f t="shared" si="34"/>
        <v/>
      </c>
      <c r="V225" s="14" t="str">
        <f t="shared" si="35"/>
        <v/>
      </c>
      <c r="W225" s="15" t="str">
        <f t="shared" si="36"/>
        <v/>
      </c>
      <c r="X225" s="12" t="str">
        <f t="shared" si="37"/>
        <v/>
      </c>
      <c r="Y225" s="2"/>
      <c r="Z225" s="3"/>
      <c r="AA225" s="3"/>
      <c r="AB225" s="3"/>
      <c r="AC225" s="14" t="str">
        <f t="shared" si="38"/>
        <v/>
      </c>
      <c r="AD225" s="14" t="str">
        <f t="shared" si="39"/>
        <v/>
      </c>
    </row>
    <row r="226" spans="1:30">
      <c r="A226">
        <f t="shared" si="30"/>
        <v>223</v>
      </c>
      <c r="B226" s="2"/>
      <c r="C226" s="18"/>
      <c r="D226" s="2"/>
      <c r="E226" s="2"/>
      <c r="F226" s="3"/>
      <c r="G226" s="16"/>
      <c r="H226" s="16"/>
      <c r="I226" s="17" t="str">
        <f t="shared" ca="1" si="31"/>
        <v/>
      </c>
      <c r="J226" s="13" t="str">
        <f>IF(F226="","",'GİDER AYARLARI'!$B$4)</f>
        <v/>
      </c>
      <c r="K226" s="13" t="str">
        <f>IF(F226="","",'GİDER AYARLARI'!$B$5)</f>
        <v/>
      </c>
      <c r="L226" s="13" t="str">
        <f>IF(F226="","",'GİDER AYARLARI'!$B$6)</f>
        <v/>
      </c>
      <c r="M226" s="13" t="str">
        <f>IF(F226="","",'GİDER AYARLARI'!$B$7)</f>
        <v/>
      </c>
      <c r="N226" s="3"/>
      <c r="O226" s="13" t="str">
        <f ca="1">IF(OR(F226="",I226=""),"",IFERROR(IF(VLOOKUP(E226,'ALIM AYARLARI'!$A$4:$D$20,2,FALSE)="EVET",F226*'GİDER AYARLARI'!$B$8*I226/30,0),0))</f>
        <v/>
      </c>
      <c r="P226" s="14" t="str">
        <f t="shared" si="32"/>
        <v/>
      </c>
      <c r="Q226" s="14" t="str">
        <f t="shared" si="33"/>
        <v/>
      </c>
      <c r="R226" s="2"/>
      <c r="S226" s="2"/>
      <c r="T226" s="3"/>
      <c r="U226" s="14" t="str">
        <f t="shared" si="34"/>
        <v/>
      </c>
      <c r="V226" s="14" t="str">
        <f t="shared" si="35"/>
        <v/>
      </c>
      <c r="W226" s="15" t="str">
        <f t="shared" si="36"/>
        <v/>
      </c>
      <c r="X226" s="12" t="str">
        <f t="shared" si="37"/>
        <v/>
      </c>
      <c r="Y226" s="2"/>
      <c r="Z226" s="3"/>
      <c r="AA226" s="3"/>
      <c r="AB226" s="3"/>
      <c r="AC226" s="14" t="str">
        <f t="shared" si="38"/>
        <v/>
      </c>
      <c r="AD226" s="14" t="str">
        <f t="shared" si="39"/>
        <v/>
      </c>
    </row>
    <row r="227" spans="1:30">
      <c r="A227">
        <f t="shared" si="30"/>
        <v>224</v>
      </c>
      <c r="B227" s="2"/>
      <c r="C227" s="18"/>
      <c r="D227" s="2"/>
      <c r="E227" s="2"/>
      <c r="F227" s="3"/>
      <c r="G227" s="16"/>
      <c r="H227" s="16"/>
      <c r="I227" s="17" t="str">
        <f t="shared" ca="1" si="31"/>
        <v/>
      </c>
      <c r="J227" s="13" t="str">
        <f>IF(F227="","",'GİDER AYARLARI'!$B$4)</f>
        <v/>
      </c>
      <c r="K227" s="13" t="str">
        <f>IF(F227="","",'GİDER AYARLARI'!$B$5)</f>
        <v/>
      </c>
      <c r="L227" s="13" t="str">
        <f>IF(F227="","",'GİDER AYARLARI'!$B$6)</f>
        <v/>
      </c>
      <c r="M227" s="13" t="str">
        <f>IF(F227="","",'GİDER AYARLARI'!$B$7)</f>
        <v/>
      </c>
      <c r="N227" s="3"/>
      <c r="O227" s="13" t="str">
        <f ca="1">IF(OR(F227="",I227=""),"",IFERROR(IF(VLOOKUP(E227,'ALIM AYARLARI'!$A$4:$D$20,2,FALSE)="EVET",F227*'GİDER AYARLARI'!$B$8*I227/30,0),0))</f>
        <v/>
      </c>
      <c r="P227" s="14" t="str">
        <f t="shared" si="32"/>
        <v/>
      </c>
      <c r="Q227" s="14" t="str">
        <f t="shared" si="33"/>
        <v/>
      </c>
      <c r="R227" s="2"/>
      <c r="S227" s="2"/>
      <c r="T227" s="3"/>
      <c r="U227" s="14" t="str">
        <f t="shared" si="34"/>
        <v/>
      </c>
      <c r="V227" s="14" t="str">
        <f t="shared" si="35"/>
        <v/>
      </c>
      <c r="W227" s="15" t="str">
        <f t="shared" si="36"/>
        <v/>
      </c>
      <c r="X227" s="12" t="str">
        <f t="shared" si="37"/>
        <v/>
      </c>
      <c r="Y227" s="2"/>
      <c r="Z227" s="3"/>
      <c r="AA227" s="3"/>
      <c r="AB227" s="3"/>
      <c r="AC227" s="14" t="str">
        <f t="shared" si="38"/>
        <v/>
      </c>
      <c r="AD227" s="14" t="str">
        <f t="shared" si="39"/>
        <v/>
      </c>
    </row>
    <row r="228" spans="1:30">
      <c r="A228">
        <f t="shared" si="30"/>
        <v>225</v>
      </c>
      <c r="B228" s="2"/>
      <c r="C228" s="18"/>
      <c r="D228" s="2"/>
      <c r="E228" s="2"/>
      <c r="F228" s="3"/>
      <c r="G228" s="16"/>
      <c r="H228" s="16"/>
      <c r="I228" s="17" t="str">
        <f t="shared" ca="1" si="31"/>
        <v/>
      </c>
      <c r="J228" s="13" t="str">
        <f>IF(F228="","",'GİDER AYARLARI'!$B$4)</f>
        <v/>
      </c>
      <c r="K228" s="13" t="str">
        <f>IF(F228="","",'GİDER AYARLARI'!$B$5)</f>
        <v/>
      </c>
      <c r="L228" s="13" t="str">
        <f>IF(F228="","",'GİDER AYARLARI'!$B$6)</f>
        <v/>
      </c>
      <c r="M228" s="13" t="str">
        <f>IF(F228="","",'GİDER AYARLARI'!$B$7)</f>
        <v/>
      </c>
      <c r="N228" s="3"/>
      <c r="O228" s="13" t="str">
        <f ca="1">IF(OR(F228="",I228=""),"",IFERROR(IF(VLOOKUP(E228,'ALIM AYARLARI'!$A$4:$D$20,2,FALSE)="EVET",F228*'GİDER AYARLARI'!$B$8*I228/30,0),0))</f>
        <v/>
      </c>
      <c r="P228" s="14" t="str">
        <f t="shared" si="32"/>
        <v/>
      </c>
      <c r="Q228" s="14" t="str">
        <f t="shared" si="33"/>
        <v/>
      </c>
      <c r="R228" s="2"/>
      <c r="S228" s="2"/>
      <c r="T228" s="3"/>
      <c r="U228" s="14" t="str">
        <f t="shared" si="34"/>
        <v/>
      </c>
      <c r="V228" s="14" t="str">
        <f t="shared" si="35"/>
        <v/>
      </c>
      <c r="W228" s="15" t="str">
        <f t="shared" si="36"/>
        <v/>
      </c>
      <c r="X228" s="12" t="str">
        <f t="shared" si="37"/>
        <v/>
      </c>
      <c r="Y228" s="2"/>
      <c r="Z228" s="3"/>
      <c r="AA228" s="3"/>
      <c r="AB228" s="3"/>
      <c r="AC228" s="14" t="str">
        <f t="shared" si="38"/>
        <v/>
      </c>
      <c r="AD228" s="14" t="str">
        <f t="shared" si="39"/>
        <v/>
      </c>
    </row>
    <row r="229" spans="1:30">
      <c r="A229">
        <f t="shared" si="30"/>
        <v>226</v>
      </c>
      <c r="B229" s="2"/>
      <c r="C229" s="18"/>
      <c r="D229" s="2"/>
      <c r="E229" s="2"/>
      <c r="F229" s="3"/>
      <c r="G229" s="16"/>
      <c r="H229" s="16"/>
      <c r="I229" s="17" t="str">
        <f t="shared" ca="1" si="31"/>
        <v/>
      </c>
      <c r="J229" s="13" t="str">
        <f>IF(F229="","",'GİDER AYARLARI'!$B$4)</f>
        <v/>
      </c>
      <c r="K229" s="13" t="str">
        <f>IF(F229="","",'GİDER AYARLARI'!$B$5)</f>
        <v/>
      </c>
      <c r="L229" s="13" t="str">
        <f>IF(F229="","",'GİDER AYARLARI'!$B$6)</f>
        <v/>
      </c>
      <c r="M229" s="13" t="str">
        <f>IF(F229="","",'GİDER AYARLARI'!$B$7)</f>
        <v/>
      </c>
      <c r="N229" s="3"/>
      <c r="O229" s="13" t="str">
        <f ca="1">IF(OR(F229="",I229=""),"",IFERROR(IF(VLOOKUP(E229,'ALIM AYARLARI'!$A$4:$D$20,2,FALSE)="EVET",F229*'GİDER AYARLARI'!$B$8*I229/30,0),0))</f>
        <v/>
      </c>
      <c r="P229" s="14" t="str">
        <f t="shared" si="32"/>
        <v/>
      </c>
      <c r="Q229" s="14" t="str">
        <f t="shared" si="33"/>
        <v/>
      </c>
      <c r="R229" s="2"/>
      <c r="S229" s="2"/>
      <c r="T229" s="3"/>
      <c r="U229" s="14" t="str">
        <f t="shared" si="34"/>
        <v/>
      </c>
      <c r="V229" s="14" t="str">
        <f t="shared" si="35"/>
        <v/>
      </c>
      <c r="W229" s="15" t="str">
        <f t="shared" si="36"/>
        <v/>
      </c>
      <c r="X229" s="12" t="str">
        <f t="shared" si="37"/>
        <v/>
      </c>
      <c r="Y229" s="2"/>
      <c r="Z229" s="3"/>
      <c r="AA229" s="3"/>
      <c r="AB229" s="3"/>
      <c r="AC229" s="14" t="str">
        <f t="shared" si="38"/>
        <v/>
      </c>
      <c r="AD229" s="14" t="str">
        <f t="shared" si="39"/>
        <v/>
      </c>
    </row>
    <row r="230" spans="1:30">
      <c r="A230">
        <f t="shared" si="30"/>
        <v>227</v>
      </c>
      <c r="B230" s="2"/>
      <c r="C230" s="18"/>
      <c r="D230" s="2"/>
      <c r="E230" s="2"/>
      <c r="F230" s="3"/>
      <c r="G230" s="16"/>
      <c r="H230" s="16"/>
      <c r="I230" s="17" t="str">
        <f t="shared" ca="1" si="31"/>
        <v/>
      </c>
      <c r="J230" s="13" t="str">
        <f>IF(F230="","",'GİDER AYARLARI'!$B$4)</f>
        <v/>
      </c>
      <c r="K230" s="13" t="str">
        <f>IF(F230="","",'GİDER AYARLARI'!$B$5)</f>
        <v/>
      </c>
      <c r="L230" s="13" t="str">
        <f>IF(F230="","",'GİDER AYARLARI'!$B$6)</f>
        <v/>
      </c>
      <c r="M230" s="13" t="str">
        <f>IF(F230="","",'GİDER AYARLARI'!$B$7)</f>
        <v/>
      </c>
      <c r="N230" s="3"/>
      <c r="O230" s="13" t="str">
        <f ca="1">IF(OR(F230="",I230=""),"",IFERROR(IF(VLOOKUP(E230,'ALIM AYARLARI'!$A$4:$D$20,2,FALSE)="EVET",F230*'GİDER AYARLARI'!$B$8*I230/30,0),0))</f>
        <v/>
      </c>
      <c r="P230" s="14" t="str">
        <f t="shared" si="32"/>
        <v/>
      </c>
      <c r="Q230" s="14" t="str">
        <f t="shared" si="33"/>
        <v/>
      </c>
      <c r="R230" s="2"/>
      <c r="S230" s="2"/>
      <c r="T230" s="3"/>
      <c r="U230" s="14" t="str">
        <f t="shared" si="34"/>
        <v/>
      </c>
      <c r="V230" s="14" t="str">
        <f t="shared" si="35"/>
        <v/>
      </c>
      <c r="W230" s="15" t="str">
        <f t="shared" si="36"/>
        <v/>
      </c>
      <c r="X230" s="12" t="str">
        <f t="shared" si="37"/>
        <v/>
      </c>
      <c r="Y230" s="2"/>
      <c r="Z230" s="3"/>
      <c r="AA230" s="3"/>
      <c r="AB230" s="3"/>
      <c r="AC230" s="14" t="str">
        <f t="shared" si="38"/>
        <v/>
      </c>
      <c r="AD230" s="14" t="str">
        <f t="shared" si="39"/>
        <v/>
      </c>
    </row>
    <row r="231" spans="1:30">
      <c r="A231">
        <f t="shared" si="30"/>
        <v>228</v>
      </c>
      <c r="B231" s="2"/>
      <c r="C231" s="18"/>
      <c r="D231" s="2"/>
      <c r="E231" s="2"/>
      <c r="F231" s="3"/>
      <c r="G231" s="16"/>
      <c r="H231" s="16"/>
      <c r="I231" s="17" t="str">
        <f t="shared" ca="1" si="31"/>
        <v/>
      </c>
      <c r="J231" s="13" t="str">
        <f>IF(F231="","",'GİDER AYARLARI'!$B$4)</f>
        <v/>
      </c>
      <c r="K231" s="13" t="str">
        <f>IF(F231="","",'GİDER AYARLARI'!$B$5)</f>
        <v/>
      </c>
      <c r="L231" s="13" t="str">
        <f>IF(F231="","",'GİDER AYARLARI'!$B$6)</f>
        <v/>
      </c>
      <c r="M231" s="13" t="str">
        <f>IF(F231="","",'GİDER AYARLARI'!$B$7)</f>
        <v/>
      </c>
      <c r="N231" s="3"/>
      <c r="O231" s="13" t="str">
        <f ca="1">IF(OR(F231="",I231=""),"",IFERROR(IF(VLOOKUP(E231,'ALIM AYARLARI'!$A$4:$D$20,2,FALSE)="EVET",F231*'GİDER AYARLARI'!$B$8*I231/30,0),0))</f>
        <v/>
      </c>
      <c r="P231" s="14" t="str">
        <f t="shared" si="32"/>
        <v/>
      </c>
      <c r="Q231" s="14" t="str">
        <f t="shared" si="33"/>
        <v/>
      </c>
      <c r="R231" s="2"/>
      <c r="S231" s="2"/>
      <c r="T231" s="3"/>
      <c r="U231" s="14" t="str">
        <f t="shared" si="34"/>
        <v/>
      </c>
      <c r="V231" s="14" t="str">
        <f t="shared" si="35"/>
        <v/>
      </c>
      <c r="W231" s="15" t="str">
        <f t="shared" si="36"/>
        <v/>
      </c>
      <c r="X231" s="12" t="str">
        <f t="shared" si="37"/>
        <v/>
      </c>
      <c r="Y231" s="2"/>
      <c r="Z231" s="3"/>
      <c r="AA231" s="3"/>
      <c r="AB231" s="3"/>
      <c r="AC231" s="14" t="str">
        <f t="shared" si="38"/>
        <v/>
      </c>
      <c r="AD231" s="14" t="str">
        <f t="shared" si="39"/>
        <v/>
      </c>
    </row>
    <row r="232" spans="1:30">
      <c r="A232">
        <f t="shared" si="30"/>
        <v>229</v>
      </c>
      <c r="B232" s="2"/>
      <c r="C232" s="18"/>
      <c r="D232" s="2"/>
      <c r="E232" s="2"/>
      <c r="F232" s="3"/>
      <c r="G232" s="16"/>
      <c r="H232" s="16"/>
      <c r="I232" s="17" t="str">
        <f t="shared" ca="1" si="31"/>
        <v/>
      </c>
      <c r="J232" s="13" t="str">
        <f>IF(F232="","",'GİDER AYARLARI'!$B$4)</f>
        <v/>
      </c>
      <c r="K232" s="13" t="str">
        <f>IF(F232="","",'GİDER AYARLARI'!$B$5)</f>
        <v/>
      </c>
      <c r="L232" s="13" t="str">
        <f>IF(F232="","",'GİDER AYARLARI'!$B$6)</f>
        <v/>
      </c>
      <c r="M232" s="13" t="str">
        <f>IF(F232="","",'GİDER AYARLARI'!$B$7)</f>
        <v/>
      </c>
      <c r="N232" s="3"/>
      <c r="O232" s="13" t="str">
        <f ca="1">IF(OR(F232="",I232=""),"",IFERROR(IF(VLOOKUP(E232,'ALIM AYARLARI'!$A$4:$D$20,2,FALSE)="EVET",F232*'GİDER AYARLARI'!$B$8*I232/30,0),0))</f>
        <v/>
      </c>
      <c r="P232" s="14" t="str">
        <f t="shared" si="32"/>
        <v/>
      </c>
      <c r="Q232" s="14" t="str">
        <f t="shared" si="33"/>
        <v/>
      </c>
      <c r="R232" s="2"/>
      <c r="S232" s="2"/>
      <c r="T232" s="3"/>
      <c r="U232" s="14" t="str">
        <f t="shared" si="34"/>
        <v/>
      </c>
      <c r="V232" s="14" t="str">
        <f t="shared" si="35"/>
        <v/>
      </c>
      <c r="W232" s="15" t="str">
        <f t="shared" si="36"/>
        <v/>
      </c>
      <c r="X232" s="12" t="str">
        <f t="shared" si="37"/>
        <v/>
      </c>
      <c r="Y232" s="2"/>
      <c r="Z232" s="3"/>
      <c r="AA232" s="3"/>
      <c r="AB232" s="3"/>
      <c r="AC232" s="14" t="str">
        <f t="shared" si="38"/>
        <v/>
      </c>
      <c r="AD232" s="14" t="str">
        <f t="shared" si="39"/>
        <v/>
      </c>
    </row>
    <row r="233" spans="1:30">
      <c r="A233">
        <f t="shared" si="30"/>
        <v>230</v>
      </c>
      <c r="B233" s="2"/>
      <c r="C233" s="18"/>
      <c r="D233" s="2"/>
      <c r="E233" s="2"/>
      <c r="F233" s="3"/>
      <c r="G233" s="16"/>
      <c r="H233" s="16"/>
      <c r="I233" s="17" t="str">
        <f t="shared" ca="1" si="31"/>
        <v/>
      </c>
      <c r="J233" s="13" t="str">
        <f>IF(F233="","",'GİDER AYARLARI'!$B$4)</f>
        <v/>
      </c>
      <c r="K233" s="13" t="str">
        <f>IF(F233="","",'GİDER AYARLARI'!$B$5)</f>
        <v/>
      </c>
      <c r="L233" s="13" t="str">
        <f>IF(F233="","",'GİDER AYARLARI'!$B$6)</f>
        <v/>
      </c>
      <c r="M233" s="13" t="str">
        <f>IF(F233="","",'GİDER AYARLARI'!$B$7)</f>
        <v/>
      </c>
      <c r="N233" s="3"/>
      <c r="O233" s="13" t="str">
        <f ca="1">IF(OR(F233="",I233=""),"",IFERROR(IF(VLOOKUP(E233,'ALIM AYARLARI'!$A$4:$D$20,2,FALSE)="EVET",F233*'GİDER AYARLARI'!$B$8*I233/30,0),0))</f>
        <v/>
      </c>
      <c r="P233" s="14" t="str">
        <f t="shared" si="32"/>
        <v/>
      </c>
      <c r="Q233" s="14" t="str">
        <f t="shared" si="33"/>
        <v/>
      </c>
      <c r="R233" s="2"/>
      <c r="S233" s="2"/>
      <c r="T233" s="3"/>
      <c r="U233" s="14" t="str">
        <f t="shared" si="34"/>
        <v/>
      </c>
      <c r="V233" s="14" t="str">
        <f t="shared" si="35"/>
        <v/>
      </c>
      <c r="W233" s="15" t="str">
        <f t="shared" si="36"/>
        <v/>
      </c>
      <c r="X233" s="12" t="str">
        <f t="shared" si="37"/>
        <v/>
      </c>
      <c r="Y233" s="2"/>
      <c r="Z233" s="3"/>
      <c r="AA233" s="3"/>
      <c r="AB233" s="3"/>
      <c r="AC233" s="14" t="str">
        <f t="shared" si="38"/>
        <v/>
      </c>
      <c r="AD233" s="14" t="str">
        <f t="shared" si="39"/>
        <v/>
      </c>
    </row>
    <row r="234" spans="1:30">
      <c r="A234">
        <f t="shared" si="30"/>
        <v>231</v>
      </c>
      <c r="B234" s="2"/>
      <c r="C234" s="18"/>
      <c r="D234" s="2"/>
      <c r="E234" s="2"/>
      <c r="F234" s="3"/>
      <c r="G234" s="16"/>
      <c r="H234" s="16"/>
      <c r="I234" s="17" t="str">
        <f t="shared" ca="1" si="31"/>
        <v/>
      </c>
      <c r="J234" s="13" t="str">
        <f>IF(F234="","",'GİDER AYARLARI'!$B$4)</f>
        <v/>
      </c>
      <c r="K234" s="13" t="str">
        <f>IF(F234="","",'GİDER AYARLARI'!$B$5)</f>
        <v/>
      </c>
      <c r="L234" s="13" t="str">
        <f>IF(F234="","",'GİDER AYARLARI'!$B$6)</f>
        <v/>
      </c>
      <c r="M234" s="13" t="str">
        <f>IF(F234="","",'GİDER AYARLARI'!$B$7)</f>
        <v/>
      </c>
      <c r="N234" s="3"/>
      <c r="O234" s="13" t="str">
        <f ca="1">IF(OR(F234="",I234=""),"",IFERROR(IF(VLOOKUP(E234,'ALIM AYARLARI'!$A$4:$D$20,2,FALSE)="EVET",F234*'GİDER AYARLARI'!$B$8*I234/30,0),0))</f>
        <v/>
      </c>
      <c r="P234" s="14" t="str">
        <f t="shared" si="32"/>
        <v/>
      </c>
      <c r="Q234" s="14" t="str">
        <f t="shared" si="33"/>
        <v/>
      </c>
      <c r="R234" s="2"/>
      <c r="S234" s="2"/>
      <c r="T234" s="3"/>
      <c r="U234" s="14" t="str">
        <f t="shared" si="34"/>
        <v/>
      </c>
      <c r="V234" s="14" t="str">
        <f t="shared" si="35"/>
        <v/>
      </c>
      <c r="W234" s="15" t="str">
        <f t="shared" si="36"/>
        <v/>
      </c>
      <c r="X234" s="12" t="str">
        <f t="shared" si="37"/>
        <v/>
      </c>
      <c r="Y234" s="2"/>
      <c r="Z234" s="3"/>
      <c r="AA234" s="3"/>
      <c r="AB234" s="3"/>
      <c r="AC234" s="14" t="str">
        <f t="shared" si="38"/>
        <v/>
      </c>
      <c r="AD234" s="14" t="str">
        <f t="shared" si="39"/>
        <v/>
      </c>
    </row>
    <row r="235" spans="1:30">
      <c r="A235">
        <f t="shared" si="30"/>
        <v>232</v>
      </c>
      <c r="B235" s="2"/>
      <c r="C235" s="18"/>
      <c r="D235" s="2"/>
      <c r="E235" s="2"/>
      <c r="F235" s="3"/>
      <c r="G235" s="16"/>
      <c r="H235" s="16"/>
      <c r="I235" s="17" t="str">
        <f t="shared" ca="1" si="31"/>
        <v/>
      </c>
      <c r="J235" s="13" t="str">
        <f>IF(F235="","",'GİDER AYARLARI'!$B$4)</f>
        <v/>
      </c>
      <c r="K235" s="13" t="str">
        <f>IF(F235="","",'GİDER AYARLARI'!$B$5)</f>
        <v/>
      </c>
      <c r="L235" s="13" t="str">
        <f>IF(F235="","",'GİDER AYARLARI'!$B$6)</f>
        <v/>
      </c>
      <c r="M235" s="13" t="str">
        <f>IF(F235="","",'GİDER AYARLARI'!$B$7)</f>
        <v/>
      </c>
      <c r="N235" s="3"/>
      <c r="O235" s="13" t="str">
        <f ca="1">IF(OR(F235="",I235=""),"",IFERROR(IF(VLOOKUP(E235,'ALIM AYARLARI'!$A$4:$D$20,2,FALSE)="EVET",F235*'GİDER AYARLARI'!$B$8*I235/30,0),0))</f>
        <v/>
      </c>
      <c r="P235" s="14" t="str">
        <f t="shared" si="32"/>
        <v/>
      </c>
      <c r="Q235" s="14" t="str">
        <f t="shared" si="33"/>
        <v/>
      </c>
      <c r="R235" s="2"/>
      <c r="S235" s="2"/>
      <c r="T235" s="3"/>
      <c r="U235" s="14" t="str">
        <f t="shared" si="34"/>
        <v/>
      </c>
      <c r="V235" s="14" t="str">
        <f t="shared" si="35"/>
        <v/>
      </c>
      <c r="W235" s="15" t="str">
        <f t="shared" si="36"/>
        <v/>
      </c>
      <c r="X235" s="12" t="str">
        <f t="shared" si="37"/>
        <v/>
      </c>
      <c r="Y235" s="2"/>
      <c r="Z235" s="3"/>
      <c r="AA235" s="3"/>
      <c r="AB235" s="3"/>
      <c r="AC235" s="14" t="str">
        <f t="shared" si="38"/>
        <v/>
      </c>
      <c r="AD235" s="14" t="str">
        <f t="shared" si="39"/>
        <v/>
      </c>
    </row>
    <row r="236" spans="1:30">
      <c r="A236">
        <f t="shared" si="30"/>
        <v>233</v>
      </c>
      <c r="B236" s="2"/>
      <c r="C236" s="18"/>
      <c r="D236" s="2"/>
      <c r="E236" s="2"/>
      <c r="F236" s="3"/>
      <c r="G236" s="16"/>
      <c r="H236" s="16"/>
      <c r="I236" s="17" t="str">
        <f t="shared" ca="1" si="31"/>
        <v/>
      </c>
      <c r="J236" s="13" t="str">
        <f>IF(F236="","",'GİDER AYARLARI'!$B$4)</f>
        <v/>
      </c>
      <c r="K236" s="13" t="str">
        <f>IF(F236="","",'GİDER AYARLARI'!$B$5)</f>
        <v/>
      </c>
      <c r="L236" s="13" t="str">
        <f>IF(F236="","",'GİDER AYARLARI'!$B$6)</f>
        <v/>
      </c>
      <c r="M236" s="13" t="str">
        <f>IF(F236="","",'GİDER AYARLARI'!$B$7)</f>
        <v/>
      </c>
      <c r="N236" s="3"/>
      <c r="O236" s="13" t="str">
        <f ca="1">IF(OR(F236="",I236=""),"",IFERROR(IF(VLOOKUP(E236,'ALIM AYARLARI'!$A$4:$D$20,2,FALSE)="EVET",F236*'GİDER AYARLARI'!$B$8*I236/30,0),0))</f>
        <v/>
      </c>
      <c r="P236" s="14" t="str">
        <f t="shared" si="32"/>
        <v/>
      </c>
      <c r="Q236" s="14" t="str">
        <f t="shared" si="33"/>
        <v/>
      </c>
      <c r="R236" s="2"/>
      <c r="S236" s="2"/>
      <c r="T236" s="3"/>
      <c r="U236" s="14" t="str">
        <f t="shared" si="34"/>
        <v/>
      </c>
      <c r="V236" s="14" t="str">
        <f t="shared" si="35"/>
        <v/>
      </c>
      <c r="W236" s="15" t="str">
        <f t="shared" si="36"/>
        <v/>
      </c>
      <c r="X236" s="12" t="str">
        <f t="shared" si="37"/>
        <v/>
      </c>
      <c r="Y236" s="2"/>
      <c r="Z236" s="3"/>
      <c r="AA236" s="3"/>
      <c r="AB236" s="3"/>
      <c r="AC236" s="14" t="str">
        <f t="shared" si="38"/>
        <v/>
      </c>
      <c r="AD236" s="14" t="str">
        <f t="shared" si="39"/>
        <v/>
      </c>
    </row>
    <row r="237" spans="1:30">
      <c r="A237">
        <f t="shared" si="30"/>
        <v>234</v>
      </c>
      <c r="B237" s="2"/>
      <c r="C237" s="18"/>
      <c r="D237" s="2"/>
      <c r="E237" s="2"/>
      <c r="F237" s="3"/>
      <c r="G237" s="16"/>
      <c r="H237" s="16"/>
      <c r="I237" s="17" t="str">
        <f t="shared" ca="1" si="31"/>
        <v/>
      </c>
      <c r="J237" s="13" t="str">
        <f>IF(F237="","",'GİDER AYARLARI'!$B$4)</f>
        <v/>
      </c>
      <c r="K237" s="13" t="str">
        <f>IF(F237="","",'GİDER AYARLARI'!$B$5)</f>
        <v/>
      </c>
      <c r="L237" s="13" t="str">
        <f>IF(F237="","",'GİDER AYARLARI'!$B$6)</f>
        <v/>
      </c>
      <c r="M237" s="13" t="str">
        <f>IF(F237="","",'GİDER AYARLARI'!$B$7)</f>
        <v/>
      </c>
      <c r="N237" s="3"/>
      <c r="O237" s="13" t="str">
        <f ca="1">IF(OR(F237="",I237=""),"",IFERROR(IF(VLOOKUP(E237,'ALIM AYARLARI'!$A$4:$D$20,2,FALSE)="EVET",F237*'GİDER AYARLARI'!$B$8*I237/30,0),0))</f>
        <v/>
      </c>
      <c r="P237" s="14" t="str">
        <f t="shared" si="32"/>
        <v/>
      </c>
      <c r="Q237" s="14" t="str">
        <f t="shared" si="33"/>
        <v/>
      </c>
      <c r="R237" s="2"/>
      <c r="S237" s="2"/>
      <c r="T237" s="3"/>
      <c r="U237" s="14" t="str">
        <f t="shared" si="34"/>
        <v/>
      </c>
      <c r="V237" s="14" t="str">
        <f t="shared" si="35"/>
        <v/>
      </c>
      <c r="W237" s="15" t="str">
        <f t="shared" si="36"/>
        <v/>
      </c>
      <c r="X237" s="12" t="str">
        <f t="shared" si="37"/>
        <v/>
      </c>
      <c r="Y237" s="2"/>
      <c r="Z237" s="3"/>
      <c r="AA237" s="3"/>
      <c r="AB237" s="3"/>
      <c r="AC237" s="14" t="str">
        <f t="shared" si="38"/>
        <v/>
      </c>
      <c r="AD237" s="14" t="str">
        <f t="shared" si="39"/>
        <v/>
      </c>
    </row>
    <row r="238" spans="1:30">
      <c r="A238">
        <f t="shared" si="30"/>
        <v>235</v>
      </c>
      <c r="B238" s="2"/>
      <c r="C238" s="18"/>
      <c r="D238" s="2"/>
      <c r="E238" s="2"/>
      <c r="F238" s="3"/>
      <c r="G238" s="16"/>
      <c r="H238" s="16"/>
      <c r="I238" s="17" t="str">
        <f t="shared" ca="1" si="31"/>
        <v/>
      </c>
      <c r="J238" s="13" t="str">
        <f>IF(F238="","",'GİDER AYARLARI'!$B$4)</f>
        <v/>
      </c>
      <c r="K238" s="13" t="str">
        <f>IF(F238="","",'GİDER AYARLARI'!$B$5)</f>
        <v/>
      </c>
      <c r="L238" s="13" t="str">
        <f>IF(F238="","",'GİDER AYARLARI'!$B$6)</f>
        <v/>
      </c>
      <c r="M238" s="13" t="str">
        <f>IF(F238="","",'GİDER AYARLARI'!$B$7)</f>
        <v/>
      </c>
      <c r="N238" s="3"/>
      <c r="O238" s="13" t="str">
        <f ca="1">IF(OR(F238="",I238=""),"",IFERROR(IF(VLOOKUP(E238,'ALIM AYARLARI'!$A$4:$D$20,2,FALSE)="EVET",F238*'GİDER AYARLARI'!$B$8*I238/30,0),0))</f>
        <v/>
      </c>
      <c r="P238" s="14" t="str">
        <f t="shared" si="32"/>
        <v/>
      </c>
      <c r="Q238" s="14" t="str">
        <f t="shared" si="33"/>
        <v/>
      </c>
      <c r="R238" s="2"/>
      <c r="S238" s="2"/>
      <c r="T238" s="3"/>
      <c r="U238" s="14" t="str">
        <f t="shared" si="34"/>
        <v/>
      </c>
      <c r="V238" s="14" t="str">
        <f t="shared" si="35"/>
        <v/>
      </c>
      <c r="W238" s="15" t="str">
        <f t="shared" si="36"/>
        <v/>
      </c>
      <c r="X238" s="12" t="str">
        <f t="shared" si="37"/>
        <v/>
      </c>
      <c r="Y238" s="2"/>
      <c r="Z238" s="3"/>
      <c r="AA238" s="3"/>
      <c r="AB238" s="3"/>
      <c r="AC238" s="14" t="str">
        <f t="shared" si="38"/>
        <v/>
      </c>
      <c r="AD238" s="14" t="str">
        <f t="shared" si="39"/>
        <v/>
      </c>
    </row>
    <row r="239" spans="1:30">
      <c r="A239">
        <f t="shared" si="30"/>
        <v>236</v>
      </c>
      <c r="B239" s="2"/>
      <c r="C239" s="18"/>
      <c r="D239" s="2"/>
      <c r="E239" s="2"/>
      <c r="F239" s="3"/>
      <c r="G239" s="16"/>
      <c r="H239" s="16"/>
      <c r="I239" s="17" t="str">
        <f t="shared" ca="1" si="31"/>
        <v/>
      </c>
      <c r="J239" s="13" t="str">
        <f>IF(F239="","",'GİDER AYARLARI'!$B$4)</f>
        <v/>
      </c>
      <c r="K239" s="13" t="str">
        <f>IF(F239="","",'GİDER AYARLARI'!$B$5)</f>
        <v/>
      </c>
      <c r="L239" s="13" t="str">
        <f>IF(F239="","",'GİDER AYARLARI'!$B$6)</f>
        <v/>
      </c>
      <c r="M239" s="13" t="str">
        <f>IF(F239="","",'GİDER AYARLARI'!$B$7)</f>
        <v/>
      </c>
      <c r="N239" s="3"/>
      <c r="O239" s="13" t="str">
        <f ca="1">IF(OR(F239="",I239=""),"",IFERROR(IF(VLOOKUP(E239,'ALIM AYARLARI'!$A$4:$D$20,2,FALSE)="EVET",F239*'GİDER AYARLARI'!$B$8*I239/30,0),0))</f>
        <v/>
      </c>
      <c r="P239" s="14" t="str">
        <f t="shared" si="32"/>
        <v/>
      </c>
      <c r="Q239" s="14" t="str">
        <f t="shared" si="33"/>
        <v/>
      </c>
      <c r="R239" s="2"/>
      <c r="S239" s="2"/>
      <c r="T239" s="3"/>
      <c r="U239" s="14" t="str">
        <f t="shared" si="34"/>
        <v/>
      </c>
      <c r="V239" s="14" t="str">
        <f t="shared" si="35"/>
        <v/>
      </c>
      <c r="W239" s="15" t="str">
        <f t="shared" si="36"/>
        <v/>
      </c>
      <c r="X239" s="12" t="str">
        <f t="shared" si="37"/>
        <v/>
      </c>
      <c r="Y239" s="2"/>
      <c r="Z239" s="3"/>
      <c r="AA239" s="3"/>
      <c r="AB239" s="3"/>
      <c r="AC239" s="14" t="str">
        <f t="shared" si="38"/>
        <v/>
      </c>
      <c r="AD239" s="14" t="str">
        <f t="shared" si="39"/>
        <v/>
      </c>
    </row>
    <row r="240" spans="1:30">
      <c r="A240">
        <f t="shared" si="30"/>
        <v>237</v>
      </c>
      <c r="B240" s="2"/>
      <c r="C240" s="18"/>
      <c r="D240" s="2"/>
      <c r="E240" s="2"/>
      <c r="F240" s="3"/>
      <c r="G240" s="16"/>
      <c r="H240" s="16"/>
      <c r="I240" s="17" t="str">
        <f t="shared" ca="1" si="31"/>
        <v/>
      </c>
      <c r="J240" s="13" t="str">
        <f>IF(F240="","",'GİDER AYARLARI'!$B$4)</f>
        <v/>
      </c>
      <c r="K240" s="13" t="str">
        <f>IF(F240="","",'GİDER AYARLARI'!$B$5)</f>
        <v/>
      </c>
      <c r="L240" s="13" t="str">
        <f>IF(F240="","",'GİDER AYARLARI'!$B$6)</f>
        <v/>
      </c>
      <c r="M240" s="13" t="str">
        <f>IF(F240="","",'GİDER AYARLARI'!$B$7)</f>
        <v/>
      </c>
      <c r="N240" s="3"/>
      <c r="O240" s="13" t="str">
        <f ca="1">IF(OR(F240="",I240=""),"",IFERROR(IF(VLOOKUP(E240,'ALIM AYARLARI'!$A$4:$D$20,2,FALSE)="EVET",F240*'GİDER AYARLARI'!$B$8*I240/30,0),0))</f>
        <v/>
      </c>
      <c r="P240" s="14" t="str">
        <f t="shared" si="32"/>
        <v/>
      </c>
      <c r="Q240" s="14" t="str">
        <f t="shared" si="33"/>
        <v/>
      </c>
      <c r="R240" s="2"/>
      <c r="S240" s="2"/>
      <c r="T240" s="3"/>
      <c r="U240" s="14" t="str">
        <f t="shared" si="34"/>
        <v/>
      </c>
      <c r="V240" s="14" t="str">
        <f t="shared" si="35"/>
        <v/>
      </c>
      <c r="W240" s="15" t="str">
        <f t="shared" si="36"/>
        <v/>
      </c>
      <c r="X240" s="12" t="str">
        <f t="shared" si="37"/>
        <v/>
      </c>
      <c r="Y240" s="2"/>
      <c r="Z240" s="3"/>
      <c r="AA240" s="3"/>
      <c r="AB240" s="3"/>
      <c r="AC240" s="14" t="str">
        <f t="shared" si="38"/>
        <v/>
      </c>
      <c r="AD240" s="14" t="str">
        <f t="shared" si="39"/>
        <v/>
      </c>
    </row>
    <row r="241" spans="1:30">
      <c r="A241">
        <f t="shared" si="30"/>
        <v>238</v>
      </c>
      <c r="B241" s="2"/>
      <c r="C241" s="18"/>
      <c r="D241" s="2"/>
      <c r="E241" s="2"/>
      <c r="F241" s="3"/>
      <c r="G241" s="16"/>
      <c r="H241" s="16"/>
      <c r="I241" s="17" t="str">
        <f t="shared" ca="1" si="31"/>
        <v/>
      </c>
      <c r="J241" s="13" t="str">
        <f>IF(F241="","",'GİDER AYARLARI'!$B$4)</f>
        <v/>
      </c>
      <c r="K241" s="13" t="str">
        <f>IF(F241="","",'GİDER AYARLARI'!$B$5)</f>
        <v/>
      </c>
      <c r="L241" s="13" t="str">
        <f>IF(F241="","",'GİDER AYARLARI'!$B$6)</f>
        <v/>
      </c>
      <c r="M241" s="13" t="str">
        <f>IF(F241="","",'GİDER AYARLARI'!$B$7)</f>
        <v/>
      </c>
      <c r="N241" s="3"/>
      <c r="O241" s="13" t="str">
        <f ca="1">IF(OR(F241="",I241=""),"",IFERROR(IF(VLOOKUP(E241,'ALIM AYARLARI'!$A$4:$D$20,2,FALSE)="EVET",F241*'GİDER AYARLARI'!$B$8*I241/30,0),0))</f>
        <v/>
      </c>
      <c r="P241" s="14" t="str">
        <f t="shared" si="32"/>
        <v/>
      </c>
      <c r="Q241" s="14" t="str">
        <f t="shared" si="33"/>
        <v/>
      </c>
      <c r="R241" s="2"/>
      <c r="S241" s="2"/>
      <c r="T241" s="3"/>
      <c r="U241" s="14" t="str">
        <f t="shared" si="34"/>
        <v/>
      </c>
      <c r="V241" s="14" t="str">
        <f t="shared" si="35"/>
        <v/>
      </c>
      <c r="W241" s="15" t="str">
        <f t="shared" si="36"/>
        <v/>
      </c>
      <c r="X241" s="12" t="str">
        <f t="shared" si="37"/>
        <v/>
      </c>
      <c r="Y241" s="2"/>
      <c r="Z241" s="3"/>
      <c r="AA241" s="3"/>
      <c r="AB241" s="3"/>
      <c r="AC241" s="14" t="str">
        <f t="shared" si="38"/>
        <v/>
      </c>
      <c r="AD241" s="14" t="str">
        <f t="shared" si="39"/>
        <v/>
      </c>
    </row>
    <row r="242" spans="1:30">
      <c r="A242">
        <f t="shared" si="30"/>
        <v>239</v>
      </c>
      <c r="B242" s="2"/>
      <c r="C242" s="18"/>
      <c r="D242" s="2"/>
      <c r="E242" s="2"/>
      <c r="F242" s="3"/>
      <c r="G242" s="16"/>
      <c r="H242" s="16"/>
      <c r="I242" s="17" t="str">
        <f t="shared" ca="1" si="31"/>
        <v/>
      </c>
      <c r="J242" s="13" t="str">
        <f>IF(F242="","",'GİDER AYARLARI'!$B$4)</f>
        <v/>
      </c>
      <c r="K242" s="13" t="str">
        <f>IF(F242="","",'GİDER AYARLARI'!$B$5)</f>
        <v/>
      </c>
      <c r="L242" s="13" t="str">
        <f>IF(F242="","",'GİDER AYARLARI'!$B$6)</f>
        <v/>
      </c>
      <c r="M242" s="13" t="str">
        <f>IF(F242="","",'GİDER AYARLARI'!$B$7)</f>
        <v/>
      </c>
      <c r="N242" s="3"/>
      <c r="O242" s="13" t="str">
        <f ca="1">IF(OR(F242="",I242=""),"",IFERROR(IF(VLOOKUP(E242,'ALIM AYARLARI'!$A$4:$D$20,2,FALSE)="EVET",F242*'GİDER AYARLARI'!$B$8*I242/30,0),0))</f>
        <v/>
      </c>
      <c r="P242" s="14" t="str">
        <f t="shared" si="32"/>
        <v/>
      </c>
      <c r="Q242" s="14" t="str">
        <f t="shared" si="33"/>
        <v/>
      </c>
      <c r="R242" s="2"/>
      <c r="S242" s="2"/>
      <c r="T242" s="3"/>
      <c r="U242" s="14" t="str">
        <f t="shared" si="34"/>
        <v/>
      </c>
      <c r="V242" s="14" t="str">
        <f t="shared" si="35"/>
        <v/>
      </c>
      <c r="W242" s="15" t="str">
        <f t="shared" si="36"/>
        <v/>
      </c>
      <c r="X242" s="12" t="str">
        <f t="shared" si="37"/>
        <v/>
      </c>
      <c r="Y242" s="2"/>
      <c r="Z242" s="3"/>
      <c r="AA242" s="3"/>
      <c r="AB242" s="3"/>
      <c r="AC242" s="14" t="str">
        <f t="shared" si="38"/>
        <v/>
      </c>
      <c r="AD242" s="14" t="str">
        <f t="shared" si="39"/>
        <v/>
      </c>
    </row>
    <row r="243" spans="1:30">
      <c r="A243">
        <f t="shared" si="30"/>
        <v>240</v>
      </c>
      <c r="B243" s="2"/>
      <c r="C243" s="18"/>
      <c r="D243" s="2"/>
      <c r="E243" s="2"/>
      <c r="F243" s="3"/>
      <c r="G243" s="16"/>
      <c r="H243" s="16"/>
      <c r="I243" s="17" t="str">
        <f t="shared" ca="1" si="31"/>
        <v/>
      </c>
      <c r="J243" s="13" t="str">
        <f>IF(F243="","",'GİDER AYARLARI'!$B$4)</f>
        <v/>
      </c>
      <c r="K243" s="13" t="str">
        <f>IF(F243="","",'GİDER AYARLARI'!$B$5)</f>
        <v/>
      </c>
      <c r="L243" s="13" t="str">
        <f>IF(F243="","",'GİDER AYARLARI'!$B$6)</f>
        <v/>
      </c>
      <c r="M243" s="13" t="str">
        <f>IF(F243="","",'GİDER AYARLARI'!$B$7)</f>
        <v/>
      </c>
      <c r="N243" s="3"/>
      <c r="O243" s="13" t="str">
        <f ca="1">IF(OR(F243="",I243=""),"",IFERROR(IF(VLOOKUP(E243,'ALIM AYARLARI'!$A$4:$D$20,2,FALSE)="EVET",F243*'GİDER AYARLARI'!$B$8*I243/30,0),0))</f>
        <v/>
      </c>
      <c r="P243" s="14" t="str">
        <f t="shared" si="32"/>
        <v/>
      </c>
      <c r="Q243" s="14" t="str">
        <f t="shared" si="33"/>
        <v/>
      </c>
      <c r="R243" s="2"/>
      <c r="S243" s="2"/>
      <c r="T243" s="3"/>
      <c r="U243" s="14" t="str">
        <f t="shared" si="34"/>
        <v/>
      </c>
      <c r="V243" s="14" t="str">
        <f t="shared" si="35"/>
        <v/>
      </c>
      <c r="W243" s="15" t="str">
        <f t="shared" si="36"/>
        <v/>
      </c>
      <c r="X243" s="12" t="str">
        <f t="shared" si="37"/>
        <v/>
      </c>
      <c r="Y243" s="2"/>
      <c r="Z243" s="3"/>
      <c r="AA243" s="3"/>
      <c r="AB243" s="3"/>
      <c r="AC243" s="14" t="str">
        <f t="shared" si="38"/>
        <v/>
      </c>
      <c r="AD243" s="14" t="str">
        <f t="shared" si="39"/>
        <v/>
      </c>
    </row>
    <row r="244" spans="1:30">
      <c r="A244">
        <f t="shared" si="30"/>
        <v>241</v>
      </c>
      <c r="B244" s="2"/>
      <c r="C244" s="18"/>
      <c r="D244" s="2"/>
      <c r="E244" s="2"/>
      <c r="F244" s="3"/>
      <c r="G244" s="16"/>
      <c r="H244" s="16"/>
      <c r="I244" s="17" t="str">
        <f t="shared" ca="1" si="31"/>
        <v/>
      </c>
      <c r="J244" s="13" t="str">
        <f>IF(F244="","",'GİDER AYARLARI'!$B$4)</f>
        <v/>
      </c>
      <c r="K244" s="13" t="str">
        <f>IF(F244="","",'GİDER AYARLARI'!$B$5)</f>
        <v/>
      </c>
      <c r="L244" s="13" t="str">
        <f>IF(F244="","",'GİDER AYARLARI'!$B$6)</f>
        <v/>
      </c>
      <c r="M244" s="13" t="str">
        <f>IF(F244="","",'GİDER AYARLARI'!$B$7)</f>
        <v/>
      </c>
      <c r="N244" s="3"/>
      <c r="O244" s="13" t="str">
        <f ca="1">IF(OR(F244="",I244=""),"",IFERROR(IF(VLOOKUP(E244,'ALIM AYARLARI'!$A$4:$D$20,2,FALSE)="EVET",F244*'GİDER AYARLARI'!$B$8*I244/30,0),0))</f>
        <v/>
      </c>
      <c r="P244" s="14" t="str">
        <f t="shared" si="32"/>
        <v/>
      </c>
      <c r="Q244" s="14" t="str">
        <f t="shared" si="33"/>
        <v/>
      </c>
      <c r="R244" s="2"/>
      <c r="S244" s="2"/>
      <c r="T244" s="3"/>
      <c r="U244" s="14" t="str">
        <f t="shared" si="34"/>
        <v/>
      </c>
      <c r="V244" s="14" t="str">
        <f t="shared" si="35"/>
        <v/>
      </c>
      <c r="W244" s="15" t="str">
        <f t="shared" si="36"/>
        <v/>
      </c>
      <c r="X244" s="12" t="str">
        <f t="shared" si="37"/>
        <v/>
      </c>
      <c r="Y244" s="2"/>
      <c r="Z244" s="3"/>
      <c r="AA244" s="3"/>
      <c r="AB244" s="3"/>
      <c r="AC244" s="14" t="str">
        <f t="shared" si="38"/>
        <v/>
      </c>
      <c r="AD244" s="14" t="str">
        <f t="shared" si="39"/>
        <v/>
      </c>
    </row>
    <row r="245" spans="1:30">
      <c r="A245">
        <f t="shared" si="30"/>
        <v>242</v>
      </c>
      <c r="B245" s="2"/>
      <c r="C245" s="18"/>
      <c r="D245" s="2"/>
      <c r="E245" s="2"/>
      <c r="F245" s="3"/>
      <c r="G245" s="16"/>
      <c r="H245" s="16"/>
      <c r="I245" s="17" t="str">
        <f t="shared" ca="1" si="31"/>
        <v/>
      </c>
      <c r="J245" s="13" t="str">
        <f>IF(F245="","",'GİDER AYARLARI'!$B$4)</f>
        <v/>
      </c>
      <c r="K245" s="13" t="str">
        <f>IF(F245="","",'GİDER AYARLARI'!$B$5)</f>
        <v/>
      </c>
      <c r="L245" s="13" t="str">
        <f>IF(F245="","",'GİDER AYARLARI'!$B$6)</f>
        <v/>
      </c>
      <c r="M245" s="13" t="str">
        <f>IF(F245="","",'GİDER AYARLARI'!$B$7)</f>
        <v/>
      </c>
      <c r="N245" s="3"/>
      <c r="O245" s="13" t="str">
        <f ca="1">IF(OR(F245="",I245=""),"",IFERROR(IF(VLOOKUP(E245,'ALIM AYARLARI'!$A$4:$D$20,2,FALSE)="EVET",F245*'GİDER AYARLARI'!$B$8*I245/30,0),0))</f>
        <v/>
      </c>
      <c r="P245" s="14" t="str">
        <f t="shared" si="32"/>
        <v/>
      </c>
      <c r="Q245" s="14" t="str">
        <f t="shared" si="33"/>
        <v/>
      </c>
      <c r="R245" s="2"/>
      <c r="S245" s="2"/>
      <c r="T245" s="3"/>
      <c r="U245" s="14" t="str">
        <f t="shared" si="34"/>
        <v/>
      </c>
      <c r="V245" s="14" t="str">
        <f t="shared" si="35"/>
        <v/>
      </c>
      <c r="W245" s="15" t="str">
        <f t="shared" si="36"/>
        <v/>
      </c>
      <c r="X245" s="12" t="str">
        <f t="shared" si="37"/>
        <v/>
      </c>
      <c r="Y245" s="2"/>
      <c r="Z245" s="3"/>
      <c r="AA245" s="3"/>
      <c r="AB245" s="3"/>
      <c r="AC245" s="14" t="str">
        <f t="shared" si="38"/>
        <v/>
      </c>
      <c r="AD245" s="14" t="str">
        <f t="shared" si="39"/>
        <v/>
      </c>
    </row>
    <row r="246" spans="1:30">
      <c r="A246">
        <f t="shared" si="30"/>
        <v>243</v>
      </c>
      <c r="B246" s="2"/>
      <c r="C246" s="18"/>
      <c r="D246" s="2"/>
      <c r="E246" s="2"/>
      <c r="F246" s="3"/>
      <c r="G246" s="16"/>
      <c r="H246" s="16"/>
      <c r="I246" s="17" t="str">
        <f t="shared" ca="1" si="31"/>
        <v/>
      </c>
      <c r="J246" s="13" t="str">
        <f>IF(F246="","",'GİDER AYARLARI'!$B$4)</f>
        <v/>
      </c>
      <c r="K246" s="13" t="str">
        <f>IF(F246="","",'GİDER AYARLARI'!$B$5)</f>
        <v/>
      </c>
      <c r="L246" s="13" t="str">
        <f>IF(F246="","",'GİDER AYARLARI'!$B$6)</f>
        <v/>
      </c>
      <c r="M246" s="13" t="str">
        <f>IF(F246="","",'GİDER AYARLARI'!$B$7)</f>
        <v/>
      </c>
      <c r="N246" s="3"/>
      <c r="O246" s="13" t="str">
        <f ca="1">IF(OR(F246="",I246=""),"",IFERROR(IF(VLOOKUP(E246,'ALIM AYARLARI'!$A$4:$D$20,2,FALSE)="EVET",F246*'GİDER AYARLARI'!$B$8*I246/30,0),0))</f>
        <v/>
      </c>
      <c r="P246" s="14" t="str">
        <f t="shared" si="32"/>
        <v/>
      </c>
      <c r="Q246" s="14" t="str">
        <f t="shared" si="33"/>
        <v/>
      </c>
      <c r="R246" s="2"/>
      <c r="S246" s="2"/>
      <c r="T246" s="3"/>
      <c r="U246" s="14" t="str">
        <f t="shared" si="34"/>
        <v/>
      </c>
      <c r="V246" s="14" t="str">
        <f t="shared" si="35"/>
        <v/>
      </c>
      <c r="W246" s="15" t="str">
        <f t="shared" si="36"/>
        <v/>
      </c>
      <c r="X246" s="12" t="str">
        <f t="shared" si="37"/>
        <v/>
      </c>
      <c r="Y246" s="2"/>
      <c r="Z246" s="3"/>
      <c r="AA246" s="3"/>
      <c r="AB246" s="3"/>
      <c r="AC246" s="14" t="str">
        <f t="shared" si="38"/>
        <v/>
      </c>
      <c r="AD246" s="14" t="str">
        <f t="shared" si="39"/>
        <v/>
      </c>
    </row>
    <row r="247" spans="1:30">
      <c r="A247">
        <f t="shared" si="30"/>
        <v>244</v>
      </c>
      <c r="B247" s="2"/>
      <c r="C247" s="18"/>
      <c r="D247" s="2"/>
      <c r="E247" s="2"/>
      <c r="F247" s="3"/>
      <c r="G247" s="16"/>
      <c r="H247" s="16"/>
      <c r="I247" s="17" t="str">
        <f t="shared" ca="1" si="31"/>
        <v/>
      </c>
      <c r="J247" s="13" t="str">
        <f>IF(F247="","",'GİDER AYARLARI'!$B$4)</f>
        <v/>
      </c>
      <c r="K247" s="13" t="str">
        <f>IF(F247="","",'GİDER AYARLARI'!$B$5)</f>
        <v/>
      </c>
      <c r="L247" s="13" t="str">
        <f>IF(F247="","",'GİDER AYARLARI'!$B$6)</f>
        <v/>
      </c>
      <c r="M247" s="13" t="str">
        <f>IF(F247="","",'GİDER AYARLARI'!$B$7)</f>
        <v/>
      </c>
      <c r="N247" s="3"/>
      <c r="O247" s="13" t="str">
        <f ca="1">IF(OR(F247="",I247=""),"",IFERROR(IF(VLOOKUP(E247,'ALIM AYARLARI'!$A$4:$D$20,2,FALSE)="EVET",F247*'GİDER AYARLARI'!$B$8*I247/30,0),0))</f>
        <v/>
      </c>
      <c r="P247" s="14" t="str">
        <f t="shared" si="32"/>
        <v/>
      </c>
      <c r="Q247" s="14" t="str">
        <f t="shared" si="33"/>
        <v/>
      </c>
      <c r="R247" s="2"/>
      <c r="S247" s="2"/>
      <c r="T247" s="3"/>
      <c r="U247" s="14" t="str">
        <f t="shared" si="34"/>
        <v/>
      </c>
      <c r="V247" s="14" t="str">
        <f t="shared" si="35"/>
        <v/>
      </c>
      <c r="W247" s="15" t="str">
        <f t="shared" si="36"/>
        <v/>
      </c>
      <c r="X247" s="12" t="str">
        <f t="shared" si="37"/>
        <v/>
      </c>
      <c r="Y247" s="2"/>
      <c r="Z247" s="3"/>
      <c r="AA247" s="3"/>
      <c r="AB247" s="3"/>
      <c r="AC247" s="14" t="str">
        <f t="shared" si="38"/>
        <v/>
      </c>
      <c r="AD247" s="14" t="str">
        <f t="shared" si="39"/>
        <v/>
      </c>
    </row>
    <row r="248" spans="1:30">
      <c r="A248">
        <f t="shared" si="30"/>
        <v>245</v>
      </c>
      <c r="B248" s="2"/>
      <c r="C248" s="18"/>
      <c r="D248" s="2"/>
      <c r="E248" s="2"/>
      <c r="F248" s="3"/>
      <c r="G248" s="16"/>
      <c r="H248" s="16"/>
      <c r="I248" s="17" t="str">
        <f t="shared" ca="1" si="31"/>
        <v/>
      </c>
      <c r="J248" s="13" t="str">
        <f>IF(F248="","",'GİDER AYARLARI'!$B$4)</f>
        <v/>
      </c>
      <c r="K248" s="13" t="str">
        <f>IF(F248="","",'GİDER AYARLARI'!$B$5)</f>
        <v/>
      </c>
      <c r="L248" s="13" t="str">
        <f>IF(F248="","",'GİDER AYARLARI'!$B$6)</f>
        <v/>
      </c>
      <c r="M248" s="13" t="str">
        <f>IF(F248="","",'GİDER AYARLARI'!$B$7)</f>
        <v/>
      </c>
      <c r="N248" s="3"/>
      <c r="O248" s="13" t="str">
        <f ca="1">IF(OR(F248="",I248=""),"",IFERROR(IF(VLOOKUP(E248,'ALIM AYARLARI'!$A$4:$D$20,2,FALSE)="EVET",F248*'GİDER AYARLARI'!$B$8*I248/30,0),0))</f>
        <v/>
      </c>
      <c r="P248" s="14" t="str">
        <f t="shared" si="32"/>
        <v/>
      </c>
      <c r="Q248" s="14" t="str">
        <f t="shared" si="33"/>
        <v/>
      </c>
      <c r="R248" s="2"/>
      <c r="S248" s="2"/>
      <c r="T248" s="3"/>
      <c r="U248" s="14" t="str">
        <f t="shared" si="34"/>
        <v/>
      </c>
      <c r="V248" s="14" t="str">
        <f t="shared" si="35"/>
        <v/>
      </c>
      <c r="W248" s="15" t="str">
        <f t="shared" si="36"/>
        <v/>
      </c>
      <c r="X248" s="12" t="str">
        <f t="shared" si="37"/>
        <v/>
      </c>
      <c r="Y248" s="2"/>
      <c r="Z248" s="3"/>
      <c r="AA248" s="3"/>
      <c r="AB248" s="3"/>
      <c r="AC248" s="14" t="str">
        <f t="shared" si="38"/>
        <v/>
      </c>
      <c r="AD248" s="14" t="str">
        <f t="shared" si="39"/>
        <v/>
      </c>
    </row>
    <row r="249" spans="1:30">
      <c r="A249">
        <f t="shared" si="30"/>
        <v>246</v>
      </c>
      <c r="B249" s="2"/>
      <c r="C249" s="18"/>
      <c r="D249" s="2"/>
      <c r="E249" s="2"/>
      <c r="F249" s="3"/>
      <c r="G249" s="16"/>
      <c r="H249" s="16"/>
      <c r="I249" s="17" t="str">
        <f t="shared" ca="1" si="31"/>
        <v/>
      </c>
      <c r="J249" s="13" t="str">
        <f>IF(F249="","",'GİDER AYARLARI'!$B$4)</f>
        <v/>
      </c>
      <c r="K249" s="13" t="str">
        <f>IF(F249="","",'GİDER AYARLARI'!$B$5)</f>
        <v/>
      </c>
      <c r="L249" s="13" t="str">
        <f>IF(F249="","",'GİDER AYARLARI'!$B$6)</f>
        <v/>
      </c>
      <c r="M249" s="13" t="str">
        <f>IF(F249="","",'GİDER AYARLARI'!$B$7)</f>
        <v/>
      </c>
      <c r="N249" s="3"/>
      <c r="O249" s="13" t="str">
        <f ca="1">IF(OR(F249="",I249=""),"",IFERROR(IF(VLOOKUP(E249,'ALIM AYARLARI'!$A$4:$D$20,2,FALSE)="EVET",F249*'GİDER AYARLARI'!$B$8*I249/30,0),0))</f>
        <v/>
      </c>
      <c r="P249" s="14" t="str">
        <f t="shared" si="32"/>
        <v/>
      </c>
      <c r="Q249" s="14" t="str">
        <f t="shared" si="33"/>
        <v/>
      </c>
      <c r="R249" s="2"/>
      <c r="S249" s="2"/>
      <c r="T249" s="3"/>
      <c r="U249" s="14" t="str">
        <f t="shared" si="34"/>
        <v/>
      </c>
      <c r="V249" s="14" t="str">
        <f t="shared" si="35"/>
        <v/>
      </c>
      <c r="W249" s="15" t="str">
        <f t="shared" si="36"/>
        <v/>
      </c>
      <c r="X249" s="12" t="str">
        <f t="shared" si="37"/>
        <v/>
      </c>
      <c r="Y249" s="2"/>
      <c r="Z249" s="3"/>
      <c r="AA249" s="3"/>
      <c r="AB249" s="3"/>
      <c r="AC249" s="14" t="str">
        <f t="shared" si="38"/>
        <v/>
      </c>
      <c r="AD249" s="14" t="str">
        <f t="shared" si="39"/>
        <v/>
      </c>
    </row>
    <row r="250" spans="1:30">
      <c r="A250">
        <f t="shared" si="30"/>
        <v>247</v>
      </c>
      <c r="B250" s="2"/>
      <c r="C250" s="18"/>
      <c r="D250" s="2"/>
      <c r="E250" s="2"/>
      <c r="F250" s="3"/>
      <c r="G250" s="16"/>
      <c r="H250" s="16"/>
      <c r="I250" s="17" t="str">
        <f t="shared" ca="1" si="31"/>
        <v/>
      </c>
      <c r="J250" s="13" t="str">
        <f>IF(F250="","",'GİDER AYARLARI'!$B$4)</f>
        <v/>
      </c>
      <c r="K250" s="13" t="str">
        <f>IF(F250="","",'GİDER AYARLARI'!$B$5)</f>
        <v/>
      </c>
      <c r="L250" s="13" t="str">
        <f>IF(F250="","",'GİDER AYARLARI'!$B$6)</f>
        <v/>
      </c>
      <c r="M250" s="13" t="str">
        <f>IF(F250="","",'GİDER AYARLARI'!$B$7)</f>
        <v/>
      </c>
      <c r="N250" s="3"/>
      <c r="O250" s="13" t="str">
        <f ca="1">IF(OR(F250="",I250=""),"",IFERROR(IF(VLOOKUP(E250,'ALIM AYARLARI'!$A$4:$D$20,2,FALSE)="EVET",F250*'GİDER AYARLARI'!$B$8*I250/30,0),0))</f>
        <v/>
      </c>
      <c r="P250" s="14" t="str">
        <f t="shared" si="32"/>
        <v/>
      </c>
      <c r="Q250" s="14" t="str">
        <f t="shared" si="33"/>
        <v/>
      </c>
      <c r="R250" s="2"/>
      <c r="S250" s="2"/>
      <c r="T250" s="3"/>
      <c r="U250" s="14" t="str">
        <f t="shared" si="34"/>
        <v/>
      </c>
      <c r="V250" s="14" t="str">
        <f t="shared" si="35"/>
        <v/>
      </c>
      <c r="W250" s="15" t="str">
        <f t="shared" si="36"/>
        <v/>
      </c>
      <c r="X250" s="12" t="str">
        <f t="shared" si="37"/>
        <v/>
      </c>
      <c r="Y250" s="2"/>
      <c r="Z250" s="3"/>
      <c r="AA250" s="3"/>
      <c r="AB250" s="3"/>
      <c r="AC250" s="14" t="str">
        <f t="shared" si="38"/>
        <v/>
      </c>
      <c r="AD250" s="14" t="str">
        <f t="shared" si="39"/>
        <v/>
      </c>
    </row>
    <row r="251" spans="1:30">
      <c r="A251">
        <f t="shared" si="30"/>
        <v>248</v>
      </c>
      <c r="B251" s="2"/>
      <c r="C251" s="18"/>
      <c r="D251" s="2"/>
      <c r="E251" s="2"/>
      <c r="F251" s="3"/>
      <c r="G251" s="16"/>
      <c r="H251" s="16"/>
      <c r="I251" s="17" t="str">
        <f t="shared" ca="1" si="31"/>
        <v/>
      </c>
      <c r="J251" s="13" t="str">
        <f>IF(F251="","",'GİDER AYARLARI'!$B$4)</f>
        <v/>
      </c>
      <c r="K251" s="13" t="str">
        <f>IF(F251="","",'GİDER AYARLARI'!$B$5)</f>
        <v/>
      </c>
      <c r="L251" s="13" t="str">
        <f>IF(F251="","",'GİDER AYARLARI'!$B$6)</f>
        <v/>
      </c>
      <c r="M251" s="13" t="str">
        <f>IF(F251="","",'GİDER AYARLARI'!$B$7)</f>
        <v/>
      </c>
      <c r="N251" s="3"/>
      <c r="O251" s="13" t="str">
        <f ca="1">IF(OR(F251="",I251=""),"",IFERROR(IF(VLOOKUP(E251,'ALIM AYARLARI'!$A$4:$D$20,2,FALSE)="EVET",F251*'GİDER AYARLARI'!$B$8*I251/30,0),0))</f>
        <v/>
      </c>
      <c r="P251" s="14" t="str">
        <f t="shared" si="32"/>
        <v/>
      </c>
      <c r="Q251" s="14" t="str">
        <f t="shared" si="33"/>
        <v/>
      </c>
      <c r="R251" s="2"/>
      <c r="S251" s="2"/>
      <c r="T251" s="3"/>
      <c r="U251" s="14" t="str">
        <f t="shared" si="34"/>
        <v/>
      </c>
      <c r="V251" s="14" t="str">
        <f t="shared" si="35"/>
        <v/>
      </c>
      <c r="W251" s="15" t="str">
        <f t="shared" si="36"/>
        <v/>
      </c>
      <c r="X251" s="12" t="str">
        <f t="shared" si="37"/>
        <v/>
      </c>
      <c r="Y251" s="2"/>
      <c r="Z251" s="3"/>
      <c r="AA251" s="3"/>
      <c r="AB251" s="3"/>
      <c r="AC251" s="14" t="str">
        <f t="shared" si="38"/>
        <v/>
      </c>
      <c r="AD251" s="14" t="str">
        <f t="shared" si="39"/>
        <v/>
      </c>
    </row>
    <row r="252" spans="1:30">
      <c r="A252">
        <f t="shared" si="30"/>
        <v>249</v>
      </c>
      <c r="B252" s="2"/>
      <c r="C252" s="18"/>
      <c r="D252" s="2"/>
      <c r="E252" s="2"/>
      <c r="F252" s="3"/>
      <c r="G252" s="16"/>
      <c r="H252" s="16"/>
      <c r="I252" s="17" t="str">
        <f t="shared" ca="1" si="31"/>
        <v/>
      </c>
      <c r="J252" s="13" t="str">
        <f>IF(F252="","",'GİDER AYARLARI'!$B$4)</f>
        <v/>
      </c>
      <c r="K252" s="13" t="str">
        <f>IF(F252="","",'GİDER AYARLARI'!$B$5)</f>
        <v/>
      </c>
      <c r="L252" s="13" t="str">
        <f>IF(F252="","",'GİDER AYARLARI'!$B$6)</f>
        <v/>
      </c>
      <c r="M252" s="13" t="str">
        <f>IF(F252="","",'GİDER AYARLARI'!$B$7)</f>
        <v/>
      </c>
      <c r="N252" s="3"/>
      <c r="O252" s="13" t="str">
        <f ca="1">IF(OR(F252="",I252=""),"",IFERROR(IF(VLOOKUP(E252,'ALIM AYARLARI'!$A$4:$D$20,2,FALSE)="EVET",F252*'GİDER AYARLARI'!$B$8*I252/30,0),0))</f>
        <v/>
      </c>
      <c r="P252" s="14" t="str">
        <f t="shared" si="32"/>
        <v/>
      </c>
      <c r="Q252" s="14" t="str">
        <f t="shared" si="33"/>
        <v/>
      </c>
      <c r="R252" s="2"/>
      <c r="S252" s="2"/>
      <c r="T252" s="3"/>
      <c r="U252" s="14" t="str">
        <f t="shared" si="34"/>
        <v/>
      </c>
      <c r="V252" s="14" t="str">
        <f t="shared" si="35"/>
        <v/>
      </c>
      <c r="W252" s="15" t="str">
        <f t="shared" si="36"/>
        <v/>
      </c>
      <c r="X252" s="12" t="str">
        <f t="shared" si="37"/>
        <v/>
      </c>
      <c r="Y252" s="2"/>
      <c r="Z252" s="3"/>
      <c r="AA252" s="3"/>
      <c r="AB252" s="3"/>
      <c r="AC252" s="14" t="str">
        <f t="shared" si="38"/>
        <v/>
      </c>
      <c r="AD252" s="14" t="str">
        <f t="shared" si="39"/>
        <v/>
      </c>
    </row>
    <row r="253" spans="1:30">
      <c r="A253">
        <f t="shared" si="30"/>
        <v>250</v>
      </c>
      <c r="B253" s="2"/>
      <c r="C253" s="18"/>
      <c r="D253" s="2"/>
      <c r="E253" s="2"/>
      <c r="F253" s="3"/>
      <c r="G253" s="16"/>
      <c r="H253" s="16"/>
      <c r="I253" s="17" t="str">
        <f t="shared" ca="1" si="31"/>
        <v/>
      </c>
      <c r="J253" s="13" t="str">
        <f>IF(F253="","",'GİDER AYARLARI'!$B$4)</f>
        <v/>
      </c>
      <c r="K253" s="13" t="str">
        <f>IF(F253="","",'GİDER AYARLARI'!$B$5)</f>
        <v/>
      </c>
      <c r="L253" s="13" t="str">
        <f>IF(F253="","",'GİDER AYARLARI'!$B$6)</f>
        <v/>
      </c>
      <c r="M253" s="13" t="str">
        <f>IF(F253="","",'GİDER AYARLARI'!$B$7)</f>
        <v/>
      </c>
      <c r="N253" s="3"/>
      <c r="O253" s="13" t="str">
        <f ca="1">IF(OR(F253="",I253=""),"",IFERROR(IF(VLOOKUP(E253,'ALIM AYARLARI'!$A$4:$D$20,2,FALSE)="EVET",F253*'GİDER AYARLARI'!$B$8*I253/30,0),0))</f>
        <v/>
      </c>
      <c r="P253" s="14" t="str">
        <f t="shared" si="32"/>
        <v/>
      </c>
      <c r="Q253" s="14" t="str">
        <f t="shared" si="33"/>
        <v/>
      </c>
      <c r="R253" s="2"/>
      <c r="S253" s="2"/>
      <c r="T253" s="3"/>
      <c r="U253" s="14" t="str">
        <f t="shared" si="34"/>
        <v/>
      </c>
      <c r="V253" s="14" t="str">
        <f t="shared" si="35"/>
        <v/>
      </c>
      <c r="W253" s="15" t="str">
        <f t="shared" si="36"/>
        <v/>
      </c>
      <c r="X253" s="12" t="str">
        <f t="shared" si="37"/>
        <v/>
      </c>
      <c r="Y253" s="2"/>
      <c r="Z253" s="3"/>
      <c r="AA253" s="3"/>
      <c r="AB253" s="3"/>
      <c r="AC253" s="14" t="str">
        <f t="shared" si="38"/>
        <v/>
      </c>
      <c r="AD253" s="14" t="str">
        <f t="shared" si="39"/>
        <v/>
      </c>
    </row>
    <row r="254" spans="1:30">
      <c r="A254">
        <f t="shared" si="30"/>
        <v>251</v>
      </c>
      <c r="B254" s="2"/>
      <c r="C254" s="18"/>
      <c r="D254" s="2"/>
      <c r="E254" s="2"/>
      <c r="F254" s="3"/>
      <c r="G254" s="16"/>
      <c r="H254" s="16"/>
      <c r="I254" s="17" t="str">
        <f t="shared" ca="1" si="31"/>
        <v/>
      </c>
      <c r="J254" s="13" t="str">
        <f>IF(F254="","",'GİDER AYARLARI'!$B$4)</f>
        <v/>
      </c>
      <c r="K254" s="13" t="str">
        <f>IF(F254="","",'GİDER AYARLARI'!$B$5)</f>
        <v/>
      </c>
      <c r="L254" s="13" t="str">
        <f>IF(F254="","",'GİDER AYARLARI'!$B$6)</f>
        <v/>
      </c>
      <c r="M254" s="13" t="str">
        <f>IF(F254="","",'GİDER AYARLARI'!$B$7)</f>
        <v/>
      </c>
      <c r="N254" s="3"/>
      <c r="O254" s="13" t="str">
        <f ca="1">IF(OR(F254="",I254=""),"",IFERROR(IF(VLOOKUP(E254,'ALIM AYARLARI'!$A$4:$D$20,2,FALSE)="EVET",F254*'GİDER AYARLARI'!$B$8*I254/30,0),0))</f>
        <v/>
      </c>
      <c r="P254" s="14" t="str">
        <f t="shared" si="32"/>
        <v/>
      </c>
      <c r="Q254" s="14" t="str">
        <f t="shared" si="33"/>
        <v/>
      </c>
      <c r="R254" s="2"/>
      <c r="S254" s="2"/>
      <c r="T254" s="3"/>
      <c r="U254" s="14" t="str">
        <f t="shared" si="34"/>
        <v/>
      </c>
      <c r="V254" s="14" t="str">
        <f t="shared" si="35"/>
        <v/>
      </c>
      <c r="W254" s="15" t="str">
        <f t="shared" si="36"/>
        <v/>
      </c>
      <c r="X254" s="12" t="str">
        <f t="shared" si="37"/>
        <v/>
      </c>
      <c r="Y254" s="2"/>
      <c r="Z254" s="3"/>
      <c r="AA254" s="3"/>
      <c r="AB254" s="3"/>
      <c r="AC254" s="14" t="str">
        <f t="shared" si="38"/>
        <v/>
      </c>
      <c r="AD254" s="14" t="str">
        <f t="shared" si="39"/>
        <v/>
      </c>
    </row>
    <row r="255" spans="1:30">
      <c r="A255">
        <f t="shared" si="30"/>
        <v>252</v>
      </c>
      <c r="B255" s="2"/>
      <c r="C255" s="18"/>
      <c r="D255" s="2"/>
      <c r="E255" s="2"/>
      <c r="F255" s="3"/>
      <c r="G255" s="16"/>
      <c r="H255" s="16"/>
      <c r="I255" s="17" t="str">
        <f t="shared" ca="1" si="31"/>
        <v/>
      </c>
      <c r="J255" s="13" t="str">
        <f>IF(F255="","",'GİDER AYARLARI'!$B$4)</f>
        <v/>
      </c>
      <c r="K255" s="13" t="str">
        <f>IF(F255="","",'GİDER AYARLARI'!$B$5)</f>
        <v/>
      </c>
      <c r="L255" s="13" t="str">
        <f>IF(F255="","",'GİDER AYARLARI'!$B$6)</f>
        <v/>
      </c>
      <c r="M255" s="13" t="str">
        <f>IF(F255="","",'GİDER AYARLARI'!$B$7)</f>
        <v/>
      </c>
      <c r="N255" s="3"/>
      <c r="O255" s="13" t="str">
        <f ca="1">IF(OR(F255="",I255=""),"",IFERROR(IF(VLOOKUP(E255,'ALIM AYARLARI'!$A$4:$D$20,2,FALSE)="EVET",F255*'GİDER AYARLARI'!$B$8*I255/30,0),0))</f>
        <v/>
      </c>
      <c r="P255" s="14" t="str">
        <f t="shared" si="32"/>
        <v/>
      </c>
      <c r="Q255" s="14" t="str">
        <f t="shared" si="33"/>
        <v/>
      </c>
      <c r="R255" s="2"/>
      <c r="S255" s="2"/>
      <c r="T255" s="3"/>
      <c r="U255" s="14" t="str">
        <f t="shared" si="34"/>
        <v/>
      </c>
      <c r="V255" s="14" t="str">
        <f t="shared" si="35"/>
        <v/>
      </c>
      <c r="W255" s="15" t="str">
        <f t="shared" si="36"/>
        <v/>
      </c>
      <c r="X255" s="12" t="str">
        <f t="shared" si="37"/>
        <v/>
      </c>
      <c r="Y255" s="2"/>
      <c r="Z255" s="3"/>
      <c r="AA255" s="3"/>
      <c r="AB255" s="3"/>
      <c r="AC255" s="14" t="str">
        <f t="shared" si="38"/>
        <v/>
      </c>
      <c r="AD255" s="14" t="str">
        <f t="shared" si="39"/>
        <v/>
      </c>
    </row>
    <row r="256" spans="1:30">
      <c r="A256">
        <f t="shared" si="30"/>
        <v>253</v>
      </c>
      <c r="B256" s="2"/>
      <c r="C256" s="18"/>
      <c r="D256" s="2"/>
      <c r="E256" s="2"/>
      <c r="F256" s="3"/>
      <c r="G256" s="16"/>
      <c r="H256" s="16"/>
      <c r="I256" s="17" t="str">
        <f t="shared" ca="1" si="31"/>
        <v/>
      </c>
      <c r="J256" s="13" t="str">
        <f>IF(F256="","",'GİDER AYARLARI'!$B$4)</f>
        <v/>
      </c>
      <c r="K256" s="13" t="str">
        <f>IF(F256="","",'GİDER AYARLARI'!$B$5)</f>
        <v/>
      </c>
      <c r="L256" s="13" t="str">
        <f>IF(F256="","",'GİDER AYARLARI'!$B$6)</f>
        <v/>
      </c>
      <c r="M256" s="13" t="str">
        <f>IF(F256="","",'GİDER AYARLARI'!$B$7)</f>
        <v/>
      </c>
      <c r="N256" s="3"/>
      <c r="O256" s="13" t="str">
        <f ca="1">IF(OR(F256="",I256=""),"",IFERROR(IF(VLOOKUP(E256,'ALIM AYARLARI'!$A$4:$D$20,2,FALSE)="EVET",F256*'GİDER AYARLARI'!$B$8*I256/30,0),0))</f>
        <v/>
      </c>
      <c r="P256" s="14" t="str">
        <f t="shared" si="32"/>
        <v/>
      </c>
      <c r="Q256" s="14" t="str">
        <f t="shared" si="33"/>
        <v/>
      </c>
      <c r="R256" s="2"/>
      <c r="S256" s="2"/>
      <c r="T256" s="3"/>
      <c r="U256" s="14" t="str">
        <f t="shared" si="34"/>
        <v/>
      </c>
      <c r="V256" s="14" t="str">
        <f t="shared" si="35"/>
        <v/>
      </c>
      <c r="W256" s="15" t="str">
        <f t="shared" si="36"/>
        <v/>
      </c>
      <c r="X256" s="12" t="str">
        <f t="shared" si="37"/>
        <v/>
      </c>
      <c r="Y256" s="2"/>
      <c r="Z256" s="3"/>
      <c r="AA256" s="3"/>
      <c r="AB256" s="3"/>
      <c r="AC256" s="14" t="str">
        <f t="shared" si="38"/>
        <v/>
      </c>
      <c r="AD256" s="14" t="str">
        <f t="shared" si="39"/>
        <v/>
      </c>
    </row>
    <row r="257" spans="1:30">
      <c r="A257">
        <f t="shared" si="30"/>
        <v>254</v>
      </c>
      <c r="B257" s="2"/>
      <c r="C257" s="18"/>
      <c r="D257" s="2"/>
      <c r="E257" s="2"/>
      <c r="F257" s="3"/>
      <c r="G257" s="16"/>
      <c r="H257" s="16"/>
      <c r="I257" s="17" t="str">
        <f t="shared" ca="1" si="31"/>
        <v/>
      </c>
      <c r="J257" s="13" t="str">
        <f>IF(F257="","",'GİDER AYARLARI'!$B$4)</f>
        <v/>
      </c>
      <c r="K257" s="13" t="str">
        <f>IF(F257="","",'GİDER AYARLARI'!$B$5)</f>
        <v/>
      </c>
      <c r="L257" s="13" t="str">
        <f>IF(F257="","",'GİDER AYARLARI'!$B$6)</f>
        <v/>
      </c>
      <c r="M257" s="13" t="str">
        <f>IF(F257="","",'GİDER AYARLARI'!$B$7)</f>
        <v/>
      </c>
      <c r="N257" s="3"/>
      <c r="O257" s="13" t="str">
        <f ca="1">IF(OR(F257="",I257=""),"",IFERROR(IF(VLOOKUP(E257,'ALIM AYARLARI'!$A$4:$D$20,2,FALSE)="EVET",F257*'GİDER AYARLARI'!$B$8*I257/30,0),0))</f>
        <v/>
      </c>
      <c r="P257" s="14" t="str">
        <f t="shared" si="32"/>
        <v/>
      </c>
      <c r="Q257" s="14" t="str">
        <f t="shared" si="33"/>
        <v/>
      </c>
      <c r="R257" s="2"/>
      <c r="S257" s="2"/>
      <c r="T257" s="3"/>
      <c r="U257" s="14" t="str">
        <f t="shared" si="34"/>
        <v/>
      </c>
      <c r="V257" s="14" t="str">
        <f t="shared" si="35"/>
        <v/>
      </c>
      <c r="W257" s="15" t="str">
        <f t="shared" si="36"/>
        <v/>
      </c>
      <c r="X257" s="12" t="str">
        <f t="shared" si="37"/>
        <v/>
      </c>
      <c r="Y257" s="2"/>
      <c r="Z257" s="3"/>
      <c r="AA257" s="3"/>
      <c r="AB257" s="3"/>
      <c r="AC257" s="14" t="str">
        <f t="shared" si="38"/>
        <v/>
      </c>
      <c r="AD257" s="14" t="str">
        <f t="shared" si="39"/>
        <v/>
      </c>
    </row>
    <row r="258" spans="1:30">
      <c r="A258">
        <f t="shared" si="30"/>
        <v>255</v>
      </c>
      <c r="B258" s="2"/>
      <c r="C258" s="18"/>
      <c r="D258" s="2"/>
      <c r="E258" s="2"/>
      <c r="F258" s="3"/>
      <c r="G258" s="16"/>
      <c r="H258" s="16"/>
      <c r="I258" s="17" t="str">
        <f t="shared" ca="1" si="31"/>
        <v/>
      </c>
      <c r="J258" s="13" t="str">
        <f>IF(F258="","",'GİDER AYARLARI'!$B$4)</f>
        <v/>
      </c>
      <c r="K258" s="13" t="str">
        <f>IF(F258="","",'GİDER AYARLARI'!$B$5)</f>
        <v/>
      </c>
      <c r="L258" s="13" t="str">
        <f>IF(F258="","",'GİDER AYARLARI'!$B$6)</f>
        <v/>
      </c>
      <c r="M258" s="13" t="str">
        <f>IF(F258="","",'GİDER AYARLARI'!$B$7)</f>
        <v/>
      </c>
      <c r="N258" s="3"/>
      <c r="O258" s="13" t="str">
        <f ca="1">IF(OR(F258="",I258=""),"",IFERROR(IF(VLOOKUP(E258,'ALIM AYARLARI'!$A$4:$D$20,2,FALSE)="EVET",F258*'GİDER AYARLARI'!$B$8*I258/30,0),0))</f>
        <v/>
      </c>
      <c r="P258" s="14" t="str">
        <f t="shared" si="32"/>
        <v/>
      </c>
      <c r="Q258" s="14" t="str">
        <f t="shared" si="33"/>
        <v/>
      </c>
      <c r="R258" s="2"/>
      <c r="S258" s="2"/>
      <c r="T258" s="3"/>
      <c r="U258" s="14" t="str">
        <f t="shared" si="34"/>
        <v/>
      </c>
      <c r="V258" s="14" t="str">
        <f t="shared" si="35"/>
        <v/>
      </c>
      <c r="W258" s="15" t="str">
        <f t="shared" si="36"/>
        <v/>
      </c>
      <c r="X258" s="12" t="str">
        <f t="shared" si="37"/>
        <v/>
      </c>
      <c r="Y258" s="2"/>
      <c r="Z258" s="3"/>
      <c r="AA258" s="3"/>
      <c r="AB258" s="3"/>
      <c r="AC258" s="14" t="str">
        <f t="shared" si="38"/>
        <v/>
      </c>
      <c r="AD258" s="14" t="str">
        <f t="shared" si="39"/>
        <v/>
      </c>
    </row>
    <row r="259" spans="1:30">
      <c r="A259">
        <f t="shared" si="30"/>
        <v>256</v>
      </c>
      <c r="B259" s="2"/>
      <c r="C259" s="18"/>
      <c r="D259" s="2"/>
      <c r="E259" s="2"/>
      <c r="F259" s="3"/>
      <c r="G259" s="16"/>
      <c r="H259" s="16"/>
      <c r="I259" s="17" t="str">
        <f t="shared" ca="1" si="31"/>
        <v/>
      </c>
      <c r="J259" s="13" t="str">
        <f>IF(F259="","",'GİDER AYARLARI'!$B$4)</f>
        <v/>
      </c>
      <c r="K259" s="13" t="str">
        <f>IF(F259="","",'GİDER AYARLARI'!$B$5)</f>
        <v/>
      </c>
      <c r="L259" s="13" t="str">
        <f>IF(F259="","",'GİDER AYARLARI'!$B$6)</f>
        <v/>
      </c>
      <c r="M259" s="13" t="str">
        <f>IF(F259="","",'GİDER AYARLARI'!$B$7)</f>
        <v/>
      </c>
      <c r="N259" s="3"/>
      <c r="O259" s="13" t="str">
        <f ca="1">IF(OR(F259="",I259=""),"",IFERROR(IF(VLOOKUP(E259,'ALIM AYARLARI'!$A$4:$D$20,2,FALSE)="EVET",F259*'GİDER AYARLARI'!$B$8*I259/30,0),0))</f>
        <v/>
      </c>
      <c r="P259" s="14" t="str">
        <f t="shared" si="32"/>
        <v/>
      </c>
      <c r="Q259" s="14" t="str">
        <f t="shared" si="33"/>
        <v/>
      </c>
      <c r="R259" s="2"/>
      <c r="S259" s="2"/>
      <c r="T259" s="3"/>
      <c r="U259" s="14" t="str">
        <f t="shared" si="34"/>
        <v/>
      </c>
      <c r="V259" s="14" t="str">
        <f t="shared" si="35"/>
        <v/>
      </c>
      <c r="W259" s="15" t="str">
        <f t="shared" si="36"/>
        <v/>
      </c>
      <c r="X259" s="12" t="str">
        <f t="shared" si="37"/>
        <v/>
      </c>
      <c r="Y259" s="2"/>
      <c r="Z259" s="3"/>
      <c r="AA259" s="3"/>
      <c r="AB259" s="3"/>
      <c r="AC259" s="14" t="str">
        <f t="shared" si="38"/>
        <v/>
      </c>
      <c r="AD259" s="14" t="str">
        <f t="shared" si="39"/>
        <v/>
      </c>
    </row>
    <row r="260" spans="1:30">
      <c r="A260">
        <f t="shared" ref="A260:A303" si="40">ROW()-3</f>
        <v>257</v>
      </c>
      <c r="B260" s="2"/>
      <c r="C260" s="18"/>
      <c r="D260" s="2"/>
      <c r="E260" s="2"/>
      <c r="F260" s="3"/>
      <c r="G260" s="16"/>
      <c r="H260" s="16"/>
      <c r="I260" s="17" t="str">
        <f t="shared" ref="I260:I303" ca="1" si="41">IF(G260="","",IF(H260="",TODAY()-G260,H260-G260))</f>
        <v/>
      </c>
      <c r="J260" s="13" t="str">
        <f>IF(F260="","",'GİDER AYARLARI'!$B$4)</f>
        <v/>
      </c>
      <c r="K260" s="13" t="str">
        <f>IF(F260="","",'GİDER AYARLARI'!$B$5)</f>
        <v/>
      </c>
      <c r="L260" s="13" t="str">
        <f>IF(F260="","",'GİDER AYARLARI'!$B$6)</f>
        <v/>
      </c>
      <c r="M260" s="13" t="str">
        <f>IF(F260="","",'GİDER AYARLARI'!$B$7)</f>
        <v/>
      </c>
      <c r="N260" s="3"/>
      <c r="O260" s="13" t="str">
        <f ca="1">IF(OR(F260="",I260=""),"",IFERROR(IF(VLOOKUP(E260,'ALIM AYARLARI'!$A$4:$D$20,2,FALSE)="EVET",F260*'GİDER AYARLARI'!$B$8*I260/30,0),0))</f>
        <v/>
      </c>
      <c r="P260" s="14" t="str">
        <f t="shared" ref="P260:P303" si="42">IF(F260="","",SUM(J260:O260))</f>
        <v/>
      </c>
      <c r="Q260" s="14" t="str">
        <f t="shared" ref="Q260:Q303" si="43">IF(F260="","",F260+P260)</f>
        <v/>
      </c>
      <c r="R260" s="2"/>
      <c r="S260" s="2"/>
      <c r="T260" s="3"/>
      <c r="U260" s="14" t="str">
        <f t="shared" ref="U260:U303" si="44">IF(OR(F260="",T260=""),"",T260-F260)</f>
        <v/>
      </c>
      <c r="V260" s="14" t="str">
        <f t="shared" ref="V260:V303" si="45">IF(T260="","",T260-Q260)</f>
        <v/>
      </c>
      <c r="W260" s="15" t="str">
        <f t="shared" ref="W260:W303" si="46">IFERROR(V260/T260,"")</f>
        <v/>
      </c>
      <c r="X260" s="12" t="str">
        <f t="shared" ref="X260:X303" si="47">IF(F260="","",IF(H260="","STOKTA","SATILDI"))</f>
        <v/>
      </c>
      <c r="Y260" s="2"/>
      <c r="Z260" s="3"/>
      <c r="AA260" s="3"/>
      <c r="AB260" s="3"/>
      <c r="AC260" s="14" t="str">
        <f t="shared" ref="AC260:AC303" si="48">IF(F260="","",SUM(Z260:AB260))</f>
        <v/>
      </c>
      <c r="AD260" s="14" t="str">
        <f t="shared" ref="AD260:AD303" si="49">IF(T260="","",V260+AC260)</f>
        <v/>
      </c>
    </row>
    <row r="261" spans="1:30">
      <c r="A261">
        <f t="shared" si="40"/>
        <v>258</v>
      </c>
      <c r="B261" s="2"/>
      <c r="C261" s="18"/>
      <c r="D261" s="2"/>
      <c r="E261" s="2"/>
      <c r="F261" s="3"/>
      <c r="G261" s="16"/>
      <c r="H261" s="16"/>
      <c r="I261" s="17" t="str">
        <f t="shared" ca="1" si="41"/>
        <v/>
      </c>
      <c r="J261" s="13" t="str">
        <f>IF(F261="","",'GİDER AYARLARI'!$B$4)</f>
        <v/>
      </c>
      <c r="K261" s="13" t="str">
        <f>IF(F261="","",'GİDER AYARLARI'!$B$5)</f>
        <v/>
      </c>
      <c r="L261" s="13" t="str">
        <f>IF(F261="","",'GİDER AYARLARI'!$B$6)</f>
        <v/>
      </c>
      <c r="M261" s="13" t="str">
        <f>IF(F261="","",'GİDER AYARLARI'!$B$7)</f>
        <v/>
      </c>
      <c r="N261" s="3"/>
      <c r="O261" s="13" t="str">
        <f ca="1">IF(OR(F261="",I261=""),"",IFERROR(IF(VLOOKUP(E261,'ALIM AYARLARI'!$A$4:$D$20,2,FALSE)="EVET",F261*'GİDER AYARLARI'!$B$8*I261/30,0),0))</f>
        <v/>
      </c>
      <c r="P261" s="14" t="str">
        <f t="shared" si="42"/>
        <v/>
      </c>
      <c r="Q261" s="14" t="str">
        <f t="shared" si="43"/>
        <v/>
      </c>
      <c r="R261" s="2"/>
      <c r="S261" s="2"/>
      <c r="T261" s="3"/>
      <c r="U261" s="14" t="str">
        <f t="shared" si="44"/>
        <v/>
      </c>
      <c r="V261" s="14" t="str">
        <f t="shared" si="45"/>
        <v/>
      </c>
      <c r="W261" s="15" t="str">
        <f t="shared" si="46"/>
        <v/>
      </c>
      <c r="X261" s="12" t="str">
        <f t="shared" si="47"/>
        <v/>
      </c>
      <c r="Y261" s="2"/>
      <c r="Z261" s="3"/>
      <c r="AA261" s="3"/>
      <c r="AB261" s="3"/>
      <c r="AC261" s="14" t="str">
        <f t="shared" si="48"/>
        <v/>
      </c>
      <c r="AD261" s="14" t="str">
        <f t="shared" si="49"/>
        <v/>
      </c>
    </row>
    <row r="262" spans="1:30">
      <c r="A262">
        <f t="shared" si="40"/>
        <v>259</v>
      </c>
      <c r="B262" s="2"/>
      <c r="C262" s="18"/>
      <c r="D262" s="2"/>
      <c r="E262" s="2"/>
      <c r="F262" s="3"/>
      <c r="G262" s="16"/>
      <c r="H262" s="16"/>
      <c r="I262" s="17" t="str">
        <f t="shared" ca="1" si="41"/>
        <v/>
      </c>
      <c r="J262" s="13" t="str">
        <f>IF(F262="","",'GİDER AYARLARI'!$B$4)</f>
        <v/>
      </c>
      <c r="K262" s="13" t="str">
        <f>IF(F262="","",'GİDER AYARLARI'!$B$5)</f>
        <v/>
      </c>
      <c r="L262" s="13" t="str">
        <f>IF(F262="","",'GİDER AYARLARI'!$B$6)</f>
        <v/>
      </c>
      <c r="M262" s="13" t="str">
        <f>IF(F262="","",'GİDER AYARLARI'!$B$7)</f>
        <v/>
      </c>
      <c r="N262" s="3"/>
      <c r="O262" s="13" t="str">
        <f ca="1">IF(OR(F262="",I262=""),"",IFERROR(IF(VLOOKUP(E262,'ALIM AYARLARI'!$A$4:$D$20,2,FALSE)="EVET",F262*'GİDER AYARLARI'!$B$8*I262/30,0),0))</f>
        <v/>
      </c>
      <c r="P262" s="14" t="str">
        <f t="shared" si="42"/>
        <v/>
      </c>
      <c r="Q262" s="14" t="str">
        <f t="shared" si="43"/>
        <v/>
      </c>
      <c r="R262" s="2"/>
      <c r="S262" s="2"/>
      <c r="T262" s="3"/>
      <c r="U262" s="14" t="str">
        <f t="shared" si="44"/>
        <v/>
      </c>
      <c r="V262" s="14" t="str">
        <f t="shared" si="45"/>
        <v/>
      </c>
      <c r="W262" s="15" t="str">
        <f t="shared" si="46"/>
        <v/>
      </c>
      <c r="X262" s="12" t="str">
        <f t="shared" si="47"/>
        <v/>
      </c>
      <c r="Y262" s="2"/>
      <c r="Z262" s="3"/>
      <c r="AA262" s="3"/>
      <c r="AB262" s="3"/>
      <c r="AC262" s="14" t="str">
        <f t="shared" si="48"/>
        <v/>
      </c>
      <c r="AD262" s="14" t="str">
        <f t="shared" si="49"/>
        <v/>
      </c>
    </row>
    <row r="263" spans="1:30">
      <c r="A263">
        <f t="shared" si="40"/>
        <v>260</v>
      </c>
      <c r="B263" s="2"/>
      <c r="C263" s="18"/>
      <c r="D263" s="2"/>
      <c r="E263" s="2"/>
      <c r="F263" s="3"/>
      <c r="G263" s="16"/>
      <c r="H263" s="16"/>
      <c r="I263" s="17" t="str">
        <f t="shared" ca="1" si="41"/>
        <v/>
      </c>
      <c r="J263" s="13" t="str">
        <f>IF(F263="","",'GİDER AYARLARI'!$B$4)</f>
        <v/>
      </c>
      <c r="K263" s="13" t="str">
        <f>IF(F263="","",'GİDER AYARLARI'!$B$5)</f>
        <v/>
      </c>
      <c r="L263" s="13" t="str">
        <f>IF(F263="","",'GİDER AYARLARI'!$B$6)</f>
        <v/>
      </c>
      <c r="M263" s="13" t="str">
        <f>IF(F263="","",'GİDER AYARLARI'!$B$7)</f>
        <v/>
      </c>
      <c r="N263" s="3"/>
      <c r="O263" s="13" t="str">
        <f ca="1">IF(OR(F263="",I263=""),"",IFERROR(IF(VLOOKUP(E263,'ALIM AYARLARI'!$A$4:$D$20,2,FALSE)="EVET",F263*'GİDER AYARLARI'!$B$8*I263/30,0),0))</f>
        <v/>
      </c>
      <c r="P263" s="14" t="str">
        <f t="shared" si="42"/>
        <v/>
      </c>
      <c r="Q263" s="14" t="str">
        <f t="shared" si="43"/>
        <v/>
      </c>
      <c r="R263" s="2"/>
      <c r="S263" s="2"/>
      <c r="T263" s="3"/>
      <c r="U263" s="14" t="str">
        <f t="shared" si="44"/>
        <v/>
      </c>
      <c r="V263" s="14" t="str">
        <f t="shared" si="45"/>
        <v/>
      </c>
      <c r="W263" s="15" t="str">
        <f t="shared" si="46"/>
        <v/>
      </c>
      <c r="X263" s="12" t="str">
        <f t="shared" si="47"/>
        <v/>
      </c>
      <c r="Y263" s="2"/>
      <c r="Z263" s="3"/>
      <c r="AA263" s="3"/>
      <c r="AB263" s="3"/>
      <c r="AC263" s="14" t="str">
        <f t="shared" si="48"/>
        <v/>
      </c>
      <c r="AD263" s="14" t="str">
        <f t="shared" si="49"/>
        <v/>
      </c>
    </row>
    <row r="264" spans="1:30">
      <c r="A264">
        <f t="shared" si="40"/>
        <v>261</v>
      </c>
      <c r="B264" s="2"/>
      <c r="C264" s="18"/>
      <c r="D264" s="2"/>
      <c r="E264" s="2"/>
      <c r="F264" s="3"/>
      <c r="G264" s="16"/>
      <c r="H264" s="16"/>
      <c r="I264" s="17" t="str">
        <f t="shared" ca="1" si="41"/>
        <v/>
      </c>
      <c r="J264" s="13" t="str">
        <f>IF(F264="","",'GİDER AYARLARI'!$B$4)</f>
        <v/>
      </c>
      <c r="K264" s="13" t="str">
        <f>IF(F264="","",'GİDER AYARLARI'!$B$5)</f>
        <v/>
      </c>
      <c r="L264" s="13" t="str">
        <f>IF(F264="","",'GİDER AYARLARI'!$B$6)</f>
        <v/>
      </c>
      <c r="M264" s="13" t="str">
        <f>IF(F264="","",'GİDER AYARLARI'!$B$7)</f>
        <v/>
      </c>
      <c r="N264" s="3"/>
      <c r="O264" s="13" t="str">
        <f ca="1">IF(OR(F264="",I264=""),"",IFERROR(IF(VLOOKUP(E264,'ALIM AYARLARI'!$A$4:$D$20,2,FALSE)="EVET",F264*'GİDER AYARLARI'!$B$8*I264/30,0),0))</f>
        <v/>
      </c>
      <c r="P264" s="14" t="str">
        <f t="shared" si="42"/>
        <v/>
      </c>
      <c r="Q264" s="14" t="str">
        <f t="shared" si="43"/>
        <v/>
      </c>
      <c r="R264" s="2"/>
      <c r="S264" s="2"/>
      <c r="T264" s="3"/>
      <c r="U264" s="14" t="str">
        <f t="shared" si="44"/>
        <v/>
      </c>
      <c r="V264" s="14" t="str">
        <f t="shared" si="45"/>
        <v/>
      </c>
      <c r="W264" s="15" t="str">
        <f t="shared" si="46"/>
        <v/>
      </c>
      <c r="X264" s="12" t="str">
        <f t="shared" si="47"/>
        <v/>
      </c>
      <c r="Y264" s="2"/>
      <c r="Z264" s="3"/>
      <c r="AA264" s="3"/>
      <c r="AB264" s="3"/>
      <c r="AC264" s="14" t="str">
        <f t="shared" si="48"/>
        <v/>
      </c>
      <c r="AD264" s="14" t="str">
        <f t="shared" si="49"/>
        <v/>
      </c>
    </row>
    <row r="265" spans="1:30">
      <c r="A265">
        <f t="shared" si="40"/>
        <v>262</v>
      </c>
      <c r="B265" s="2"/>
      <c r="C265" s="18"/>
      <c r="D265" s="2"/>
      <c r="E265" s="2"/>
      <c r="F265" s="3"/>
      <c r="G265" s="16"/>
      <c r="H265" s="16"/>
      <c r="I265" s="17" t="str">
        <f t="shared" ca="1" si="41"/>
        <v/>
      </c>
      <c r="J265" s="13" t="str">
        <f>IF(F265="","",'GİDER AYARLARI'!$B$4)</f>
        <v/>
      </c>
      <c r="K265" s="13" t="str">
        <f>IF(F265="","",'GİDER AYARLARI'!$B$5)</f>
        <v/>
      </c>
      <c r="L265" s="13" t="str">
        <f>IF(F265="","",'GİDER AYARLARI'!$B$6)</f>
        <v/>
      </c>
      <c r="M265" s="13" t="str">
        <f>IF(F265="","",'GİDER AYARLARI'!$B$7)</f>
        <v/>
      </c>
      <c r="N265" s="3"/>
      <c r="O265" s="13" t="str">
        <f ca="1">IF(OR(F265="",I265=""),"",IFERROR(IF(VLOOKUP(E265,'ALIM AYARLARI'!$A$4:$D$20,2,FALSE)="EVET",F265*'GİDER AYARLARI'!$B$8*I265/30,0),0))</f>
        <v/>
      </c>
      <c r="P265" s="14" t="str">
        <f t="shared" si="42"/>
        <v/>
      </c>
      <c r="Q265" s="14" t="str">
        <f t="shared" si="43"/>
        <v/>
      </c>
      <c r="R265" s="2"/>
      <c r="S265" s="2"/>
      <c r="T265" s="3"/>
      <c r="U265" s="14" t="str">
        <f t="shared" si="44"/>
        <v/>
      </c>
      <c r="V265" s="14" t="str">
        <f t="shared" si="45"/>
        <v/>
      </c>
      <c r="W265" s="15" t="str">
        <f t="shared" si="46"/>
        <v/>
      </c>
      <c r="X265" s="12" t="str">
        <f t="shared" si="47"/>
        <v/>
      </c>
      <c r="Y265" s="2"/>
      <c r="Z265" s="3"/>
      <c r="AA265" s="3"/>
      <c r="AB265" s="3"/>
      <c r="AC265" s="14" t="str">
        <f t="shared" si="48"/>
        <v/>
      </c>
      <c r="AD265" s="14" t="str">
        <f t="shared" si="49"/>
        <v/>
      </c>
    </row>
    <row r="266" spans="1:30">
      <c r="A266">
        <f t="shared" si="40"/>
        <v>263</v>
      </c>
      <c r="B266" s="2"/>
      <c r="C266" s="18"/>
      <c r="D266" s="2"/>
      <c r="E266" s="2"/>
      <c r="F266" s="3"/>
      <c r="G266" s="16"/>
      <c r="H266" s="16"/>
      <c r="I266" s="17" t="str">
        <f t="shared" ca="1" si="41"/>
        <v/>
      </c>
      <c r="J266" s="13" t="str">
        <f>IF(F266="","",'GİDER AYARLARI'!$B$4)</f>
        <v/>
      </c>
      <c r="K266" s="13" t="str">
        <f>IF(F266="","",'GİDER AYARLARI'!$B$5)</f>
        <v/>
      </c>
      <c r="L266" s="13" t="str">
        <f>IF(F266="","",'GİDER AYARLARI'!$B$6)</f>
        <v/>
      </c>
      <c r="M266" s="13" t="str">
        <f>IF(F266="","",'GİDER AYARLARI'!$B$7)</f>
        <v/>
      </c>
      <c r="N266" s="3"/>
      <c r="O266" s="13" t="str">
        <f ca="1">IF(OR(F266="",I266=""),"",IFERROR(IF(VLOOKUP(E266,'ALIM AYARLARI'!$A$4:$D$20,2,FALSE)="EVET",F266*'GİDER AYARLARI'!$B$8*I266/30,0),0))</f>
        <v/>
      </c>
      <c r="P266" s="14" t="str">
        <f t="shared" si="42"/>
        <v/>
      </c>
      <c r="Q266" s="14" t="str">
        <f t="shared" si="43"/>
        <v/>
      </c>
      <c r="R266" s="2"/>
      <c r="S266" s="2"/>
      <c r="T266" s="3"/>
      <c r="U266" s="14" t="str">
        <f t="shared" si="44"/>
        <v/>
      </c>
      <c r="V266" s="14" t="str">
        <f t="shared" si="45"/>
        <v/>
      </c>
      <c r="W266" s="15" t="str">
        <f t="shared" si="46"/>
        <v/>
      </c>
      <c r="X266" s="12" t="str">
        <f t="shared" si="47"/>
        <v/>
      </c>
      <c r="Y266" s="2"/>
      <c r="Z266" s="3"/>
      <c r="AA266" s="3"/>
      <c r="AB266" s="3"/>
      <c r="AC266" s="14" t="str">
        <f t="shared" si="48"/>
        <v/>
      </c>
      <c r="AD266" s="14" t="str">
        <f t="shared" si="49"/>
        <v/>
      </c>
    </row>
    <row r="267" spans="1:30">
      <c r="A267">
        <f t="shared" si="40"/>
        <v>264</v>
      </c>
      <c r="B267" s="2"/>
      <c r="C267" s="18"/>
      <c r="D267" s="2"/>
      <c r="E267" s="2"/>
      <c r="F267" s="3"/>
      <c r="G267" s="16"/>
      <c r="H267" s="16"/>
      <c r="I267" s="17" t="str">
        <f t="shared" ca="1" si="41"/>
        <v/>
      </c>
      <c r="J267" s="13" t="str">
        <f>IF(F267="","",'GİDER AYARLARI'!$B$4)</f>
        <v/>
      </c>
      <c r="K267" s="13" t="str">
        <f>IF(F267="","",'GİDER AYARLARI'!$B$5)</f>
        <v/>
      </c>
      <c r="L267" s="13" t="str">
        <f>IF(F267="","",'GİDER AYARLARI'!$B$6)</f>
        <v/>
      </c>
      <c r="M267" s="13" t="str">
        <f>IF(F267="","",'GİDER AYARLARI'!$B$7)</f>
        <v/>
      </c>
      <c r="N267" s="3"/>
      <c r="O267" s="13" t="str">
        <f ca="1">IF(OR(F267="",I267=""),"",IFERROR(IF(VLOOKUP(E267,'ALIM AYARLARI'!$A$4:$D$20,2,FALSE)="EVET",F267*'GİDER AYARLARI'!$B$8*I267/30,0),0))</f>
        <v/>
      </c>
      <c r="P267" s="14" t="str">
        <f t="shared" si="42"/>
        <v/>
      </c>
      <c r="Q267" s="14" t="str">
        <f t="shared" si="43"/>
        <v/>
      </c>
      <c r="R267" s="2"/>
      <c r="S267" s="2"/>
      <c r="T267" s="3"/>
      <c r="U267" s="14" t="str">
        <f t="shared" si="44"/>
        <v/>
      </c>
      <c r="V267" s="14" t="str">
        <f t="shared" si="45"/>
        <v/>
      </c>
      <c r="W267" s="15" t="str">
        <f t="shared" si="46"/>
        <v/>
      </c>
      <c r="X267" s="12" t="str">
        <f t="shared" si="47"/>
        <v/>
      </c>
      <c r="Y267" s="2"/>
      <c r="Z267" s="3"/>
      <c r="AA267" s="3"/>
      <c r="AB267" s="3"/>
      <c r="AC267" s="14" t="str">
        <f t="shared" si="48"/>
        <v/>
      </c>
      <c r="AD267" s="14" t="str">
        <f t="shared" si="49"/>
        <v/>
      </c>
    </row>
    <row r="268" spans="1:30">
      <c r="A268">
        <f t="shared" si="40"/>
        <v>265</v>
      </c>
      <c r="B268" s="2"/>
      <c r="C268" s="18"/>
      <c r="D268" s="2"/>
      <c r="E268" s="2"/>
      <c r="F268" s="3"/>
      <c r="G268" s="16"/>
      <c r="H268" s="16"/>
      <c r="I268" s="17" t="str">
        <f t="shared" ca="1" si="41"/>
        <v/>
      </c>
      <c r="J268" s="13" t="str">
        <f>IF(F268="","",'GİDER AYARLARI'!$B$4)</f>
        <v/>
      </c>
      <c r="K268" s="13" t="str">
        <f>IF(F268="","",'GİDER AYARLARI'!$B$5)</f>
        <v/>
      </c>
      <c r="L268" s="13" t="str">
        <f>IF(F268="","",'GİDER AYARLARI'!$B$6)</f>
        <v/>
      </c>
      <c r="M268" s="13" t="str">
        <f>IF(F268="","",'GİDER AYARLARI'!$B$7)</f>
        <v/>
      </c>
      <c r="N268" s="3"/>
      <c r="O268" s="13" t="str">
        <f ca="1">IF(OR(F268="",I268=""),"",IFERROR(IF(VLOOKUP(E268,'ALIM AYARLARI'!$A$4:$D$20,2,FALSE)="EVET",F268*'GİDER AYARLARI'!$B$8*I268/30,0),0))</f>
        <v/>
      </c>
      <c r="P268" s="14" t="str">
        <f t="shared" si="42"/>
        <v/>
      </c>
      <c r="Q268" s="14" t="str">
        <f t="shared" si="43"/>
        <v/>
      </c>
      <c r="R268" s="2"/>
      <c r="S268" s="2"/>
      <c r="T268" s="3"/>
      <c r="U268" s="14" t="str">
        <f t="shared" si="44"/>
        <v/>
      </c>
      <c r="V268" s="14" t="str">
        <f t="shared" si="45"/>
        <v/>
      </c>
      <c r="W268" s="15" t="str">
        <f t="shared" si="46"/>
        <v/>
      </c>
      <c r="X268" s="12" t="str">
        <f t="shared" si="47"/>
        <v/>
      </c>
      <c r="Y268" s="2"/>
      <c r="Z268" s="3"/>
      <c r="AA268" s="3"/>
      <c r="AB268" s="3"/>
      <c r="AC268" s="14" t="str">
        <f t="shared" si="48"/>
        <v/>
      </c>
      <c r="AD268" s="14" t="str">
        <f t="shared" si="49"/>
        <v/>
      </c>
    </row>
    <row r="269" spans="1:30">
      <c r="A269">
        <f t="shared" si="40"/>
        <v>266</v>
      </c>
      <c r="B269" s="2"/>
      <c r="C269" s="18"/>
      <c r="D269" s="2"/>
      <c r="E269" s="2"/>
      <c r="F269" s="3"/>
      <c r="G269" s="16"/>
      <c r="H269" s="16"/>
      <c r="I269" s="17" t="str">
        <f t="shared" ca="1" si="41"/>
        <v/>
      </c>
      <c r="J269" s="13" t="str">
        <f>IF(F269="","",'GİDER AYARLARI'!$B$4)</f>
        <v/>
      </c>
      <c r="K269" s="13" t="str">
        <f>IF(F269="","",'GİDER AYARLARI'!$B$5)</f>
        <v/>
      </c>
      <c r="L269" s="13" t="str">
        <f>IF(F269="","",'GİDER AYARLARI'!$B$6)</f>
        <v/>
      </c>
      <c r="M269" s="13" t="str">
        <f>IF(F269="","",'GİDER AYARLARI'!$B$7)</f>
        <v/>
      </c>
      <c r="N269" s="3"/>
      <c r="O269" s="13" t="str">
        <f ca="1">IF(OR(F269="",I269=""),"",IFERROR(IF(VLOOKUP(E269,'ALIM AYARLARI'!$A$4:$D$20,2,FALSE)="EVET",F269*'GİDER AYARLARI'!$B$8*I269/30,0),0))</f>
        <v/>
      </c>
      <c r="P269" s="14" t="str">
        <f t="shared" si="42"/>
        <v/>
      </c>
      <c r="Q269" s="14" t="str">
        <f t="shared" si="43"/>
        <v/>
      </c>
      <c r="R269" s="2"/>
      <c r="S269" s="2"/>
      <c r="T269" s="3"/>
      <c r="U269" s="14" t="str">
        <f t="shared" si="44"/>
        <v/>
      </c>
      <c r="V269" s="14" t="str">
        <f t="shared" si="45"/>
        <v/>
      </c>
      <c r="W269" s="15" t="str">
        <f t="shared" si="46"/>
        <v/>
      </c>
      <c r="X269" s="12" t="str">
        <f t="shared" si="47"/>
        <v/>
      </c>
      <c r="Y269" s="2"/>
      <c r="Z269" s="3"/>
      <c r="AA269" s="3"/>
      <c r="AB269" s="3"/>
      <c r="AC269" s="14" t="str">
        <f t="shared" si="48"/>
        <v/>
      </c>
      <c r="AD269" s="14" t="str">
        <f t="shared" si="49"/>
        <v/>
      </c>
    </row>
    <row r="270" spans="1:30">
      <c r="A270">
        <f t="shared" si="40"/>
        <v>267</v>
      </c>
      <c r="B270" s="2"/>
      <c r="C270" s="18"/>
      <c r="D270" s="2"/>
      <c r="E270" s="2"/>
      <c r="F270" s="3"/>
      <c r="G270" s="16"/>
      <c r="H270" s="16"/>
      <c r="I270" s="17" t="str">
        <f t="shared" ca="1" si="41"/>
        <v/>
      </c>
      <c r="J270" s="13" t="str">
        <f>IF(F270="","",'GİDER AYARLARI'!$B$4)</f>
        <v/>
      </c>
      <c r="K270" s="13" t="str">
        <f>IF(F270="","",'GİDER AYARLARI'!$B$5)</f>
        <v/>
      </c>
      <c r="L270" s="13" t="str">
        <f>IF(F270="","",'GİDER AYARLARI'!$B$6)</f>
        <v/>
      </c>
      <c r="M270" s="13" t="str">
        <f>IF(F270="","",'GİDER AYARLARI'!$B$7)</f>
        <v/>
      </c>
      <c r="N270" s="3"/>
      <c r="O270" s="13" t="str">
        <f ca="1">IF(OR(F270="",I270=""),"",IFERROR(IF(VLOOKUP(E270,'ALIM AYARLARI'!$A$4:$D$20,2,FALSE)="EVET",F270*'GİDER AYARLARI'!$B$8*I270/30,0),0))</f>
        <v/>
      </c>
      <c r="P270" s="14" t="str">
        <f t="shared" si="42"/>
        <v/>
      </c>
      <c r="Q270" s="14" t="str">
        <f t="shared" si="43"/>
        <v/>
      </c>
      <c r="R270" s="2"/>
      <c r="S270" s="2"/>
      <c r="T270" s="3"/>
      <c r="U270" s="14" t="str">
        <f t="shared" si="44"/>
        <v/>
      </c>
      <c r="V270" s="14" t="str">
        <f t="shared" si="45"/>
        <v/>
      </c>
      <c r="W270" s="15" t="str">
        <f t="shared" si="46"/>
        <v/>
      </c>
      <c r="X270" s="12" t="str">
        <f t="shared" si="47"/>
        <v/>
      </c>
      <c r="Y270" s="2"/>
      <c r="Z270" s="3"/>
      <c r="AA270" s="3"/>
      <c r="AB270" s="3"/>
      <c r="AC270" s="14" t="str">
        <f t="shared" si="48"/>
        <v/>
      </c>
      <c r="AD270" s="14" t="str">
        <f t="shared" si="49"/>
        <v/>
      </c>
    </row>
    <row r="271" spans="1:30">
      <c r="A271">
        <f t="shared" si="40"/>
        <v>268</v>
      </c>
      <c r="B271" s="2"/>
      <c r="C271" s="18"/>
      <c r="D271" s="2"/>
      <c r="E271" s="2"/>
      <c r="F271" s="3"/>
      <c r="G271" s="16"/>
      <c r="H271" s="16"/>
      <c r="I271" s="17" t="str">
        <f t="shared" ca="1" si="41"/>
        <v/>
      </c>
      <c r="J271" s="13" t="str">
        <f>IF(F271="","",'GİDER AYARLARI'!$B$4)</f>
        <v/>
      </c>
      <c r="K271" s="13" t="str">
        <f>IF(F271="","",'GİDER AYARLARI'!$B$5)</f>
        <v/>
      </c>
      <c r="L271" s="13" t="str">
        <f>IF(F271="","",'GİDER AYARLARI'!$B$6)</f>
        <v/>
      </c>
      <c r="M271" s="13" t="str">
        <f>IF(F271="","",'GİDER AYARLARI'!$B$7)</f>
        <v/>
      </c>
      <c r="N271" s="3"/>
      <c r="O271" s="13" t="str">
        <f ca="1">IF(OR(F271="",I271=""),"",IFERROR(IF(VLOOKUP(E271,'ALIM AYARLARI'!$A$4:$D$20,2,FALSE)="EVET",F271*'GİDER AYARLARI'!$B$8*I271/30,0),0))</f>
        <v/>
      </c>
      <c r="P271" s="14" t="str">
        <f t="shared" si="42"/>
        <v/>
      </c>
      <c r="Q271" s="14" t="str">
        <f t="shared" si="43"/>
        <v/>
      </c>
      <c r="R271" s="2"/>
      <c r="S271" s="2"/>
      <c r="T271" s="3"/>
      <c r="U271" s="14" t="str">
        <f t="shared" si="44"/>
        <v/>
      </c>
      <c r="V271" s="14" t="str">
        <f t="shared" si="45"/>
        <v/>
      </c>
      <c r="W271" s="15" t="str">
        <f t="shared" si="46"/>
        <v/>
      </c>
      <c r="X271" s="12" t="str">
        <f t="shared" si="47"/>
        <v/>
      </c>
      <c r="Y271" s="2"/>
      <c r="Z271" s="3"/>
      <c r="AA271" s="3"/>
      <c r="AB271" s="3"/>
      <c r="AC271" s="14" t="str">
        <f t="shared" si="48"/>
        <v/>
      </c>
      <c r="AD271" s="14" t="str">
        <f t="shared" si="49"/>
        <v/>
      </c>
    </row>
    <row r="272" spans="1:30">
      <c r="A272">
        <f t="shared" si="40"/>
        <v>269</v>
      </c>
      <c r="B272" s="2"/>
      <c r="C272" s="18"/>
      <c r="D272" s="2"/>
      <c r="E272" s="2"/>
      <c r="F272" s="3"/>
      <c r="G272" s="16"/>
      <c r="H272" s="16"/>
      <c r="I272" s="17" t="str">
        <f t="shared" ca="1" si="41"/>
        <v/>
      </c>
      <c r="J272" s="13" t="str">
        <f>IF(F272="","",'GİDER AYARLARI'!$B$4)</f>
        <v/>
      </c>
      <c r="K272" s="13" t="str">
        <f>IF(F272="","",'GİDER AYARLARI'!$B$5)</f>
        <v/>
      </c>
      <c r="L272" s="13" t="str">
        <f>IF(F272="","",'GİDER AYARLARI'!$B$6)</f>
        <v/>
      </c>
      <c r="M272" s="13" t="str">
        <f>IF(F272="","",'GİDER AYARLARI'!$B$7)</f>
        <v/>
      </c>
      <c r="N272" s="3"/>
      <c r="O272" s="13" t="str">
        <f ca="1">IF(OR(F272="",I272=""),"",IFERROR(IF(VLOOKUP(E272,'ALIM AYARLARI'!$A$4:$D$20,2,FALSE)="EVET",F272*'GİDER AYARLARI'!$B$8*I272/30,0),0))</f>
        <v/>
      </c>
      <c r="P272" s="14" t="str">
        <f t="shared" si="42"/>
        <v/>
      </c>
      <c r="Q272" s="14" t="str">
        <f t="shared" si="43"/>
        <v/>
      </c>
      <c r="R272" s="2"/>
      <c r="S272" s="2"/>
      <c r="T272" s="3"/>
      <c r="U272" s="14" t="str">
        <f t="shared" si="44"/>
        <v/>
      </c>
      <c r="V272" s="14" t="str">
        <f t="shared" si="45"/>
        <v/>
      </c>
      <c r="W272" s="15" t="str">
        <f t="shared" si="46"/>
        <v/>
      </c>
      <c r="X272" s="12" t="str">
        <f t="shared" si="47"/>
        <v/>
      </c>
      <c r="Y272" s="2"/>
      <c r="Z272" s="3"/>
      <c r="AA272" s="3"/>
      <c r="AB272" s="3"/>
      <c r="AC272" s="14" t="str">
        <f t="shared" si="48"/>
        <v/>
      </c>
      <c r="AD272" s="14" t="str">
        <f t="shared" si="49"/>
        <v/>
      </c>
    </row>
    <row r="273" spans="1:30">
      <c r="A273">
        <f t="shared" si="40"/>
        <v>270</v>
      </c>
      <c r="B273" s="2"/>
      <c r="C273" s="18"/>
      <c r="D273" s="2"/>
      <c r="E273" s="2"/>
      <c r="F273" s="3"/>
      <c r="G273" s="16"/>
      <c r="H273" s="16"/>
      <c r="I273" s="17" t="str">
        <f t="shared" ca="1" si="41"/>
        <v/>
      </c>
      <c r="J273" s="13" t="str">
        <f>IF(F273="","",'GİDER AYARLARI'!$B$4)</f>
        <v/>
      </c>
      <c r="K273" s="13" t="str">
        <f>IF(F273="","",'GİDER AYARLARI'!$B$5)</f>
        <v/>
      </c>
      <c r="L273" s="13" t="str">
        <f>IF(F273="","",'GİDER AYARLARI'!$B$6)</f>
        <v/>
      </c>
      <c r="M273" s="13" t="str">
        <f>IF(F273="","",'GİDER AYARLARI'!$B$7)</f>
        <v/>
      </c>
      <c r="N273" s="3"/>
      <c r="O273" s="13" t="str">
        <f ca="1">IF(OR(F273="",I273=""),"",IFERROR(IF(VLOOKUP(E273,'ALIM AYARLARI'!$A$4:$D$20,2,FALSE)="EVET",F273*'GİDER AYARLARI'!$B$8*I273/30,0),0))</f>
        <v/>
      </c>
      <c r="P273" s="14" t="str">
        <f t="shared" si="42"/>
        <v/>
      </c>
      <c r="Q273" s="14" t="str">
        <f t="shared" si="43"/>
        <v/>
      </c>
      <c r="R273" s="2"/>
      <c r="S273" s="2"/>
      <c r="T273" s="3"/>
      <c r="U273" s="14" t="str">
        <f t="shared" si="44"/>
        <v/>
      </c>
      <c r="V273" s="14" t="str">
        <f t="shared" si="45"/>
        <v/>
      </c>
      <c r="W273" s="15" t="str">
        <f t="shared" si="46"/>
        <v/>
      </c>
      <c r="X273" s="12" t="str">
        <f t="shared" si="47"/>
        <v/>
      </c>
      <c r="Y273" s="2"/>
      <c r="Z273" s="3"/>
      <c r="AA273" s="3"/>
      <c r="AB273" s="3"/>
      <c r="AC273" s="14" t="str">
        <f t="shared" si="48"/>
        <v/>
      </c>
      <c r="AD273" s="14" t="str">
        <f t="shared" si="49"/>
        <v/>
      </c>
    </row>
    <row r="274" spans="1:30">
      <c r="A274">
        <f t="shared" si="40"/>
        <v>271</v>
      </c>
      <c r="B274" s="2"/>
      <c r="C274" s="18"/>
      <c r="D274" s="2"/>
      <c r="E274" s="2"/>
      <c r="F274" s="3"/>
      <c r="G274" s="16"/>
      <c r="H274" s="16"/>
      <c r="I274" s="17" t="str">
        <f t="shared" ca="1" si="41"/>
        <v/>
      </c>
      <c r="J274" s="13" t="str">
        <f>IF(F274="","",'GİDER AYARLARI'!$B$4)</f>
        <v/>
      </c>
      <c r="K274" s="13" t="str">
        <f>IF(F274="","",'GİDER AYARLARI'!$B$5)</f>
        <v/>
      </c>
      <c r="L274" s="13" t="str">
        <f>IF(F274="","",'GİDER AYARLARI'!$B$6)</f>
        <v/>
      </c>
      <c r="M274" s="13" t="str">
        <f>IF(F274="","",'GİDER AYARLARI'!$B$7)</f>
        <v/>
      </c>
      <c r="N274" s="3"/>
      <c r="O274" s="13" t="str">
        <f ca="1">IF(OR(F274="",I274=""),"",IFERROR(IF(VLOOKUP(E274,'ALIM AYARLARI'!$A$4:$D$20,2,FALSE)="EVET",F274*'GİDER AYARLARI'!$B$8*I274/30,0),0))</f>
        <v/>
      </c>
      <c r="P274" s="14" t="str">
        <f t="shared" si="42"/>
        <v/>
      </c>
      <c r="Q274" s="14" t="str">
        <f t="shared" si="43"/>
        <v/>
      </c>
      <c r="R274" s="2"/>
      <c r="S274" s="2"/>
      <c r="T274" s="3"/>
      <c r="U274" s="14" t="str">
        <f t="shared" si="44"/>
        <v/>
      </c>
      <c r="V274" s="14" t="str">
        <f t="shared" si="45"/>
        <v/>
      </c>
      <c r="W274" s="15" t="str">
        <f t="shared" si="46"/>
        <v/>
      </c>
      <c r="X274" s="12" t="str">
        <f t="shared" si="47"/>
        <v/>
      </c>
      <c r="Y274" s="2"/>
      <c r="Z274" s="3"/>
      <c r="AA274" s="3"/>
      <c r="AB274" s="3"/>
      <c r="AC274" s="14" t="str">
        <f t="shared" si="48"/>
        <v/>
      </c>
      <c r="AD274" s="14" t="str">
        <f t="shared" si="49"/>
        <v/>
      </c>
    </row>
    <row r="275" spans="1:30">
      <c r="A275">
        <f t="shared" si="40"/>
        <v>272</v>
      </c>
      <c r="B275" s="2"/>
      <c r="C275" s="18"/>
      <c r="D275" s="2"/>
      <c r="E275" s="2"/>
      <c r="F275" s="3"/>
      <c r="G275" s="16"/>
      <c r="H275" s="16"/>
      <c r="I275" s="17" t="str">
        <f t="shared" ca="1" si="41"/>
        <v/>
      </c>
      <c r="J275" s="13" t="str">
        <f>IF(F275="","",'GİDER AYARLARI'!$B$4)</f>
        <v/>
      </c>
      <c r="K275" s="13" t="str">
        <f>IF(F275="","",'GİDER AYARLARI'!$B$5)</f>
        <v/>
      </c>
      <c r="L275" s="13" t="str">
        <f>IF(F275="","",'GİDER AYARLARI'!$B$6)</f>
        <v/>
      </c>
      <c r="M275" s="13" t="str">
        <f>IF(F275="","",'GİDER AYARLARI'!$B$7)</f>
        <v/>
      </c>
      <c r="N275" s="3"/>
      <c r="O275" s="13" t="str">
        <f ca="1">IF(OR(F275="",I275=""),"",IFERROR(IF(VLOOKUP(E275,'ALIM AYARLARI'!$A$4:$D$20,2,FALSE)="EVET",F275*'GİDER AYARLARI'!$B$8*I275/30,0),0))</f>
        <v/>
      </c>
      <c r="P275" s="14" t="str">
        <f t="shared" si="42"/>
        <v/>
      </c>
      <c r="Q275" s="14" t="str">
        <f t="shared" si="43"/>
        <v/>
      </c>
      <c r="R275" s="2"/>
      <c r="S275" s="2"/>
      <c r="T275" s="3"/>
      <c r="U275" s="14" t="str">
        <f t="shared" si="44"/>
        <v/>
      </c>
      <c r="V275" s="14" t="str">
        <f t="shared" si="45"/>
        <v/>
      </c>
      <c r="W275" s="15" t="str">
        <f t="shared" si="46"/>
        <v/>
      </c>
      <c r="X275" s="12" t="str">
        <f t="shared" si="47"/>
        <v/>
      </c>
      <c r="Y275" s="2"/>
      <c r="Z275" s="3"/>
      <c r="AA275" s="3"/>
      <c r="AB275" s="3"/>
      <c r="AC275" s="14" t="str">
        <f t="shared" si="48"/>
        <v/>
      </c>
      <c r="AD275" s="14" t="str">
        <f t="shared" si="49"/>
        <v/>
      </c>
    </row>
    <row r="276" spans="1:30">
      <c r="A276">
        <f t="shared" si="40"/>
        <v>273</v>
      </c>
      <c r="B276" s="2"/>
      <c r="C276" s="18"/>
      <c r="D276" s="2"/>
      <c r="E276" s="2"/>
      <c r="F276" s="3"/>
      <c r="G276" s="16"/>
      <c r="H276" s="16"/>
      <c r="I276" s="17" t="str">
        <f t="shared" ca="1" si="41"/>
        <v/>
      </c>
      <c r="J276" s="13" t="str">
        <f>IF(F276="","",'GİDER AYARLARI'!$B$4)</f>
        <v/>
      </c>
      <c r="K276" s="13" t="str">
        <f>IF(F276="","",'GİDER AYARLARI'!$B$5)</f>
        <v/>
      </c>
      <c r="L276" s="13" t="str">
        <f>IF(F276="","",'GİDER AYARLARI'!$B$6)</f>
        <v/>
      </c>
      <c r="M276" s="13" t="str">
        <f>IF(F276="","",'GİDER AYARLARI'!$B$7)</f>
        <v/>
      </c>
      <c r="N276" s="3"/>
      <c r="O276" s="13" t="str">
        <f ca="1">IF(OR(F276="",I276=""),"",IFERROR(IF(VLOOKUP(E276,'ALIM AYARLARI'!$A$4:$D$20,2,FALSE)="EVET",F276*'GİDER AYARLARI'!$B$8*I276/30,0),0))</f>
        <v/>
      </c>
      <c r="P276" s="14" t="str">
        <f t="shared" si="42"/>
        <v/>
      </c>
      <c r="Q276" s="14" t="str">
        <f t="shared" si="43"/>
        <v/>
      </c>
      <c r="R276" s="2"/>
      <c r="S276" s="2"/>
      <c r="T276" s="3"/>
      <c r="U276" s="14" t="str">
        <f t="shared" si="44"/>
        <v/>
      </c>
      <c r="V276" s="14" t="str">
        <f t="shared" si="45"/>
        <v/>
      </c>
      <c r="W276" s="15" t="str">
        <f t="shared" si="46"/>
        <v/>
      </c>
      <c r="X276" s="12" t="str">
        <f t="shared" si="47"/>
        <v/>
      </c>
      <c r="Y276" s="2"/>
      <c r="Z276" s="3"/>
      <c r="AA276" s="3"/>
      <c r="AB276" s="3"/>
      <c r="AC276" s="14" t="str">
        <f t="shared" si="48"/>
        <v/>
      </c>
      <c r="AD276" s="14" t="str">
        <f t="shared" si="49"/>
        <v/>
      </c>
    </row>
    <row r="277" spans="1:30">
      <c r="A277">
        <f t="shared" si="40"/>
        <v>274</v>
      </c>
      <c r="B277" s="2"/>
      <c r="C277" s="18"/>
      <c r="D277" s="2"/>
      <c r="E277" s="2"/>
      <c r="F277" s="3"/>
      <c r="G277" s="16"/>
      <c r="H277" s="16"/>
      <c r="I277" s="17" t="str">
        <f t="shared" ca="1" si="41"/>
        <v/>
      </c>
      <c r="J277" s="13" t="str">
        <f>IF(F277="","",'GİDER AYARLARI'!$B$4)</f>
        <v/>
      </c>
      <c r="K277" s="13" t="str">
        <f>IF(F277="","",'GİDER AYARLARI'!$B$5)</f>
        <v/>
      </c>
      <c r="L277" s="13" t="str">
        <f>IF(F277="","",'GİDER AYARLARI'!$B$6)</f>
        <v/>
      </c>
      <c r="M277" s="13" t="str">
        <f>IF(F277="","",'GİDER AYARLARI'!$B$7)</f>
        <v/>
      </c>
      <c r="N277" s="3"/>
      <c r="O277" s="13" t="str">
        <f ca="1">IF(OR(F277="",I277=""),"",IFERROR(IF(VLOOKUP(E277,'ALIM AYARLARI'!$A$4:$D$20,2,FALSE)="EVET",F277*'GİDER AYARLARI'!$B$8*I277/30,0),0))</f>
        <v/>
      </c>
      <c r="P277" s="14" t="str">
        <f t="shared" si="42"/>
        <v/>
      </c>
      <c r="Q277" s="14" t="str">
        <f t="shared" si="43"/>
        <v/>
      </c>
      <c r="R277" s="2"/>
      <c r="S277" s="2"/>
      <c r="T277" s="3"/>
      <c r="U277" s="14" t="str">
        <f t="shared" si="44"/>
        <v/>
      </c>
      <c r="V277" s="14" t="str">
        <f t="shared" si="45"/>
        <v/>
      </c>
      <c r="W277" s="15" t="str">
        <f t="shared" si="46"/>
        <v/>
      </c>
      <c r="X277" s="12" t="str">
        <f t="shared" si="47"/>
        <v/>
      </c>
      <c r="Y277" s="2"/>
      <c r="Z277" s="3"/>
      <c r="AA277" s="3"/>
      <c r="AB277" s="3"/>
      <c r="AC277" s="14" t="str">
        <f t="shared" si="48"/>
        <v/>
      </c>
      <c r="AD277" s="14" t="str">
        <f t="shared" si="49"/>
        <v/>
      </c>
    </row>
    <row r="278" spans="1:30">
      <c r="A278">
        <f t="shared" si="40"/>
        <v>275</v>
      </c>
      <c r="B278" s="2"/>
      <c r="C278" s="18"/>
      <c r="D278" s="2"/>
      <c r="E278" s="2"/>
      <c r="F278" s="3"/>
      <c r="G278" s="16"/>
      <c r="H278" s="16"/>
      <c r="I278" s="17" t="str">
        <f t="shared" ca="1" si="41"/>
        <v/>
      </c>
      <c r="J278" s="13" t="str">
        <f>IF(F278="","",'GİDER AYARLARI'!$B$4)</f>
        <v/>
      </c>
      <c r="K278" s="13" t="str">
        <f>IF(F278="","",'GİDER AYARLARI'!$B$5)</f>
        <v/>
      </c>
      <c r="L278" s="13" t="str">
        <f>IF(F278="","",'GİDER AYARLARI'!$B$6)</f>
        <v/>
      </c>
      <c r="M278" s="13" t="str">
        <f>IF(F278="","",'GİDER AYARLARI'!$B$7)</f>
        <v/>
      </c>
      <c r="N278" s="3"/>
      <c r="O278" s="13" t="str">
        <f ca="1">IF(OR(F278="",I278=""),"",IFERROR(IF(VLOOKUP(E278,'ALIM AYARLARI'!$A$4:$D$20,2,FALSE)="EVET",F278*'GİDER AYARLARI'!$B$8*I278/30,0),0))</f>
        <v/>
      </c>
      <c r="P278" s="14" t="str">
        <f t="shared" si="42"/>
        <v/>
      </c>
      <c r="Q278" s="14" t="str">
        <f t="shared" si="43"/>
        <v/>
      </c>
      <c r="R278" s="2"/>
      <c r="S278" s="2"/>
      <c r="T278" s="3"/>
      <c r="U278" s="14" t="str">
        <f t="shared" si="44"/>
        <v/>
      </c>
      <c r="V278" s="14" t="str">
        <f t="shared" si="45"/>
        <v/>
      </c>
      <c r="W278" s="15" t="str">
        <f t="shared" si="46"/>
        <v/>
      </c>
      <c r="X278" s="12" t="str">
        <f t="shared" si="47"/>
        <v/>
      </c>
      <c r="Y278" s="2"/>
      <c r="Z278" s="3"/>
      <c r="AA278" s="3"/>
      <c r="AB278" s="3"/>
      <c r="AC278" s="14" t="str">
        <f t="shared" si="48"/>
        <v/>
      </c>
      <c r="AD278" s="14" t="str">
        <f t="shared" si="49"/>
        <v/>
      </c>
    </row>
    <row r="279" spans="1:30">
      <c r="A279">
        <f t="shared" si="40"/>
        <v>276</v>
      </c>
      <c r="B279" s="2"/>
      <c r="C279" s="18"/>
      <c r="D279" s="2"/>
      <c r="E279" s="2"/>
      <c r="F279" s="3"/>
      <c r="G279" s="16"/>
      <c r="H279" s="16"/>
      <c r="I279" s="17" t="str">
        <f t="shared" ca="1" si="41"/>
        <v/>
      </c>
      <c r="J279" s="13" t="str">
        <f>IF(F279="","",'GİDER AYARLARI'!$B$4)</f>
        <v/>
      </c>
      <c r="K279" s="13" t="str">
        <f>IF(F279="","",'GİDER AYARLARI'!$B$5)</f>
        <v/>
      </c>
      <c r="L279" s="13" t="str">
        <f>IF(F279="","",'GİDER AYARLARI'!$B$6)</f>
        <v/>
      </c>
      <c r="M279" s="13" t="str">
        <f>IF(F279="","",'GİDER AYARLARI'!$B$7)</f>
        <v/>
      </c>
      <c r="N279" s="3"/>
      <c r="O279" s="13" t="str">
        <f ca="1">IF(OR(F279="",I279=""),"",IFERROR(IF(VLOOKUP(E279,'ALIM AYARLARI'!$A$4:$D$20,2,FALSE)="EVET",F279*'GİDER AYARLARI'!$B$8*I279/30,0),0))</f>
        <v/>
      </c>
      <c r="P279" s="14" t="str">
        <f t="shared" si="42"/>
        <v/>
      </c>
      <c r="Q279" s="14" t="str">
        <f t="shared" si="43"/>
        <v/>
      </c>
      <c r="R279" s="2"/>
      <c r="S279" s="2"/>
      <c r="T279" s="3"/>
      <c r="U279" s="14" t="str">
        <f t="shared" si="44"/>
        <v/>
      </c>
      <c r="V279" s="14" t="str">
        <f t="shared" si="45"/>
        <v/>
      </c>
      <c r="W279" s="15" t="str">
        <f t="shared" si="46"/>
        <v/>
      </c>
      <c r="X279" s="12" t="str">
        <f t="shared" si="47"/>
        <v/>
      </c>
      <c r="Y279" s="2"/>
      <c r="Z279" s="3"/>
      <c r="AA279" s="3"/>
      <c r="AB279" s="3"/>
      <c r="AC279" s="14" t="str">
        <f t="shared" si="48"/>
        <v/>
      </c>
      <c r="AD279" s="14" t="str">
        <f t="shared" si="49"/>
        <v/>
      </c>
    </row>
    <row r="280" spans="1:30">
      <c r="A280">
        <f t="shared" si="40"/>
        <v>277</v>
      </c>
      <c r="B280" s="2"/>
      <c r="C280" s="18"/>
      <c r="D280" s="2"/>
      <c r="E280" s="2"/>
      <c r="F280" s="3"/>
      <c r="G280" s="16"/>
      <c r="H280" s="16"/>
      <c r="I280" s="17" t="str">
        <f t="shared" ca="1" si="41"/>
        <v/>
      </c>
      <c r="J280" s="13" t="str">
        <f>IF(F280="","",'GİDER AYARLARI'!$B$4)</f>
        <v/>
      </c>
      <c r="K280" s="13" t="str">
        <f>IF(F280="","",'GİDER AYARLARI'!$B$5)</f>
        <v/>
      </c>
      <c r="L280" s="13" t="str">
        <f>IF(F280="","",'GİDER AYARLARI'!$B$6)</f>
        <v/>
      </c>
      <c r="M280" s="13" t="str">
        <f>IF(F280="","",'GİDER AYARLARI'!$B$7)</f>
        <v/>
      </c>
      <c r="N280" s="3"/>
      <c r="O280" s="13" t="str">
        <f ca="1">IF(OR(F280="",I280=""),"",IFERROR(IF(VLOOKUP(E280,'ALIM AYARLARI'!$A$4:$D$20,2,FALSE)="EVET",F280*'GİDER AYARLARI'!$B$8*I280/30,0),0))</f>
        <v/>
      </c>
      <c r="P280" s="14" t="str">
        <f t="shared" si="42"/>
        <v/>
      </c>
      <c r="Q280" s="14" t="str">
        <f t="shared" si="43"/>
        <v/>
      </c>
      <c r="R280" s="2"/>
      <c r="S280" s="2"/>
      <c r="T280" s="3"/>
      <c r="U280" s="14" t="str">
        <f t="shared" si="44"/>
        <v/>
      </c>
      <c r="V280" s="14" t="str">
        <f t="shared" si="45"/>
        <v/>
      </c>
      <c r="W280" s="15" t="str">
        <f t="shared" si="46"/>
        <v/>
      </c>
      <c r="X280" s="12" t="str">
        <f t="shared" si="47"/>
        <v/>
      </c>
      <c r="Y280" s="2"/>
      <c r="Z280" s="3"/>
      <c r="AA280" s="3"/>
      <c r="AB280" s="3"/>
      <c r="AC280" s="14" t="str">
        <f t="shared" si="48"/>
        <v/>
      </c>
      <c r="AD280" s="14" t="str">
        <f t="shared" si="49"/>
        <v/>
      </c>
    </row>
    <row r="281" spans="1:30">
      <c r="A281">
        <f t="shared" si="40"/>
        <v>278</v>
      </c>
      <c r="B281" s="2"/>
      <c r="C281" s="18"/>
      <c r="D281" s="2"/>
      <c r="E281" s="2"/>
      <c r="F281" s="3"/>
      <c r="G281" s="16"/>
      <c r="H281" s="16"/>
      <c r="I281" s="17" t="str">
        <f t="shared" ca="1" si="41"/>
        <v/>
      </c>
      <c r="J281" s="13" t="str">
        <f>IF(F281="","",'GİDER AYARLARI'!$B$4)</f>
        <v/>
      </c>
      <c r="K281" s="13" t="str">
        <f>IF(F281="","",'GİDER AYARLARI'!$B$5)</f>
        <v/>
      </c>
      <c r="L281" s="13" t="str">
        <f>IF(F281="","",'GİDER AYARLARI'!$B$6)</f>
        <v/>
      </c>
      <c r="M281" s="13" t="str">
        <f>IF(F281="","",'GİDER AYARLARI'!$B$7)</f>
        <v/>
      </c>
      <c r="N281" s="3"/>
      <c r="O281" s="13" t="str">
        <f ca="1">IF(OR(F281="",I281=""),"",IFERROR(IF(VLOOKUP(E281,'ALIM AYARLARI'!$A$4:$D$20,2,FALSE)="EVET",F281*'GİDER AYARLARI'!$B$8*I281/30,0),0))</f>
        <v/>
      </c>
      <c r="P281" s="14" t="str">
        <f t="shared" si="42"/>
        <v/>
      </c>
      <c r="Q281" s="14" t="str">
        <f t="shared" si="43"/>
        <v/>
      </c>
      <c r="R281" s="2"/>
      <c r="S281" s="2"/>
      <c r="T281" s="3"/>
      <c r="U281" s="14" t="str">
        <f t="shared" si="44"/>
        <v/>
      </c>
      <c r="V281" s="14" t="str">
        <f t="shared" si="45"/>
        <v/>
      </c>
      <c r="W281" s="15" t="str">
        <f t="shared" si="46"/>
        <v/>
      </c>
      <c r="X281" s="12" t="str">
        <f t="shared" si="47"/>
        <v/>
      </c>
      <c r="Y281" s="2"/>
      <c r="Z281" s="3"/>
      <c r="AA281" s="3"/>
      <c r="AB281" s="3"/>
      <c r="AC281" s="14" t="str">
        <f t="shared" si="48"/>
        <v/>
      </c>
      <c r="AD281" s="14" t="str">
        <f t="shared" si="49"/>
        <v/>
      </c>
    </row>
    <row r="282" spans="1:30">
      <c r="A282">
        <f t="shared" si="40"/>
        <v>279</v>
      </c>
      <c r="B282" s="2"/>
      <c r="C282" s="18"/>
      <c r="D282" s="2"/>
      <c r="E282" s="2"/>
      <c r="F282" s="3"/>
      <c r="G282" s="16"/>
      <c r="H282" s="16"/>
      <c r="I282" s="17" t="str">
        <f t="shared" ca="1" si="41"/>
        <v/>
      </c>
      <c r="J282" s="13" t="str">
        <f>IF(F282="","",'GİDER AYARLARI'!$B$4)</f>
        <v/>
      </c>
      <c r="K282" s="13" t="str">
        <f>IF(F282="","",'GİDER AYARLARI'!$B$5)</f>
        <v/>
      </c>
      <c r="L282" s="13" t="str">
        <f>IF(F282="","",'GİDER AYARLARI'!$B$6)</f>
        <v/>
      </c>
      <c r="M282" s="13" t="str">
        <f>IF(F282="","",'GİDER AYARLARI'!$B$7)</f>
        <v/>
      </c>
      <c r="N282" s="3"/>
      <c r="O282" s="13" t="str">
        <f ca="1">IF(OR(F282="",I282=""),"",IFERROR(IF(VLOOKUP(E282,'ALIM AYARLARI'!$A$4:$D$20,2,FALSE)="EVET",F282*'GİDER AYARLARI'!$B$8*I282/30,0),0))</f>
        <v/>
      </c>
      <c r="P282" s="14" t="str">
        <f t="shared" si="42"/>
        <v/>
      </c>
      <c r="Q282" s="14" t="str">
        <f t="shared" si="43"/>
        <v/>
      </c>
      <c r="R282" s="2"/>
      <c r="S282" s="2"/>
      <c r="T282" s="3"/>
      <c r="U282" s="14" t="str">
        <f t="shared" si="44"/>
        <v/>
      </c>
      <c r="V282" s="14" t="str">
        <f t="shared" si="45"/>
        <v/>
      </c>
      <c r="W282" s="15" t="str">
        <f t="shared" si="46"/>
        <v/>
      </c>
      <c r="X282" s="12" t="str">
        <f t="shared" si="47"/>
        <v/>
      </c>
      <c r="Y282" s="2"/>
      <c r="Z282" s="3"/>
      <c r="AA282" s="3"/>
      <c r="AB282" s="3"/>
      <c r="AC282" s="14" t="str">
        <f t="shared" si="48"/>
        <v/>
      </c>
      <c r="AD282" s="14" t="str">
        <f t="shared" si="49"/>
        <v/>
      </c>
    </row>
    <row r="283" spans="1:30">
      <c r="A283">
        <f t="shared" si="40"/>
        <v>280</v>
      </c>
      <c r="B283" s="2"/>
      <c r="C283" s="18"/>
      <c r="D283" s="2"/>
      <c r="E283" s="2"/>
      <c r="F283" s="3"/>
      <c r="G283" s="16"/>
      <c r="H283" s="16"/>
      <c r="I283" s="17" t="str">
        <f t="shared" ca="1" si="41"/>
        <v/>
      </c>
      <c r="J283" s="13" t="str">
        <f>IF(F283="","",'GİDER AYARLARI'!$B$4)</f>
        <v/>
      </c>
      <c r="K283" s="13" t="str">
        <f>IF(F283="","",'GİDER AYARLARI'!$B$5)</f>
        <v/>
      </c>
      <c r="L283" s="13" t="str">
        <f>IF(F283="","",'GİDER AYARLARI'!$B$6)</f>
        <v/>
      </c>
      <c r="M283" s="13" t="str">
        <f>IF(F283="","",'GİDER AYARLARI'!$B$7)</f>
        <v/>
      </c>
      <c r="N283" s="3"/>
      <c r="O283" s="13" t="str">
        <f ca="1">IF(OR(F283="",I283=""),"",IFERROR(IF(VLOOKUP(E283,'ALIM AYARLARI'!$A$4:$D$20,2,FALSE)="EVET",F283*'GİDER AYARLARI'!$B$8*I283/30,0),0))</f>
        <v/>
      </c>
      <c r="P283" s="14" t="str">
        <f t="shared" si="42"/>
        <v/>
      </c>
      <c r="Q283" s="14" t="str">
        <f t="shared" si="43"/>
        <v/>
      </c>
      <c r="R283" s="2"/>
      <c r="S283" s="2"/>
      <c r="T283" s="3"/>
      <c r="U283" s="14" t="str">
        <f t="shared" si="44"/>
        <v/>
      </c>
      <c r="V283" s="14" t="str">
        <f t="shared" si="45"/>
        <v/>
      </c>
      <c r="W283" s="15" t="str">
        <f t="shared" si="46"/>
        <v/>
      </c>
      <c r="X283" s="12" t="str">
        <f t="shared" si="47"/>
        <v/>
      </c>
      <c r="Y283" s="2"/>
      <c r="Z283" s="3"/>
      <c r="AA283" s="3"/>
      <c r="AB283" s="3"/>
      <c r="AC283" s="14" t="str">
        <f t="shared" si="48"/>
        <v/>
      </c>
      <c r="AD283" s="14" t="str">
        <f t="shared" si="49"/>
        <v/>
      </c>
    </row>
    <row r="284" spans="1:30">
      <c r="A284">
        <f t="shared" si="40"/>
        <v>281</v>
      </c>
      <c r="B284" s="2"/>
      <c r="C284" s="18"/>
      <c r="D284" s="2"/>
      <c r="E284" s="2"/>
      <c r="F284" s="3"/>
      <c r="G284" s="16"/>
      <c r="H284" s="16"/>
      <c r="I284" s="17" t="str">
        <f t="shared" ca="1" si="41"/>
        <v/>
      </c>
      <c r="J284" s="13" t="str">
        <f>IF(F284="","",'GİDER AYARLARI'!$B$4)</f>
        <v/>
      </c>
      <c r="K284" s="13" t="str">
        <f>IF(F284="","",'GİDER AYARLARI'!$B$5)</f>
        <v/>
      </c>
      <c r="L284" s="13" t="str">
        <f>IF(F284="","",'GİDER AYARLARI'!$B$6)</f>
        <v/>
      </c>
      <c r="M284" s="13" t="str">
        <f>IF(F284="","",'GİDER AYARLARI'!$B$7)</f>
        <v/>
      </c>
      <c r="N284" s="3"/>
      <c r="O284" s="13" t="str">
        <f ca="1">IF(OR(F284="",I284=""),"",IFERROR(IF(VLOOKUP(E284,'ALIM AYARLARI'!$A$4:$D$20,2,FALSE)="EVET",F284*'GİDER AYARLARI'!$B$8*I284/30,0),0))</f>
        <v/>
      </c>
      <c r="P284" s="14" t="str">
        <f t="shared" si="42"/>
        <v/>
      </c>
      <c r="Q284" s="14" t="str">
        <f t="shared" si="43"/>
        <v/>
      </c>
      <c r="R284" s="2"/>
      <c r="S284" s="2"/>
      <c r="T284" s="3"/>
      <c r="U284" s="14" t="str">
        <f t="shared" si="44"/>
        <v/>
      </c>
      <c r="V284" s="14" t="str">
        <f t="shared" si="45"/>
        <v/>
      </c>
      <c r="W284" s="15" t="str">
        <f t="shared" si="46"/>
        <v/>
      </c>
      <c r="X284" s="12" t="str">
        <f t="shared" si="47"/>
        <v/>
      </c>
      <c r="Y284" s="2"/>
      <c r="Z284" s="3"/>
      <c r="AA284" s="3"/>
      <c r="AB284" s="3"/>
      <c r="AC284" s="14" t="str">
        <f t="shared" si="48"/>
        <v/>
      </c>
      <c r="AD284" s="14" t="str">
        <f t="shared" si="49"/>
        <v/>
      </c>
    </row>
    <row r="285" spans="1:30">
      <c r="A285">
        <f t="shared" si="40"/>
        <v>282</v>
      </c>
      <c r="B285" s="2"/>
      <c r="C285" s="18"/>
      <c r="D285" s="2"/>
      <c r="E285" s="2"/>
      <c r="F285" s="3"/>
      <c r="G285" s="16"/>
      <c r="H285" s="16"/>
      <c r="I285" s="17" t="str">
        <f t="shared" ca="1" si="41"/>
        <v/>
      </c>
      <c r="J285" s="13" t="str">
        <f>IF(F285="","",'GİDER AYARLARI'!$B$4)</f>
        <v/>
      </c>
      <c r="K285" s="13" t="str">
        <f>IF(F285="","",'GİDER AYARLARI'!$B$5)</f>
        <v/>
      </c>
      <c r="L285" s="13" t="str">
        <f>IF(F285="","",'GİDER AYARLARI'!$B$6)</f>
        <v/>
      </c>
      <c r="M285" s="13" t="str">
        <f>IF(F285="","",'GİDER AYARLARI'!$B$7)</f>
        <v/>
      </c>
      <c r="N285" s="3"/>
      <c r="O285" s="13" t="str">
        <f ca="1">IF(OR(F285="",I285=""),"",IFERROR(IF(VLOOKUP(E285,'ALIM AYARLARI'!$A$4:$D$20,2,FALSE)="EVET",F285*'GİDER AYARLARI'!$B$8*I285/30,0),0))</f>
        <v/>
      </c>
      <c r="P285" s="14" t="str">
        <f t="shared" si="42"/>
        <v/>
      </c>
      <c r="Q285" s="14" t="str">
        <f t="shared" si="43"/>
        <v/>
      </c>
      <c r="R285" s="2"/>
      <c r="S285" s="2"/>
      <c r="T285" s="3"/>
      <c r="U285" s="14" t="str">
        <f t="shared" si="44"/>
        <v/>
      </c>
      <c r="V285" s="14" t="str">
        <f t="shared" si="45"/>
        <v/>
      </c>
      <c r="W285" s="15" t="str">
        <f t="shared" si="46"/>
        <v/>
      </c>
      <c r="X285" s="12" t="str">
        <f t="shared" si="47"/>
        <v/>
      </c>
      <c r="Y285" s="2"/>
      <c r="Z285" s="3"/>
      <c r="AA285" s="3"/>
      <c r="AB285" s="3"/>
      <c r="AC285" s="14" t="str">
        <f t="shared" si="48"/>
        <v/>
      </c>
      <c r="AD285" s="14" t="str">
        <f t="shared" si="49"/>
        <v/>
      </c>
    </row>
    <row r="286" spans="1:30">
      <c r="A286">
        <f t="shared" si="40"/>
        <v>283</v>
      </c>
      <c r="B286" s="2"/>
      <c r="C286" s="18"/>
      <c r="D286" s="2"/>
      <c r="E286" s="2"/>
      <c r="F286" s="3"/>
      <c r="G286" s="16"/>
      <c r="H286" s="16"/>
      <c r="I286" s="17" t="str">
        <f t="shared" ca="1" si="41"/>
        <v/>
      </c>
      <c r="J286" s="13" t="str">
        <f>IF(F286="","",'GİDER AYARLARI'!$B$4)</f>
        <v/>
      </c>
      <c r="K286" s="13" t="str">
        <f>IF(F286="","",'GİDER AYARLARI'!$B$5)</f>
        <v/>
      </c>
      <c r="L286" s="13" t="str">
        <f>IF(F286="","",'GİDER AYARLARI'!$B$6)</f>
        <v/>
      </c>
      <c r="M286" s="13" t="str">
        <f>IF(F286="","",'GİDER AYARLARI'!$B$7)</f>
        <v/>
      </c>
      <c r="N286" s="3"/>
      <c r="O286" s="13" t="str">
        <f ca="1">IF(OR(F286="",I286=""),"",IFERROR(IF(VLOOKUP(E286,'ALIM AYARLARI'!$A$4:$D$20,2,FALSE)="EVET",F286*'GİDER AYARLARI'!$B$8*I286/30,0),0))</f>
        <v/>
      </c>
      <c r="P286" s="14" t="str">
        <f t="shared" si="42"/>
        <v/>
      </c>
      <c r="Q286" s="14" t="str">
        <f t="shared" si="43"/>
        <v/>
      </c>
      <c r="R286" s="2"/>
      <c r="S286" s="2"/>
      <c r="T286" s="3"/>
      <c r="U286" s="14" t="str">
        <f t="shared" si="44"/>
        <v/>
      </c>
      <c r="V286" s="14" t="str">
        <f t="shared" si="45"/>
        <v/>
      </c>
      <c r="W286" s="15" t="str">
        <f t="shared" si="46"/>
        <v/>
      </c>
      <c r="X286" s="12" t="str">
        <f t="shared" si="47"/>
        <v/>
      </c>
      <c r="Y286" s="2"/>
      <c r="Z286" s="3"/>
      <c r="AA286" s="3"/>
      <c r="AB286" s="3"/>
      <c r="AC286" s="14" t="str">
        <f t="shared" si="48"/>
        <v/>
      </c>
      <c r="AD286" s="14" t="str">
        <f t="shared" si="49"/>
        <v/>
      </c>
    </row>
    <row r="287" spans="1:30">
      <c r="A287">
        <f t="shared" si="40"/>
        <v>284</v>
      </c>
      <c r="B287" s="2"/>
      <c r="C287" s="18"/>
      <c r="D287" s="2"/>
      <c r="E287" s="2"/>
      <c r="F287" s="3"/>
      <c r="G287" s="16"/>
      <c r="H287" s="16"/>
      <c r="I287" s="17" t="str">
        <f t="shared" ca="1" si="41"/>
        <v/>
      </c>
      <c r="J287" s="13" t="str">
        <f>IF(F287="","",'GİDER AYARLARI'!$B$4)</f>
        <v/>
      </c>
      <c r="K287" s="13" t="str">
        <f>IF(F287="","",'GİDER AYARLARI'!$B$5)</f>
        <v/>
      </c>
      <c r="L287" s="13" t="str">
        <f>IF(F287="","",'GİDER AYARLARI'!$B$6)</f>
        <v/>
      </c>
      <c r="M287" s="13" t="str">
        <f>IF(F287="","",'GİDER AYARLARI'!$B$7)</f>
        <v/>
      </c>
      <c r="N287" s="3"/>
      <c r="O287" s="13" t="str">
        <f ca="1">IF(OR(F287="",I287=""),"",IFERROR(IF(VLOOKUP(E287,'ALIM AYARLARI'!$A$4:$D$20,2,FALSE)="EVET",F287*'GİDER AYARLARI'!$B$8*I287/30,0),0))</f>
        <v/>
      </c>
      <c r="P287" s="14" t="str">
        <f t="shared" si="42"/>
        <v/>
      </c>
      <c r="Q287" s="14" t="str">
        <f t="shared" si="43"/>
        <v/>
      </c>
      <c r="R287" s="2"/>
      <c r="S287" s="2"/>
      <c r="T287" s="3"/>
      <c r="U287" s="14" t="str">
        <f t="shared" si="44"/>
        <v/>
      </c>
      <c r="V287" s="14" t="str">
        <f t="shared" si="45"/>
        <v/>
      </c>
      <c r="W287" s="15" t="str">
        <f t="shared" si="46"/>
        <v/>
      </c>
      <c r="X287" s="12" t="str">
        <f t="shared" si="47"/>
        <v/>
      </c>
      <c r="Y287" s="2"/>
      <c r="Z287" s="3"/>
      <c r="AA287" s="3"/>
      <c r="AB287" s="3"/>
      <c r="AC287" s="14" t="str">
        <f t="shared" si="48"/>
        <v/>
      </c>
      <c r="AD287" s="14" t="str">
        <f t="shared" si="49"/>
        <v/>
      </c>
    </row>
    <row r="288" spans="1:30">
      <c r="A288">
        <f t="shared" si="40"/>
        <v>285</v>
      </c>
      <c r="B288" s="2"/>
      <c r="C288" s="18"/>
      <c r="D288" s="2"/>
      <c r="E288" s="2"/>
      <c r="F288" s="3"/>
      <c r="G288" s="16"/>
      <c r="H288" s="16"/>
      <c r="I288" s="17" t="str">
        <f t="shared" ca="1" si="41"/>
        <v/>
      </c>
      <c r="J288" s="13" t="str">
        <f>IF(F288="","",'GİDER AYARLARI'!$B$4)</f>
        <v/>
      </c>
      <c r="K288" s="13" t="str">
        <f>IF(F288="","",'GİDER AYARLARI'!$B$5)</f>
        <v/>
      </c>
      <c r="L288" s="13" t="str">
        <f>IF(F288="","",'GİDER AYARLARI'!$B$6)</f>
        <v/>
      </c>
      <c r="M288" s="13" t="str">
        <f>IF(F288="","",'GİDER AYARLARI'!$B$7)</f>
        <v/>
      </c>
      <c r="N288" s="3"/>
      <c r="O288" s="13" t="str">
        <f ca="1">IF(OR(F288="",I288=""),"",IFERROR(IF(VLOOKUP(E288,'ALIM AYARLARI'!$A$4:$D$20,2,FALSE)="EVET",F288*'GİDER AYARLARI'!$B$8*I288/30,0),0))</f>
        <v/>
      </c>
      <c r="P288" s="14" t="str">
        <f t="shared" si="42"/>
        <v/>
      </c>
      <c r="Q288" s="14" t="str">
        <f t="shared" si="43"/>
        <v/>
      </c>
      <c r="R288" s="2"/>
      <c r="S288" s="2"/>
      <c r="T288" s="3"/>
      <c r="U288" s="14" t="str">
        <f t="shared" si="44"/>
        <v/>
      </c>
      <c r="V288" s="14" t="str">
        <f t="shared" si="45"/>
        <v/>
      </c>
      <c r="W288" s="15" t="str">
        <f t="shared" si="46"/>
        <v/>
      </c>
      <c r="X288" s="12" t="str">
        <f t="shared" si="47"/>
        <v/>
      </c>
      <c r="Y288" s="2"/>
      <c r="Z288" s="3"/>
      <c r="AA288" s="3"/>
      <c r="AB288" s="3"/>
      <c r="AC288" s="14" t="str">
        <f t="shared" si="48"/>
        <v/>
      </c>
      <c r="AD288" s="14" t="str">
        <f t="shared" si="49"/>
        <v/>
      </c>
    </row>
    <row r="289" spans="1:30">
      <c r="A289">
        <f t="shared" si="40"/>
        <v>286</v>
      </c>
      <c r="B289" s="2"/>
      <c r="C289" s="18"/>
      <c r="D289" s="2"/>
      <c r="E289" s="2"/>
      <c r="F289" s="3"/>
      <c r="G289" s="16"/>
      <c r="H289" s="16"/>
      <c r="I289" s="17" t="str">
        <f t="shared" ca="1" si="41"/>
        <v/>
      </c>
      <c r="J289" s="13" t="str">
        <f>IF(F289="","",'GİDER AYARLARI'!$B$4)</f>
        <v/>
      </c>
      <c r="K289" s="13" t="str">
        <f>IF(F289="","",'GİDER AYARLARI'!$B$5)</f>
        <v/>
      </c>
      <c r="L289" s="13" t="str">
        <f>IF(F289="","",'GİDER AYARLARI'!$B$6)</f>
        <v/>
      </c>
      <c r="M289" s="13" t="str">
        <f>IF(F289="","",'GİDER AYARLARI'!$B$7)</f>
        <v/>
      </c>
      <c r="N289" s="3"/>
      <c r="O289" s="13" t="str">
        <f ca="1">IF(OR(F289="",I289=""),"",IFERROR(IF(VLOOKUP(E289,'ALIM AYARLARI'!$A$4:$D$20,2,FALSE)="EVET",F289*'GİDER AYARLARI'!$B$8*I289/30,0),0))</f>
        <v/>
      </c>
      <c r="P289" s="14" t="str">
        <f t="shared" si="42"/>
        <v/>
      </c>
      <c r="Q289" s="14" t="str">
        <f t="shared" si="43"/>
        <v/>
      </c>
      <c r="R289" s="2"/>
      <c r="S289" s="2"/>
      <c r="T289" s="3"/>
      <c r="U289" s="14" t="str">
        <f t="shared" si="44"/>
        <v/>
      </c>
      <c r="V289" s="14" t="str">
        <f t="shared" si="45"/>
        <v/>
      </c>
      <c r="W289" s="15" t="str">
        <f t="shared" si="46"/>
        <v/>
      </c>
      <c r="X289" s="12" t="str">
        <f t="shared" si="47"/>
        <v/>
      </c>
      <c r="Y289" s="2"/>
      <c r="Z289" s="3"/>
      <c r="AA289" s="3"/>
      <c r="AB289" s="3"/>
      <c r="AC289" s="14" t="str">
        <f t="shared" si="48"/>
        <v/>
      </c>
      <c r="AD289" s="14" t="str">
        <f t="shared" si="49"/>
        <v/>
      </c>
    </row>
    <row r="290" spans="1:30">
      <c r="A290">
        <f t="shared" si="40"/>
        <v>287</v>
      </c>
      <c r="B290" s="2"/>
      <c r="C290" s="18"/>
      <c r="D290" s="2"/>
      <c r="E290" s="2"/>
      <c r="F290" s="3"/>
      <c r="G290" s="16"/>
      <c r="H290" s="16"/>
      <c r="I290" s="17" t="str">
        <f t="shared" ca="1" si="41"/>
        <v/>
      </c>
      <c r="J290" s="13" t="str">
        <f>IF(F290="","",'GİDER AYARLARI'!$B$4)</f>
        <v/>
      </c>
      <c r="K290" s="13" t="str">
        <f>IF(F290="","",'GİDER AYARLARI'!$B$5)</f>
        <v/>
      </c>
      <c r="L290" s="13" t="str">
        <f>IF(F290="","",'GİDER AYARLARI'!$B$6)</f>
        <v/>
      </c>
      <c r="M290" s="13" t="str">
        <f>IF(F290="","",'GİDER AYARLARI'!$B$7)</f>
        <v/>
      </c>
      <c r="N290" s="3"/>
      <c r="O290" s="13" t="str">
        <f ca="1">IF(OR(F290="",I290=""),"",IFERROR(IF(VLOOKUP(E290,'ALIM AYARLARI'!$A$4:$D$20,2,FALSE)="EVET",F290*'GİDER AYARLARI'!$B$8*I290/30,0),0))</f>
        <v/>
      </c>
      <c r="P290" s="14" t="str">
        <f t="shared" si="42"/>
        <v/>
      </c>
      <c r="Q290" s="14" t="str">
        <f t="shared" si="43"/>
        <v/>
      </c>
      <c r="R290" s="2"/>
      <c r="S290" s="2"/>
      <c r="T290" s="3"/>
      <c r="U290" s="14" t="str">
        <f t="shared" si="44"/>
        <v/>
      </c>
      <c r="V290" s="14" t="str">
        <f t="shared" si="45"/>
        <v/>
      </c>
      <c r="W290" s="15" t="str">
        <f t="shared" si="46"/>
        <v/>
      </c>
      <c r="X290" s="12" t="str">
        <f t="shared" si="47"/>
        <v/>
      </c>
      <c r="Y290" s="2"/>
      <c r="Z290" s="3"/>
      <c r="AA290" s="3"/>
      <c r="AB290" s="3"/>
      <c r="AC290" s="14" t="str">
        <f t="shared" si="48"/>
        <v/>
      </c>
      <c r="AD290" s="14" t="str">
        <f t="shared" si="49"/>
        <v/>
      </c>
    </row>
    <row r="291" spans="1:30">
      <c r="A291">
        <f t="shared" si="40"/>
        <v>288</v>
      </c>
      <c r="B291" s="2"/>
      <c r="C291" s="18"/>
      <c r="D291" s="2"/>
      <c r="E291" s="2"/>
      <c r="F291" s="3"/>
      <c r="G291" s="16"/>
      <c r="H291" s="16"/>
      <c r="I291" s="17" t="str">
        <f t="shared" ca="1" si="41"/>
        <v/>
      </c>
      <c r="J291" s="13" t="str">
        <f>IF(F291="","",'GİDER AYARLARI'!$B$4)</f>
        <v/>
      </c>
      <c r="K291" s="13" t="str">
        <f>IF(F291="","",'GİDER AYARLARI'!$B$5)</f>
        <v/>
      </c>
      <c r="L291" s="13" t="str">
        <f>IF(F291="","",'GİDER AYARLARI'!$B$6)</f>
        <v/>
      </c>
      <c r="M291" s="13" t="str">
        <f>IF(F291="","",'GİDER AYARLARI'!$B$7)</f>
        <v/>
      </c>
      <c r="N291" s="3"/>
      <c r="O291" s="13" t="str">
        <f ca="1">IF(OR(F291="",I291=""),"",IFERROR(IF(VLOOKUP(E291,'ALIM AYARLARI'!$A$4:$D$20,2,FALSE)="EVET",F291*'GİDER AYARLARI'!$B$8*I291/30,0),0))</f>
        <v/>
      </c>
      <c r="P291" s="14" t="str">
        <f t="shared" si="42"/>
        <v/>
      </c>
      <c r="Q291" s="14" t="str">
        <f t="shared" si="43"/>
        <v/>
      </c>
      <c r="R291" s="2"/>
      <c r="S291" s="2"/>
      <c r="T291" s="3"/>
      <c r="U291" s="14" t="str">
        <f t="shared" si="44"/>
        <v/>
      </c>
      <c r="V291" s="14" t="str">
        <f t="shared" si="45"/>
        <v/>
      </c>
      <c r="W291" s="15" t="str">
        <f t="shared" si="46"/>
        <v/>
      </c>
      <c r="X291" s="12" t="str">
        <f t="shared" si="47"/>
        <v/>
      </c>
      <c r="Y291" s="2"/>
      <c r="Z291" s="3"/>
      <c r="AA291" s="3"/>
      <c r="AB291" s="3"/>
      <c r="AC291" s="14" t="str">
        <f t="shared" si="48"/>
        <v/>
      </c>
      <c r="AD291" s="14" t="str">
        <f t="shared" si="49"/>
        <v/>
      </c>
    </row>
    <row r="292" spans="1:30">
      <c r="A292">
        <f t="shared" si="40"/>
        <v>289</v>
      </c>
      <c r="B292" s="2"/>
      <c r="C292" s="18"/>
      <c r="D292" s="2"/>
      <c r="E292" s="2"/>
      <c r="F292" s="3"/>
      <c r="G292" s="16"/>
      <c r="H292" s="16"/>
      <c r="I292" s="17" t="str">
        <f t="shared" ca="1" si="41"/>
        <v/>
      </c>
      <c r="J292" s="13" t="str">
        <f>IF(F292="","",'GİDER AYARLARI'!$B$4)</f>
        <v/>
      </c>
      <c r="K292" s="13" t="str">
        <f>IF(F292="","",'GİDER AYARLARI'!$B$5)</f>
        <v/>
      </c>
      <c r="L292" s="13" t="str">
        <f>IF(F292="","",'GİDER AYARLARI'!$B$6)</f>
        <v/>
      </c>
      <c r="M292" s="13" t="str">
        <f>IF(F292="","",'GİDER AYARLARI'!$B$7)</f>
        <v/>
      </c>
      <c r="N292" s="3"/>
      <c r="O292" s="13" t="str">
        <f ca="1">IF(OR(F292="",I292=""),"",IFERROR(IF(VLOOKUP(E292,'ALIM AYARLARI'!$A$4:$D$20,2,FALSE)="EVET",F292*'GİDER AYARLARI'!$B$8*I292/30,0),0))</f>
        <v/>
      </c>
      <c r="P292" s="14" t="str">
        <f t="shared" si="42"/>
        <v/>
      </c>
      <c r="Q292" s="14" t="str">
        <f t="shared" si="43"/>
        <v/>
      </c>
      <c r="R292" s="2"/>
      <c r="S292" s="2"/>
      <c r="T292" s="3"/>
      <c r="U292" s="14" t="str">
        <f t="shared" si="44"/>
        <v/>
      </c>
      <c r="V292" s="14" t="str">
        <f t="shared" si="45"/>
        <v/>
      </c>
      <c r="W292" s="15" t="str">
        <f t="shared" si="46"/>
        <v/>
      </c>
      <c r="X292" s="12" t="str">
        <f t="shared" si="47"/>
        <v/>
      </c>
      <c r="Y292" s="2"/>
      <c r="Z292" s="3"/>
      <c r="AA292" s="3"/>
      <c r="AB292" s="3"/>
      <c r="AC292" s="14" t="str">
        <f t="shared" si="48"/>
        <v/>
      </c>
      <c r="AD292" s="14" t="str">
        <f t="shared" si="49"/>
        <v/>
      </c>
    </row>
    <row r="293" spans="1:30">
      <c r="A293">
        <f t="shared" si="40"/>
        <v>290</v>
      </c>
      <c r="B293" s="2"/>
      <c r="C293" s="18"/>
      <c r="D293" s="2"/>
      <c r="E293" s="2"/>
      <c r="F293" s="3"/>
      <c r="G293" s="16"/>
      <c r="H293" s="16"/>
      <c r="I293" s="17" t="str">
        <f t="shared" ca="1" si="41"/>
        <v/>
      </c>
      <c r="J293" s="13" t="str">
        <f>IF(F293="","",'GİDER AYARLARI'!$B$4)</f>
        <v/>
      </c>
      <c r="K293" s="13" t="str">
        <f>IF(F293="","",'GİDER AYARLARI'!$B$5)</f>
        <v/>
      </c>
      <c r="L293" s="13" t="str">
        <f>IF(F293="","",'GİDER AYARLARI'!$B$6)</f>
        <v/>
      </c>
      <c r="M293" s="13" t="str">
        <f>IF(F293="","",'GİDER AYARLARI'!$B$7)</f>
        <v/>
      </c>
      <c r="N293" s="3"/>
      <c r="O293" s="13" t="str">
        <f ca="1">IF(OR(F293="",I293=""),"",IFERROR(IF(VLOOKUP(E293,'ALIM AYARLARI'!$A$4:$D$20,2,FALSE)="EVET",F293*'GİDER AYARLARI'!$B$8*I293/30,0),0))</f>
        <v/>
      </c>
      <c r="P293" s="14" t="str">
        <f t="shared" si="42"/>
        <v/>
      </c>
      <c r="Q293" s="14" t="str">
        <f t="shared" si="43"/>
        <v/>
      </c>
      <c r="R293" s="2"/>
      <c r="S293" s="2"/>
      <c r="T293" s="3"/>
      <c r="U293" s="14" t="str">
        <f t="shared" si="44"/>
        <v/>
      </c>
      <c r="V293" s="14" t="str">
        <f t="shared" si="45"/>
        <v/>
      </c>
      <c r="W293" s="15" t="str">
        <f t="shared" si="46"/>
        <v/>
      </c>
      <c r="X293" s="12" t="str">
        <f t="shared" si="47"/>
        <v/>
      </c>
      <c r="Y293" s="2"/>
      <c r="Z293" s="3"/>
      <c r="AA293" s="3"/>
      <c r="AB293" s="3"/>
      <c r="AC293" s="14" t="str">
        <f t="shared" si="48"/>
        <v/>
      </c>
      <c r="AD293" s="14" t="str">
        <f t="shared" si="49"/>
        <v/>
      </c>
    </row>
    <row r="294" spans="1:30">
      <c r="A294">
        <f t="shared" si="40"/>
        <v>291</v>
      </c>
      <c r="B294" s="2"/>
      <c r="C294" s="18"/>
      <c r="D294" s="2"/>
      <c r="E294" s="2"/>
      <c r="F294" s="3"/>
      <c r="G294" s="16"/>
      <c r="H294" s="16"/>
      <c r="I294" s="17" t="str">
        <f t="shared" ca="1" si="41"/>
        <v/>
      </c>
      <c r="J294" s="13" t="str">
        <f>IF(F294="","",'GİDER AYARLARI'!$B$4)</f>
        <v/>
      </c>
      <c r="K294" s="13" t="str">
        <f>IF(F294="","",'GİDER AYARLARI'!$B$5)</f>
        <v/>
      </c>
      <c r="L294" s="13" t="str">
        <f>IF(F294="","",'GİDER AYARLARI'!$B$6)</f>
        <v/>
      </c>
      <c r="M294" s="13" t="str">
        <f>IF(F294="","",'GİDER AYARLARI'!$B$7)</f>
        <v/>
      </c>
      <c r="N294" s="3"/>
      <c r="O294" s="13" t="str">
        <f ca="1">IF(OR(F294="",I294=""),"",IFERROR(IF(VLOOKUP(E294,'ALIM AYARLARI'!$A$4:$D$20,2,FALSE)="EVET",F294*'GİDER AYARLARI'!$B$8*I294/30,0),0))</f>
        <v/>
      </c>
      <c r="P294" s="14" t="str">
        <f t="shared" si="42"/>
        <v/>
      </c>
      <c r="Q294" s="14" t="str">
        <f t="shared" si="43"/>
        <v/>
      </c>
      <c r="R294" s="2"/>
      <c r="S294" s="2"/>
      <c r="T294" s="3"/>
      <c r="U294" s="14" t="str">
        <f t="shared" si="44"/>
        <v/>
      </c>
      <c r="V294" s="14" t="str">
        <f t="shared" si="45"/>
        <v/>
      </c>
      <c r="W294" s="15" t="str">
        <f t="shared" si="46"/>
        <v/>
      </c>
      <c r="X294" s="12" t="str">
        <f t="shared" si="47"/>
        <v/>
      </c>
      <c r="Y294" s="2"/>
      <c r="Z294" s="3"/>
      <c r="AA294" s="3"/>
      <c r="AB294" s="3"/>
      <c r="AC294" s="14" t="str">
        <f t="shared" si="48"/>
        <v/>
      </c>
      <c r="AD294" s="14" t="str">
        <f t="shared" si="49"/>
        <v/>
      </c>
    </row>
    <row r="295" spans="1:30">
      <c r="A295">
        <f t="shared" si="40"/>
        <v>292</v>
      </c>
      <c r="B295" s="2"/>
      <c r="C295" s="18"/>
      <c r="D295" s="2"/>
      <c r="E295" s="2"/>
      <c r="F295" s="3"/>
      <c r="G295" s="16"/>
      <c r="H295" s="16"/>
      <c r="I295" s="17" t="str">
        <f t="shared" ca="1" si="41"/>
        <v/>
      </c>
      <c r="J295" s="13" t="str">
        <f>IF(F295="","",'GİDER AYARLARI'!$B$4)</f>
        <v/>
      </c>
      <c r="K295" s="13" t="str">
        <f>IF(F295="","",'GİDER AYARLARI'!$B$5)</f>
        <v/>
      </c>
      <c r="L295" s="13" t="str">
        <f>IF(F295="","",'GİDER AYARLARI'!$B$6)</f>
        <v/>
      </c>
      <c r="M295" s="13" t="str">
        <f>IF(F295="","",'GİDER AYARLARI'!$B$7)</f>
        <v/>
      </c>
      <c r="N295" s="3"/>
      <c r="O295" s="13" t="str">
        <f ca="1">IF(OR(F295="",I295=""),"",IFERROR(IF(VLOOKUP(E295,'ALIM AYARLARI'!$A$4:$D$20,2,FALSE)="EVET",F295*'GİDER AYARLARI'!$B$8*I295/30,0),0))</f>
        <v/>
      </c>
      <c r="P295" s="14" t="str">
        <f t="shared" si="42"/>
        <v/>
      </c>
      <c r="Q295" s="14" t="str">
        <f t="shared" si="43"/>
        <v/>
      </c>
      <c r="R295" s="2"/>
      <c r="S295" s="2"/>
      <c r="T295" s="3"/>
      <c r="U295" s="14" t="str">
        <f t="shared" si="44"/>
        <v/>
      </c>
      <c r="V295" s="14" t="str">
        <f t="shared" si="45"/>
        <v/>
      </c>
      <c r="W295" s="15" t="str">
        <f t="shared" si="46"/>
        <v/>
      </c>
      <c r="X295" s="12" t="str">
        <f t="shared" si="47"/>
        <v/>
      </c>
      <c r="Y295" s="2"/>
      <c r="Z295" s="3"/>
      <c r="AA295" s="3"/>
      <c r="AB295" s="3"/>
      <c r="AC295" s="14" t="str">
        <f t="shared" si="48"/>
        <v/>
      </c>
      <c r="AD295" s="14" t="str">
        <f t="shared" si="49"/>
        <v/>
      </c>
    </row>
    <row r="296" spans="1:30">
      <c r="A296">
        <f t="shared" si="40"/>
        <v>293</v>
      </c>
      <c r="B296" s="2"/>
      <c r="C296" s="18"/>
      <c r="D296" s="2"/>
      <c r="E296" s="2"/>
      <c r="F296" s="3"/>
      <c r="G296" s="16"/>
      <c r="H296" s="16"/>
      <c r="I296" s="17" t="str">
        <f t="shared" ca="1" si="41"/>
        <v/>
      </c>
      <c r="J296" s="13" t="str">
        <f>IF(F296="","",'GİDER AYARLARI'!$B$4)</f>
        <v/>
      </c>
      <c r="K296" s="13" t="str">
        <f>IF(F296="","",'GİDER AYARLARI'!$B$5)</f>
        <v/>
      </c>
      <c r="L296" s="13" t="str">
        <f>IF(F296="","",'GİDER AYARLARI'!$B$6)</f>
        <v/>
      </c>
      <c r="M296" s="13" t="str">
        <f>IF(F296="","",'GİDER AYARLARI'!$B$7)</f>
        <v/>
      </c>
      <c r="N296" s="3"/>
      <c r="O296" s="13" t="str">
        <f ca="1">IF(OR(F296="",I296=""),"",IFERROR(IF(VLOOKUP(E296,'ALIM AYARLARI'!$A$4:$D$20,2,FALSE)="EVET",F296*'GİDER AYARLARI'!$B$8*I296/30,0),0))</f>
        <v/>
      </c>
      <c r="P296" s="14" t="str">
        <f t="shared" si="42"/>
        <v/>
      </c>
      <c r="Q296" s="14" t="str">
        <f t="shared" si="43"/>
        <v/>
      </c>
      <c r="R296" s="2"/>
      <c r="S296" s="2"/>
      <c r="T296" s="3"/>
      <c r="U296" s="14" t="str">
        <f t="shared" si="44"/>
        <v/>
      </c>
      <c r="V296" s="14" t="str">
        <f t="shared" si="45"/>
        <v/>
      </c>
      <c r="W296" s="15" t="str">
        <f t="shared" si="46"/>
        <v/>
      </c>
      <c r="X296" s="12" t="str">
        <f t="shared" si="47"/>
        <v/>
      </c>
      <c r="Y296" s="2"/>
      <c r="Z296" s="3"/>
      <c r="AA296" s="3"/>
      <c r="AB296" s="3"/>
      <c r="AC296" s="14" t="str">
        <f t="shared" si="48"/>
        <v/>
      </c>
      <c r="AD296" s="14" t="str">
        <f t="shared" si="49"/>
        <v/>
      </c>
    </row>
    <row r="297" spans="1:30">
      <c r="A297">
        <f t="shared" si="40"/>
        <v>294</v>
      </c>
      <c r="B297" s="2"/>
      <c r="C297" s="18"/>
      <c r="D297" s="2"/>
      <c r="E297" s="2"/>
      <c r="F297" s="3"/>
      <c r="G297" s="16"/>
      <c r="H297" s="16"/>
      <c r="I297" s="17" t="str">
        <f t="shared" ca="1" si="41"/>
        <v/>
      </c>
      <c r="J297" s="13" t="str">
        <f>IF(F297="","",'GİDER AYARLARI'!$B$4)</f>
        <v/>
      </c>
      <c r="K297" s="13" t="str">
        <f>IF(F297="","",'GİDER AYARLARI'!$B$5)</f>
        <v/>
      </c>
      <c r="L297" s="13" t="str">
        <f>IF(F297="","",'GİDER AYARLARI'!$B$6)</f>
        <v/>
      </c>
      <c r="M297" s="13" t="str">
        <f>IF(F297="","",'GİDER AYARLARI'!$B$7)</f>
        <v/>
      </c>
      <c r="N297" s="3"/>
      <c r="O297" s="13" t="str">
        <f ca="1">IF(OR(F297="",I297=""),"",IFERROR(IF(VLOOKUP(E297,'ALIM AYARLARI'!$A$4:$D$20,2,FALSE)="EVET",F297*'GİDER AYARLARI'!$B$8*I297/30,0),0))</f>
        <v/>
      </c>
      <c r="P297" s="14" t="str">
        <f t="shared" si="42"/>
        <v/>
      </c>
      <c r="Q297" s="14" t="str">
        <f t="shared" si="43"/>
        <v/>
      </c>
      <c r="R297" s="2"/>
      <c r="S297" s="2"/>
      <c r="T297" s="3"/>
      <c r="U297" s="14" t="str">
        <f t="shared" si="44"/>
        <v/>
      </c>
      <c r="V297" s="14" t="str">
        <f t="shared" si="45"/>
        <v/>
      </c>
      <c r="W297" s="15" t="str">
        <f t="shared" si="46"/>
        <v/>
      </c>
      <c r="X297" s="12" t="str">
        <f t="shared" si="47"/>
        <v/>
      </c>
      <c r="Y297" s="2"/>
      <c r="Z297" s="3"/>
      <c r="AA297" s="3"/>
      <c r="AB297" s="3"/>
      <c r="AC297" s="14" t="str">
        <f t="shared" si="48"/>
        <v/>
      </c>
      <c r="AD297" s="14" t="str">
        <f t="shared" si="49"/>
        <v/>
      </c>
    </row>
    <row r="298" spans="1:30">
      <c r="A298">
        <f t="shared" si="40"/>
        <v>295</v>
      </c>
      <c r="B298" s="2"/>
      <c r="C298" s="18"/>
      <c r="D298" s="2"/>
      <c r="E298" s="2"/>
      <c r="F298" s="3"/>
      <c r="G298" s="16"/>
      <c r="H298" s="16"/>
      <c r="I298" s="17" t="str">
        <f t="shared" ca="1" si="41"/>
        <v/>
      </c>
      <c r="J298" s="13" t="str">
        <f>IF(F298="","",'GİDER AYARLARI'!$B$4)</f>
        <v/>
      </c>
      <c r="K298" s="13" t="str">
        <f>IF(F298="","",'GİDER AYARLARI'!$B$5)</f>
        <v/>
      </c>
      <c r="L298" s="13" t="str">
        <f>IF(F298="","",'GİDER AYARLARI'!$B$6)</f>
        <v/>
      </c>
      <c r="M298" s="13" t="str">
        <f>IF(F298="","",'GİDER AYARLARI'!$B$7)</f>
        <v/>
      </c>
      <c r="N298" s="3"/>
      <c r="O298" s="13" t="str">
        <f ca="1">IF(OR(F298="",I298=""),"",IFERROR(IF(VLOOKUP(E298,'ALIM AYARLARI'!$A$4:$D$20,2,FALSE)="EVET",F298*'GİDER AYARLARI'!$B$8*I298/30,0),0))</f>
        <v/>
      </c>
      <c r="P298" s="14" t="str">
        <f t="shared" si="42"/>
        <v/>
      </c>
      <c r="Q298" s="14" t="str">
        <f t="shared" si="43"/>
        <v/>
      </c>
      <c r="R298" s="2"/>
      <c r="S298" s="2"/>
      <c r="T298" s="3"/>
      <c r="U298" s="14" t="str">
        <f t="shared" si="44"/>
        <v/>
      </c>
      <c r="V298" s="14" t="str">
        <f t="shared" si="45"/>
        <v/>
      </c>
      <c r="W298" s="15" t="str">
        <f t="shared" si="46"/>
        <v/>
      </c>
      <c r="X298" s="12" t="str">
        <f t="shared" si="47"/>
        <v/>
      </c>
      <c r="Y298" s="2"/>
      <c r="Z298" s="3"/>
      <c r="AA298" s="3"/>
      <c r="AB298" s="3"/>
      <c r="AC298" s="14" t="str">
        <f t="shared" si="48"/>
        <v/>
      </c>
      <c r="AD298" s="14" t="str">
        <f t="shared" si="49"/>
        <v/>
      </c>
    </row>
    <row r="299" spans="1:30">
      <c r="A299">
        <f t="shared" si="40"/>
        <v>296</v>
      </c>
      <c r="B299" s="2"/>
      <c r="C299" s="18"/>
      <c r="D299" s="2"/>
      <c r="E299" s="2"/>
      <c r="F299" s="3"/>
      <c r="G299" s="16"/>
      <c r="H299" s="16"/>
      <c r="I299" s="17" t="str">
        <f t="shared" ca="1" si="41"/>
        <v/>
      </c>
      <c r="J299" s="13" t="str">
        <f>IF(F299="","",'GİDER AYARLARI'!$B$4)</f>
        <v/>
      </c>
      <c r="K299" s="13" t="str">
        <f>IF(F299="","",'GİDER AYARLARI'!$B$5)</f>
        <v/>
      </c>
      <c r="L299" s="13" t="str">
        <f>IF(F299="","",'GİDER AYARLARI'!$B$6)</f>
        <v/>
      </c>
      <c r="M299" s="13" t="str">
        <f>IF(F299="","",'GİDER AYARLARI'!$B$7)</f>
        <v/>
      </c>
      <c r="N299" s="3"/>
      <c r="O299" s="13" t="str">
        <f ca="1">IF(OR(F299="",I299=""),"",IFERROR(IF(VLOOKUP(E299,'ALIM AYARLARI'!$A$4:$D$20,2,FALSE)="EVET",F299*'GİDER AYARLARI'!$B$8*I299/30,0),0))</f>
        <v/>
      </c>
      <c r="P299" s="14" t="str">
        <f t="shared" si="42"/>
        <v/>
      </c>
      <c r="Q299" s="14" t="str">
        <f t="shared" si="43"/>
        <v/>
      </c>
      <c r="R299" s="2"/>
      <c r="S299" s="2"/>
      <c r="T299" s="3"/>
      <c r="U299" s="14" t="str">
        <f t="shared" si="44"/>
        <v/>
      </c>
      <c r="V299" s="14" t="str">
        <f t="shared" si="45"/>
        <v/>
      </c>
      <c r="W299" s="15" t="str">
        <f t="shared" si="46"/>
        <v/>
      </c>
      <c r="X299" s="12" t="str">
        <f t="shared" si="47"/>
        <v/>
      </c>
      <c r="Y299" s="2"/>
      <c r="Z299" s="3"/>
      <c r="AA299" s="3"/>
      <c r="AB299" s="3"/>
      <c r="AC299" s="14" t="str">
        <f t="shared" si="48"/>
        <v/>
      </c>
      <c r="AD299" s="14" t="str">
        <f t="shared" si="49"/>
        <v/>
      </c>
    </row>
    <row r="300" spans="1:30">
      <c r="A300">
        <f t="shared" si="40"/>
        <v>297</v>
      </c>
      <c r="B300" s="2"/>
      <c r="C300" s="18"/>
      <c r="D300" s="2"/>
      <c r="E300" s="2"/>
      <c r="F300" s="3"/>
      <c r="G300" s="16"/>
      <c r="H300" s="16"/>
      <c r="I300" s="17" t="str">
        <f t="shared" ca="1" si="41"/>
        <v/>
      </c>
      <c r="J300" s="13" t="str">
        <f>IF(F300="","",'GİDER AYARLARI'!$B$4)</f>
        <v/>
      </c>
      <c r="K300" s="13" t="str">
        <f>IF(F300="","",'GİDER AYARLARI'!$B$5)</f>
        <v/>
      </c>
      <c r="L300" s="13" t="str">
        <f>IF(F300="","",'GİDER AYARLARI'!$B$6)</f>
        <v/>
      </c>
      <c r="M300" s="13" t="str">
        <f>IF(F300="","",'GİDER AYARLARI'!$B$7)</f>
        <v/>
      </c>
      <c r="N300" s="3"/>
      <c r="O300" s="13" t="str">
        <f ca="1">IF(OR(F300="",I300=""),"",IFERROR(IF(VLOOKUP(E300,'ALIM AYARLARI'!$A$4:$D$20,2,FALSE)="EVET",F300*'GİDER AYARLARI'!$B$8*I300/30,0),0))</f>
        <v/>
      </c>
      <c r="P300" s="14" t="str">
        <f t="shared" si="42"/>
        <v/>
      </c>
      <c r="Q300" s="14" t="str">
        <f t="shared" si="43"/>
        <v/>
      </c>
      <c r="R300" s="2"/>
      <c r="S300" s="2"/>
      <c r="T300" s="3"/>
      <c r="U300" s="14" t="str">
        <f t="shared" si="44"/>
        <v/>
      </c>
      <c r="V300" s="14" t="str">
        <f t="shared" si="45"/>
        <v/>
      </c>
      <c r="W300" s="15" t="str">
        <f t="shared" si="46"/>
        <v/>
      </c>
      <c r="X300" s="12" t="str">
        <f t="shared" si="47"/>
        <v/>
      </c>
      <c r="Y300" s="2"/>
      <c r="Z300" s="3"/>
      <c r="AA300" s="3"/>
      <c r="AB300" s="3"/>
      <c r="AC300" s="14" t="str">
        <f t="shared" si="48"/>
        <v/>
      </c>
      <c r="AD300" s="14" t="str">
        <f t="shared" si="49"/>
        <v/>
      </c>
    </row>
    <row r="301" spans="1:30">
      <c r="A301">
        <f t="shared" si="40"/>
        <v>298</v>
      </c>
      <c r="B301" s="2"/>
      <c r="C301" s="18"/>
      <c r="D301" s="2"/>
      <c r="E301" s="2"/>
      <c r="F301" s="3"/>
      <c r="G301" s="16"/>
      <c r="H301" s="16"/>
      <c r="I301" s="17" t="str">
        <f t="shared" ca="1" si="41"/>
        <v/>
      </c>
      <c r="J301" s="13" t="str">
        <f>IF(F301="","",'GİDER AYARLARI'!$B$4)</f>
        <v/>
      </c>
      <c r="K301" s="13" t="str">
        <f>IF(F301="","",'GİDER AYARLARI'!$B$5)</f>
        <v/>
      </c>
      <c r="L301" s="13" t="str">
        <f>IF(F301="","",'GİDER AYARLARI'!$B$6)</f>
        <v/>
      </c>
      <c r="M301" s="13" t="str">
        <f>IF(F301="","",'GİDER AYARLARI'!$B$7)</f>
        <v/>
      </c>
      <c r="N301" s="3"/>
      <c r="O301" s="13" t="str">
        <f ca="1">IF(OR(F301="",I301=""),"",IFERROR(IF(VLOOKUP(E301,'ALIM AYARLARI'!$A$4:$D$20,2,FALSE)="EVET",F301*'GİDER AYARLARI'!$B$8*I301/30,0),0))</f>
        <v/>
      </c>
      <c r="P301" s="14" t="str">
        <f t="shared" si="42"/>
        <v/>
      </c>
      <c r="Q301" s="14" t="str">
        <f t="shared" si="43"/>
        <v/>
      </c>
      <c r="R301" s="2"/>
      <c r="S301" s="2"/>
      <c r="T301" s="3"/>
      <c r="U301" s="14" t="str">
        <f t="shared" si="44"/>
        <v/>
      </c>
      <c r="V301" s="14" t="str">
        <f t="shared" si="45"/>
        <v/>
      </c>
      <c r="W301" s="15" t="str">
        <f t="shared" si="46"/>
        <v/>
      </c>
      <c r="X301" s="12" t="str">
        <f t="shared" si="47"/>
        <v/>
      </c>
      <c r="Y301" s="2"/>
      <c r="Z301" s="3"/>
      <c r="AA301" s="3"/>
      <c r="AB301" s="3"/>
      <c r="AC301" s="14" t="str">
        <f t="shared" si="48"/>
        <v/>
      </c>
      <c r="AD301" s="14" t="str">
        <f t="shared" si="49"/>
        <v/>
      </c>
    </row>
    <row r="302" spans="1:30">
      <c r="A302">
        <f t="shared" si="40"/>
        <v>299</v>
      </c>
      <c r="B302" s="2"/>
      <c r="C302" s="18"/>
      <c r="D302" s="2"/>
      <c r="E302" s="2"/>
      <c r="F302" s="3"/>
      <c r="G302" s="16"/>
      <c r="H302" s="16"/>
      <c r="I302" s="17" t="str">
        <f t="shared" ca="1" si="41"/>
        <v/>
      </c>
      <c r="J302" s="13" t="str">
        <f>IF(F302="","",'GİDER AYARLARI'!$B$4)</f>
        <v/>
      </c>
      <c r="K302" s="13" t="str">
        <f>IF(F302="","",'GİDER AYARLARI'!$B$5)</f>
        <v/>
      </c>
      <c r="L302" s="13" t="str">
        <f>IF(F302="","",'GİDER AYARLARI'!$B$6)</f>
        <v/>
      </c>
      <c r="M302" s="13" t="str">
        <f>IF(F302="","",'GİDER AYARLARI'!$B$7)</f>
        <v/>
      </c>
      <c r="N302" s="3"/>
      <c r="O302" s="13" t="str">
        <f ca="1">IF(OR(F302="",I302=""),"",IFERROR(IF(VLOOKUP(E302,'ALIM AYARLARI'!$A$4:$D$20,2,FALSE)="EVET",F302*'GİDER AYARLARI'!$B$8*I302/30,0),0))</f>
        <v/>
      </c>
      <c r="P302" s="14" t="str">
        <f t="shared" si="42"/>
        <v/>
      </c>
      <c r="Q302" s="14" t="str">
        <f t="shared" si="43"/>
        <v/>
      </c>
      <c r="R302" s="2"/>
      <c r="S302" s="2"/>
      <c r="T302" s="3"/>
      <c r="U302" s="14" t="str">
        <f t="shared" si="44"/>
        <v/>
      </c>
      <c r="V302" s="14" t="str">
        <f t="shared" si="45"/>
        <v/>
      </c>
      <c r="W302" s="15" t="str">
        <f t="shared" si="46"/>
        <v/>
      </c>
      <c r="X302" s="12" t="str">
        <f t="shared" si="47"/>
        <v/>
      </c>
      <c r="Y302" s="2"/>
      <c r="Z302" s="3"/>
      <c r="AA302" s="3"/>
      <c r="AB302" s="3"/>
      <c r="AC302" s="14" t="str">
        <f t="shared" si="48"/>
        <v/>
      </c>
      <c r="AD302" s="14" t="str">
        <f t="shared" si="49"/>
        <v/>
      </c>
    </row>
    <row r="303" spans="1:30">
      <c r="A303">
        <f t="shared" si="40"/>
        <v>300</v>
      </c>
      <c r="B303" s="2"/>
      <c r="C303" s="18"/>
      <c r="D303" s="2"/>
      <c r="E303" s="2"/>
      <c r="F303" s="3"/>
      <c r="G303" s="16"/>
      <c r="H303" s="16"/>
      <c r="I303" s="17" t="str">
        <f t="shared" ca="1" si="41"/>
        <v/>
      </c>
      <c r="J303" s="13" t="str">
        <f>IF(F303="","",'GİDER AYARLARI'!$B$4)</f>
        <v/>
      </c>
      <c r="K303" s="13" t="str">
        <f>IF(F303="","",'GİDER AYARLARI'!$B$5)</f>
        <v/>
      </c>
      <c r="L303" s="13" t="str">
        <f>IF(F303="","",'GİDER AYARLARI'!$B$6)</f>
        <v/>
      </c>
      <c r="M303" s="13" t="str">
        <f>IF(F303="","",'GİDER AYARLARI'!$B$7)</f>
        <v/>
      </c>
      <c r="N303" s="3"/>
      <c r="O303" s="13" t="str">
        <f ca="1">IF(OR(F303="",I303=""),"",IFERROR(IF(VLOOKUP(E303,'ALIM AYARLARI'!$A$4:$D$20,2,FALSE)="EVET",F303*'GİDER AYARLARI'!$B$8*I303/30,0),0))</f>
        <v/>
      </c>
      <c r="P303" s="14" t="str">
        <f t="shared" si="42"/>
        <v/>
      </c>
      <c r="Q303" s="14" t="str">
        <f t="shared" si="43"/>
        <v/>
      </c>
      <c r="R303" s="2"/>
      <c r="S303" s="2"/>
      <c r="T303" s="3"/>
      <c r="U303" s="14" t="str">
        <f t="shared" si="44"/>
        <v/>
      </c>
      <c r="V303" s="14" t="str">
        <f t="shared" si="45"/>
        <v/>
      </c>
      <c r="W303" s="15" t="str">
        <f t="shared" si="46"/>
        <v/>
      </c>
      <c r="X303" s="12" t="str">
        <f t="shared" si="47"/>
        <v/>
      </c>
      <c r="Y303" s="2"/>
      <c r="Z303" s="3"/>
      <c r="AA303" s="3"/>
      <c r="AB303" s="3"/>
      <c r="AC303" s="14" t="str">
        <f t="shared" si="48"/>
        <v/>
      </c>
      <c r="AD303" s="14" t="str">
        <f t="shared" si="49"/>
        <v/>
      </c>
    </row>
  </sheetData>
  <mergeCells count="1">
    <mergeCell ref="A1:AD1"/>
  </mergeCells>
  <conditionalFormatting sqref="V4:V303">
    <cfRule type="cellIs" dxfId="2" priority="1" operator="lessThan">
      <formula>0</formula>
    </cfRule>
    <cfRule type="cellIs" dxfId="1" priority="2" operator="greaterThan">
      <formula>0</formula>
    </cfRule>
  </conditionalFormatting>
  <conditionalFormatting sqref="I4:I303">
    <cfRule type="colorScale" priority="3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B11" sqref="B11"/>
    </sheetView>
  </sheetViews>
  <sheetFormatPr defaultRowHeight="13.8"/>
  <cols>
    <col min="1" max="1" width="27" customWidth="1"/>
    <col min="2" max="3" width="16" customWidth="1"/>
    <col min="4" max="4" width="14" customWidth="1"/>
    <col min="5" max="6" width="21" customWidth="1"/>
  </cols>
  <sheetData>
    <row r="1" spans="1:6" ht="19.2" customHeight="1">
      <c r="A1" s="101" t="s">
        <v>88</v>
      </c>
      <c r="B1" s="101"/>
      <c r="C1" s="101"/>
      <c r="D1" s="101"/>
      <c r="E1" s="101"/>
      <c r="F1" s="101"/>
    </row>
    <row r="3" spans="1:6" ht="21.75" customHeight="1">
      <c r="A3" s="45" t="s">
        <v>89</v>
      </c>
      <c r="B3" s="46" t="s">
        <v>90</v>
      </c>
      <c r="C3" s="46" t="s">
        <v>91</v>
      </c>
      <c r="D3" s="46" t="s">
        <v>92</v>
      </c>
      <c r="E3" s="46" t="s">
        <v>93</v>
      </c>
      <c r="F3" s="47" t="s">
        <v>94</v>
      </c>
    </row>
    <row r="4" spans="1:6">
      <c r="A4" s="48" t="s">
        <v>95</v>
      </c>
      <c r="B4" s="49">
        <v>0</v>
      </c>
      <c r="C4" s="49">
        <v>0</v>
      </c>
      <c r="D4" s="50">
        <f t="shared" ref="D4:D13" si="0">IFERROR(C4/B4,0)</f>
        <v>0</v>
      </c>
      <c r="E4" s="51">
        <f>B4*'GİDER AYARLARI'!$B$5</f>
        <v>0</v>
      </c>
      <c r="F4" s="52">
        <f t="shared" ref="F4:F13" si="1">IFERROR(E4/C4,0)</f>
        <v>0</v>
      </c>
    </row>
    <row r="5" spans="1:6">
      <c r="A5" s="48" t="s">
        <v>96</v>
      </c>
      <c r="B5" s="49">
        <v>1</v>
      </c>
      <c r="C5" s="49">
        <v>0</v>
      </c>
      <c r="D5" s="50">
        <f t="shared" si="0"/>
        <v>0</v>
      </c>
      <c r="E5" s="51">
        <f>B5*'GİDER AYARLARI'!$B$5</f>
        <v>3900</v>
      </c>
      <c r="F5" s="52">
        <f t="shared" si="1"/>
        <v>0</v>
      </c>
    </row>
    <row r="6" spans="1:6">
      <c r="A6" s="48" t="s">
        <v>97</v>
      </c>
      <c r="B6" s="49">
        <v>0</v>
      </c>
      <c r="C6" s="49">
        <v>0</v>
      </c>
      <c r="D6" s="50">
        <f t="shared" si="0"/>
        <v>0</v>
      </c>
      <c r="E6" s="51">
        <f>B6*'GİDER AYARLARI'!$B$5</f>
        <v>0</v>
      </c>
      <c r="F6" s="52">
        <f t="shared" si="1"/>
        <v>0</v>
      </c>
    </row>
    <row r="7" spans="1:6">
      <c r="A7" s="53" t="s">
        <v>98</v>
      </c>
      <c r="B7" s="54">
        <v>0</v>
      </c>
      <c r="C7" s="54">
        <v>0</v>
      </c>
      <c r="D7" s="55">
        <f t="shared" si="0"/>
        <v>0</v>
      </c>
      <c r="E7" s="56">
        <f>B7*'GİDER AYARLARI'!$B$5</f>
        <v>0</v>
      </c>
      <c r="F7" s="57">
        <f t="shared" si="1"/>
        <v>0</v>
      </c>
    </row>
    <row r="8" spans="1:6">
      <c r="A8" s="48" t="s">
        <v>99</v>
      </c>
      <c r="B8" s="49">
        <v>3</v>
      </c>
      <c r="C8" s="49">
        <v>0</v>
      </c>
      <c r="D8" s="50">
        <f t="shared" si="0"/>
        <v>0</v>
      </c>
      <c r="E8" s="51">
        <f>B8*'GİDER AYARLARI'!$B$5</f>
        <v>11700</v>
      </c>
      <c r="F8" s="52">
        <f t="shared" si="1"/>
        <v>0</v>
      </c>
    </row>
    <row r="9" spans="1:6">
      <c r="A9" s="48" t="s">
        <v>100</v>
      </c>
      <c r="B9" s="49">
        <v>0</v>
      </c>
      <c r="C9" s="49">
        <v>0</v>
      </c>
      <c r="D9" s="50">
        <f t="shared" si="0"/>
        <v>0</v>
      </c>
      <c r="E9" s="51">
        <f>B9*'GİDER AYARLARI'!$B$5</f>
        <v>0</v>
      </c>
      <c r="F9" s="52">
        <f t="shared" si="1"/>
        <v>0</v>
      </c>
    </row>
    <row r="10" spans="1:6">
      <c r="A10" s="48" t="s">
        <v>71</v>
      </c>
      <c r="B10" s="49">
        <v>1</v>
      </c>
      <c r="C10" s="49">
        <v>0</v>
      </c>
      <c r="D10" s="50">
        <f t="shared" si="0"/>
        <v>0</v>
      </c>
      <c r="E10" s="51">
        <f>B10*'GİDER AYARLARI'!$B$5</f>
        <v>3900</v>
      </c>
      <c r="F10" s="52">
        <f t="shared" si="1"/>
        <v>0</v>
      </c>
    </row>
    <row r="11" spans="1:6">
      <c r="A11" s="48" t="s">
        <v>101</v>
      </c>
      <c r="B11" s="49">
        <v>0</v>
      </c>
      <c r="C11" s="49">
        <v>0</v>
      </c>
      <c r="D11" s="50">
        <f t="shared" si="0"/>
        <v>0</v>
      </c>
      <c r="E11" s="51">
        <f>B11*'GİDER AYARLARI'!$B$5</f>
        <v>0</v>
      </c>
      <c r="F11" s="52">
        <f t="shared" si="1"/>
        <v>0</v>
      </c>
    </row>
    <row r="12" spans="1:6">
      <c r="A12" s="48" t="s">
        <v>102</v>
      </c>
      <c r="B12" s="49">
        <v>1</v>
      </c>
      <c r="C12" s="49">
        <v>0</v>
      </c>
      <c r="D12" s="50">
        <f t="shared" si="0"/>
        <v>0</v>
      </c>
      <c r="E12" s="51">
        <f>B12*'GİDER AYARLARI'!$B$5</f>
        <v>3900</v>
      </c>
      <c r="F12" s="52">
        <f t="shared" si="1"/>
        <v>0</v>
      </c>
    </row>
    <row r="13" spans="1:6">
      <c r="A13" s="48" t="s">
        <v>103</v>
      </c>
      <c r="B13" s="49">
        <v>0</v>
      </c>
      <c r="C13" s="49">
        <v>0</v>
      </c>
      <c r="D13" s="50">
        <f t="shared" si="0"/>
        <v>0</v>
      </c>
      <c r="E13" s="51">
        <f>B13*'GİDER AYARLARI'!$B$5</f>
        <v>0</v>
      </c>
      <c r="F13" s="52">
        <f t="shared" si="1"/>
        <v>0</v>
      </c>
    </row>
    <row r="14" spans="1:6">
      <c r="A14" s="48"/>
      <c r="B14" s="58"/>
      <c r="C14" s="58"/>
      <c r="D14" s="50"/>
      <c r="E14" s="51"/>
      <c r="F14" s="52"/>
    </row>
    <row r="15" spans="1:6">
      <c r="A15" s="59" t="s">
        <v>104</v>
      </c>
      <c r="B15" s="60">
        <f>SUM(B4:B13)</f>
        <v>6</v>
      </c>
      <c r="C15" s="60">
        <f>SUM(C4:C13)</f>
        <v>0</v>
      </c>
      <c r="D15" s="61">
        <f>IFERROR(C15/B15,0)</f>
        <v>0</v>
      </c>
      <c r="E15" s="62">
        <f>SUM(E4:E13)</f>
        <v>23400</v>
      </c>
      <c r="F15" s="63">
        <f>IFERROR(E15/C15,0)</f>
        <v>0</v>
      </c>
    </row>
    <row r="18" spans="1:6">
      <c r="A18" s="102" t="s">
        <v>105</v>
      </c>
      <c r="B18" s="102"/>
      <c r="C18" s="102"/>
      <c r="D18" s="102"/>
      <c r="E18" s="102"/>
      <c r="F18" s="102"/>
    </row>
    <row r="20" spans="1:6" ht="27.6">
      <c r="A20" s="64" t="s">
        <v>106</v>
      </c>
      <c r="B20" s="65" t="s">
        <v>107</v>
      </c>
      <c r="C20" s="65" t="s">
        <v>108</v>
      </c>
      <c r="D20" s="66" t="s">
        <v>109</v>
      </c>
    </row>
    <row r="21" spans="1:6">
      <c r="A21" s="67">
        <f>B15</f>
        <v>6</v>
      </c>
      <c r="B21" s="68">
        <f>C15</f>
        <v>0</v>
      </c>
      <c r="C21" s="69">
        <f>D15</f>
        <v>0</v>
      </c>
      <c r="D21" s="70">
        <f>E15</f>
        <v>23400</v>
      </c>
    </row>
  </sheetData>
  <mergeCells count="2">
    <mergeCell ref="A1:F1"/>
    <mergeCell ref="A18:F18"/>
  </mergeCells>
  <conditionalFormatting sqref="D4:D13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F10" sqref="F10"/>
    </sheetView>
  </sheetViews>
  <sheetFormatPr defaultRowHeight="13.8"/>
  <cols>
    <col min="1" max="1" width="25" customWidth="1"/>
    <col min="2" max="14" width="15" customWidth="1"/>
    <col min="15" max="17" width="16" customWidth="1"/>
  </cols>
  <sheetData>
    <row r="1" spans="1:17" ht="17.850000000000001" customHeight="1">
      <c r="A1" s="103" t="s">
        <v>110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</row>
    <row r="3" spans="1:17" ht="27.6">
      <c r="A3" s="6" t="s">
        <v>89</v>
      </c>
      <c r="B3" s="6" t="s">
        <v>111</v>
      </c>
      <c r="C3" s="6" t="s">
        <v>112</v>
      </c>
      <c r="D3" s="6" t="s">
        <v>57</v>
      </c>
      <c r="E3" s="6" t="s">
        <v>113</v>
      </c>
      <c r="F3" s="6" t="s">
        <v>65</v>
      </c>
      <c r="G3" s="6" t="s">
        <v>114</v>
      </c>
      <c r="H3" s="6" t="s">
        <v>58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120</v>
      </c>
      <c r="O3" s="37" t="s">
        <v>121</v>
      </c>
      <c r="P3" s="37" t="s">
        <v>122</v>
      </c>
      <c r="Q3" s="37" t="s">
        <v>123</v>
      </c>
    </row>
    <row r="4" spans="1:17">
      <c r="A4" t="s">
        <v>71</v>
      </c>
      <c r="B4">
        <f>COUNTIFS('ARAÇ VERİ GİRİŞİ'!$Y$4:$Y$303,$A4,'ARAÇ VERİ GİRİŞİ'!$X$4:$X$303,"SATILDI")</f>
        <v>5</v>
      </c>
      <c r="C4" s="22">
        <f>SUMIFS('ARAÇ VERİ GİRİŞİ'!$T$4:$T$303,'ARAÇ VERİ GİRİŞİ'!$Y$4:$Y$303,$A4)</f>
        <v>6605000</v>
      </c>
      <c r="D4" s="22">
        <f ca="1">SUMIFS('ARAÇ VERİ GİRİŞİ'!$V$4:$V$303,'ARAÇ VERİ GİRİŞİ'!$Y$4:$Y$303,$A4)</f>
        <v>210434.33333333326</v>
      </c>
      <c r="E4" s="22">
        <f>SUMIFS('ARAÇ VERİ GİRİŞİ'!$AC$4:$AC$303,'ARAÇ VERİ GİRİŞİ'!$Y$4:$Y$303,$A4)</f>
        <v>0</v>
      </c>
      <c r="F4" s="22">
        <f ca="1">SUMIFS('ARAÇ VERİ GİRİŞİ'!$AD$4:$AD$303,'ARAÇ VERİ GİRİŞİ'!$Y$4:$Y$303,$A4)</f>
        <v>210434.33333333326</v>
      </c>
      <c r="G4" s="22">
        <f ca="1">IFERROR(F4/B4,0)</f>
        <v>42086.866666666654</v>
      </c>
      <c r="H4" s="20">
        <f ca="1">IFERROR(F4/C4,0)</f>
        <v>3.1859853646227593E-2</v>
      </c>
      <c r="I4" s="24">
        <f ca="1">IFERROR(SUMIFS('ARAÇ VERİ GİRİŞİ'!$I$4:$I$303,'ARAÇ VERİ GİRİŞİ'!$Y$4:$Y$303,$A4,'ARAÇ VERİ GİRİŞİ'!$X$4:$X$303,"SATILDI")/B4,0)</f>
        <v>9.8000000000000007</v>
      </c>
      <c r="J4">
        <f>COUNTIFS('ARAÇ VERİ GİRİŞİ'!$Y$4:$Y$303,$A4,'ARAÇ VERİ GİRİŞİ'!$Z$4:$Z$303,"&gt;0")</f>
        <v>0</v>
      </c>
      <c r="K4" s="20">
        <f>IFERROR(J4/B4,0)</f>
        <v>0</v>
      </c>
      <c r="L4">
        <f>COUNTIFS('ARAÇ VERİ GİRİŞİ'!$Y$4:$Y$303,$A4,'ARAÇ VERİ GİRİŞİ'!$AA$4:$AA$303,"&gt;0")</f>
        <v>0</v>
      </c>
      <c r="M4" s="20">
        <f>IFERROR(L4/B4,0)</f>
        <v>0</v>
      </c>
      <c r="N4" s="20">
        <f>IFERROR(COUNTIFS('ARAÇ VERİ GİRİŞİ'!$Y$4:$Y$303,$A4,'ARAÇ VERİ GİRİŞİ'!$AB$4:$AB$303,"&gt;0")/B4,0)</f>
        <v>0</v>
      </c>
      <c r="O4">
        <f>'DANIŞMAN AYARLARI'!C4</f>
        <v>0</v>
      </c>
      <c r="P4" s="22">
        <f>'DANIŞMAN AYARLARI'!D4</f>
        <v>0</v>
      </c>
      <c r="Q4" s="20">
        <f ca="1">IFERROR(F4/P4,0)</f>
        <v>0</v>
      </c>
    </row>
    <row r="5" spans="1:17">
      <c r="A5" t="s">
        <v>77</v>
      </c>
      <c r="B5">
        <f>COUNTIFS('ARAÇ VERİ GİRİŞİ'!$Y$4:$Y$303,$A5,'ARAÇ VERİ GİRİŞİ'!$X$4:$X$303,"SATILDI")</f>
        <v>1</v>
      </c>
      <c r="C5" s="22">
        <f>SUMIFS('ARAÇ VERİ GİRİŞİ'!$T$4:$T$303,'ARAÇ VERİ GİRİŞİ'!$Y$4:$Y$303,$A5)</f>
        <v>1740000</v>
      </c>
      <c r="D5" s="22">
        <f ca="1">SUMIFS('ARAÇ VERİ GİRİŞİ'!$V$4:$V$303,'ARAÇ VERİ GİRİŞİ'!$Y$4:$Y$303,$A5)</f>
        <v>-24680.333333333256</v>
      </c>
      <c r="E5" s="22">
        <f>SUMIFS('ARAÇ VERİ GİRİŞİ'!$AC$4:$AC$303,'ARAÇ VERİ GİRİŞİ'!$Y$4:$Y$303,$A5)</f>
        <v>0</v>
      </c>
      <c r="F5" s="22">
        <f ca="1">SUMIFS('ARAÇ VERİ GİRİŞİ'!$AD$4:$AD$303,'ARAÇ VERİ GİRİŞİ'!$Y$4:$Y$303,$A5)</f>
        <v>-24680.333333333256</v>
      </c>
      <c r="G5" s="22">
        <f ca="1">IFERROR(F5/B5,0)</f>
        <v>-24680.333333333256</v>
      </c>
      <c r="H5" s="20">
        <f ca="1">IFERROR(F5/C5,0)</f>
        <v>-1.4184099616858193E-2</v>
      </c>
      <c r="I5" s="24">
        <f ca="1">IFERROR(SUMIFS('ARAÇ VERİ GİRİŞİ'!$I$4:$I$303,'ARAÇ VERİ GİRİŞİ'!$Y$4:$Y$303,$A5,'ARAÇ VERİ GİRİŞİ'!$X$4:$X$303,"SATILDI")/B5,0)</f>
        <v>43</v>
      </c>
      <c r="J5">
        <f>COUNTIFS('ARAÇ VERİ GİRİŞİ'!$Y$4:$Y$303,$A5,'ARAÇ VERİ GİRİŞİ'!$Z$4:$Z$303,"&gt;0")</f>
        <v>0</v>
      </c>
      <c r="K5" s="20">
        <f>IFERROR(J5/B5,0)</f>
        <v>0</v>
      </c>
      <c r="L5">
        <f>COUNTIFS('ARAÇ VERİ GİRİŞİ'!$Y$4:$Y$303,$A5,'ARAÇ VERİ GİRİŞİ'!$AA$4:$AA$303,"&gt;0")</f>
        <v>0</v>
      </c>
      <c r="M5" s="20">
        <f>IFERROR(L5/B5,0)</f>
        <v>0</v>
      </c>
      <c r="N5" s="20">
        <f>IFERROR(COUNTIFS('ARAÇ VERİ GİRİŞİ'!$Y$4:$Y$303,$A5,'ARAÇ VERİ GİRİŞİ'!$AB$4:$AB$303,"&gt;0")/B5,0)</f>
        <v>0</v>
      </c>
      <c r="O5">
        <f>'DANIŞMAN AYARLARI'!C5</f>
        <v>0</v>
      </c>
      <c r="P5" s="22">
        <f>'DANIŞMAN AYARLARI'!D5</f>
        <v>0</v>
      </c>
      <c r="Q5" s="20">
        <f ca="1">IFERROR(F5/P5,0)</f>
        <v>0</v>
      </c>
    </row>
    <row r="6" spans="1:17">
      <c r="C6" s="22"/>
      <c r="D6" s="22"/>
      <c r="E6" s="22"/>
      <c r="F6" s="22"/>
      <c r="G6" s="22"/>
      <c r="H6" s="20"/>
      <c r="I6" s="24"/>
      <c r="K6" s="20"/>
      <c r="M6" s="20"/>
      <c r="N6" s="20"/>
      <c r="P6" s="22"/>
      <c r="Q6" s="20"/>
    </row>
    <row r="7" spans="1:17">
      <c r="A7" s="19" t="s">
        <v>124</v>
      </c>
      <c r="B7" s="19">
        <f>SUM(B4:B5)</f>
        <v>6</v>
      </c>
      <c r="C7" s="23">
        <f>SUM(C4:C5)</f>
        <v>8345000</v>
      </c>
      <c r="D7" s="23">
        <f ca="1">SUM(D4:D5)</f>
        <v>185754</v>
      </c>
      <c r="E7" s="23">
        <f>SUM(E4:E5)</f>
        <v>0</v>
      </c>
      <c r="F7" s="23">
        <f ca="1">SUM(F4:F5)</f>
        <v>185754</v>
      </c>
      <c r="G7" s="23">
        <f ca="1">IFERROR(F7/B7,0)</f>
        <v>30959</v>
      </c>
      <c r="H7" s="21">
        <f ca="1">IFERROR(F7/C7,0)</f>
        <v>2.2259316956261235E-2</v>
      </c>
      <c r="I7" s="25">
        <f ca="1">IFERROR(SUMPRODUCT(B4:B5,I4:I5)/B7,0)</f>
        <v>15.333333333333334</v>
      </c>
      <c r="J7" s="19">
        <f>SUM(J4:J5)</f>
        <v>0</v>
      </c>
      <c r="K7" s="21">
        <f>IFERROR(J7/B7,0)</f>
        <v>0</v>
      </c>
      <c r="L7" s="19">
        <f>SUM(L4:L5)</f>
        <v>0</v>
      </c>
      <c r="M7" s="21">
        <f>IFERROR(L7/B7,0)</f>
        <v>0</v>
      </c>
      <c r="N7" s="21">
        <f>IFERROR(SUMPRODUCT(B4:B5,N4:N5)/B7,0)</f>
        <v>0</v>
      </c>
      <c r="O7">
        <f>SUM(O4:O5)</f>
        <v>0</v>
      </c>
      <c r="P7" s="22">
        <f>SUM(P4:P5)</f>
        <v>0</v>
      </c>
      <c r="Q7" s="20">
        <f ca="1">IFERROR(F7/P7,0)</f>
        <v>0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E5" sqref="E5"/>
    </sheetView>
  </sheetViews>
  <sheetFormatPr defaultRowHeight="13.8"/>
  <cols>
    <col min="1" max="1" width="26" customWidth="1"/>
    <col min="2" max="2" width="18" customWidth="1"/>
    <col min="3" max="3" width="3" customWidth="1"/>
    <col min="4" max="4" width="22" customWidth="1"/>
    <col min="5" max="5" width="12" customWidth="1"/>
    <col min="6" max="6" width="16" customWidth="1"/>
    <col min="7" max="7" width="22" customWidth="1"/>
    <col min="8" max="8" width="15" customWidth="1"/>
    <col min="9" max="9" width="3" customWidth="1"/>
    <col min="10" max="10" width="22" customWidth="1"/>
    <col min="11" max="11" width="16" customWidth="1"/>
    <col min="12" max="12" width="3" customWidth="1"/>
  </cols>
  <sheetData>
    <row r="1" spans="1:12" ht="17.850000000000001" customHeight="1">
      <c r="A1" s="104" t="s">
        <v>125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3" spans="1:12">
      <c r="A3" s="1" t="s">
        <v>126</v>
      </c>
      <c r="B3" s="1" t="s">
        <v>2</v>
      </c>
      <c r="D3" s="1" t="s">
        <v>127</v>
      </c>
      <c r="E3" s="1" t="s">
        <v>128</v>
      </c>
      <c r="G3" s="1" t="s">
        <v>129</v>
      </c>
      <c r="H3" s="1" t="s">
        <v>128</v>
      </c>
      <c r="J3" s="1" t="s">
        <v>130</v>
      </c>
      <c r="K3" s="1" t="s">
        <v>2</v>
      </c>
    </row>
    <row r="4" spans="1:12">
      <c r="A4" s="26" t="s">
        <v>131</v>
      </c>
      <c r="B4" s="27">
        <f>COUNTIF('ARAÇ VERİ GİRİŞİ'!$F$4:$F$303,"&gt;0")</f>
        <v>6</v>
      </c>
      <c r="D4" t="s">
        <v>76</v>
      </c>
      <c r="E4">
        <f>COUNTIF('ARAÇ VERİ GİRİŞİ'!$E$4:$E$303,D4)</f>
        <v>0</v>
      </c>
      <c r="G4" t="s">
        <v>76</v>
      </c>
      <c r="H4">
        <f>COUNTIF('ARAÇ VERİ GİRİŞİ'!$S$4:$S$303,G4)</f>
        <v>3</v>
      </c>
      <c r="J4" t="s">
        <v>132</v>
      </c>
      <c r="K4">
        <f>'EXPERTİZ TAKİP'!B15</f>
        <v>6</v>
      </c>
    </row>
    <row r="5" spans="1:12">
      <c r="A5" s="28" t="s">
        <v>133</v>
      </c>
      <c r="B5" s="29">
        <f>COUNTIF('ARAÇ VERİ GİRİŞİ'!$X$4:$X$303,"STOKTA")</f>
        <v>0</v>
      </c>
      <c r="D5" t="s">
        <v>74</v>
      </c>
      <c r="E5">
        <f>COUNTIF('ARAÇ VERİ GİRİŞİ'!$E$4:$E$303,D5)</f>
        <v>2</v>
      </c>
      <c r="G5" t="s">
        <v>74</v>
      </c>
      <c r="H5">
        <f>COUNTIF('ARAÇ VERİ GİRİŞİ'!$S$4:$S$303,G5)</f>
        <v>0</v>
      </c>
      <c r="J5" t="s">
        <v>134</v>
      </c>
      <c r="K5">
        <f>'EXPERTİZ TAKİP'!C15</f>
        <v>0</v>
      </c>
    </row>
    <row r="6" spans="1:12">
      <c r="A6" s="28" t="s">
        <v>135</v>
      </c>
      <c r="B6" s="29">
        <f>COUNTIF('ARAÇ VERİ GİRİŞİ'!$X$4:$X$303,"SATILDI")</f>
        <v>6</v>
      </c>
      <c r="D6" t="s">
        <v>80</v>
      </c>
      <c r="E6">
        <f>COUNTIF('ARAÇ VERİ GİRİŞİ'!$E$4:$E$303,D6)</f>
        <v>1</v>
      </c>
      <c r="G6" t="s">
        <v>136</v>
      </c>
      <c r="H6">
        <f>COUNTIF('ARAÇ VERİ GİRİŞİ'!$S$4:$S$303,G6)</f>
        <v>0</v>
      </c>
      <c r="J6" t="s">
        <v>137</v>
      </c>
      <c r="K6" s="20">
        <f>'EXPERTİZ TAKİP'!D15</f>
        <v>0</v>
      </c>
    </row>
    <row r="7" spans="1:12">
      <c r="A7" s="28" t="s">
        <v>138</v>
      </c>
      <c r="B7" s="31">
        <f>SUM('ARAÇ VERİ GİRİŞİ'!$T$4:$T$303)</f>
        <v>8345000</v>
      </c>
      <c r="D7" t="s">
        <v>68</v>
      </c>
      <c r="E7">
        <f>COUNTIF('ARAÇ VERİ GİRİŞİ'!$E$4:$E$303,D7)</f>
        <v>3</v>
      </c>
      <c r="G7" t="s">
        <v>139</v>
      </c>
      <c r="H7">
        <f>COUNTIF('ARAÇ VERİ GİRİŞİ'!$S$4:$S$303,G7)</f>
        <v>0</v>
      </c>
      <c r="J7" t="s">
        <v>140</v>
      </c>
      <c r="K7" s="22">
        <f>'EXPERTİZ TAKİP'!E15</f>
        <v>23400</v>
      </c>
    </row>
    <row r="8" spans="1:12">
      <c r="A8" s="28" t="s">
        <v>141</v>
      </c>
      <c r="B8" s="31">
        <f ca="1">SUM('ARAÇ VERİ GİRİŞİ'!$V$4:$V$303)</f>
        <v>185754</v>
      </c>
    </row>
    <row r="9" spans="1:12">
      <c r="A9" s="28" t="s">
        <v>142</v>
      </c>
      <c r="B9" s="31">
        <f>SUM('ARAÇ VERİ GİRİŞİ'!$AC$4:$AC$303)</f>
        <v>0</v>
      </c>
    </row>
    <row r="10" spans="1:12">
      <c r="A10" s="28" t="s">
        <v>143</v>
      </c>
      <c r="B10" s="31">
        <f ca="1">SUM('ARAÇ VERİ GİRİŞİ'!$AD$4:$AD$303)</f>
        <v>185754</v>
      </c>
      <c r="D10" s="4" t="s">
        <v>89</v>
      </c>
      <c r="E10" s="4" t="s">
        <v>144</v>
      </c>
      <c r="F10" s="4" t="s">
        <v>145</v>
      </c>
      <c r="G10" s="4" t="s">
        <v>57</v>
      </c>
      <c r="H10" s="4" t="s">
        <v>146</v>
      </c>
    </row>
    <row r="11" spans="1:12">
      <c r="A11" s="28" t="s">
        <v>147</v>
      </c>
      <c r="B11" s="33">
        <f ca="1">IFERROR(B10/B7,0)</f>
        <v>2.2259316956261235E-2</v>
      </c>
      <c r="D11" t="s">
        <v>71</v>
      </c>
      <c r="E11">
        <f>'DANIŞMAN PERFORMANS'!B4</f>
        <v>5</v>
      </c>
      <c r="F11" s="22">
        <f>'DANIŞMAN PERFORMANS'!C4</f>
        <v>6605000</v>
      </c>
      <c r="G11" s="22">
        <f ca="1">'DANIŞMAN PERFORMANS'!F4</f>
        <v>210434.33333333326</v>
      </c>
      <c r="H11" s="20">
        <f ca="1">'DANIŞMAN PERFORMANS'!H4</f>
        <v>3.1859853646227593E-2</v>
      </c>
    </row>
    <row r="12" spans="1:12">
      <c r="A12" s="28" t="s">
        <v>148</v>
      </c>
      <c r="B12" s="34">
        <f ca="1">IFERROR(AVERAGEIF('ARAÇ VERİ GİRİŞİ'!$I$4:$I$303,"&gt;0"),0)</f>
        <v>30.666666666666668</v>
      </c>
      <c r="D12" t="s">
        <v>77</v>
      </c>
      <c r="E12">
        <f>'DANIŞMAN PERFORMANS'!B5</f>
        <v>1</v>
      </c>
      <c r="F12" s="22">
        <f>'DANIŞMAN PERFORMANS'!C5</f>
        <v>1740000</v>
      </c>
      <c r="G12" s="22">
        <f ca="1">'DANIŞMAN PERFORMANS'!F5</f>
        <v>-24680.333333333256</v>
      </c>
      <c r="H12" s="20">
        <f ca="1">'DANIŞMAN PERFORMANS'!H5</f>
        <v>-1.4184099616858193E-2</v>
      </c>
    </row>
    <row r="13" spans="1:12">
      <c r="A13" s="30" t="s">
        <v>149</v>
      </c>
      <c r="B13" s="32">
        <f ca="1">SUM('ARAÇ VERİ GİRİŞİ'!$O$4:$O$303)</f>
        <v>159740</v>
      </c>
    </row>
  </sheetData>
  <mergeCells count="1">
    <mergeCell ref="A1:L1"/>
  </mergeCells>
  <conditionalFormatting sqref="B9:B1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15" sqref="B15"/>
    </sheetView>
  </sheetViews>
  <sheetFormatPr defaultRowHeight="13.8"/>
  <cols>
    <col min="1" max="1" width="28" customWidth="1"/>
    <col min="2" max="2" width="18" customWidth="1"/>
    <col min="3" max="3" width="24" customWidth="1"/>
    <col min="4" max="4" width="40" customWidth="1"/>
  </cols>
  <sheetData>
    <row r="1" spans="1:4" ht="17.399999999999999">
      <c r="A1" s="105" t="s">
        <v>150</v>
      </c>
      <c r="B1" s="105"/>
      <c r="C1" s="105"/>
      <c r="D1" s="105"/>
    </row>
    <row r="3" spans="1:4">
      <c r="A3" s="37" t="s">
        <v>151</v>
      </c>
      <c r="B3" s="37" t="s">
        <v>152</v>
      </c>
      <c r="C3" s="37" t="s">
        <v>153</v>
      </c>
      <c r="D3" s="37" t="s">
        <v>154</v>
      </c>
    </row>
    <row r="4" spans="1:4">
      <c r="A4" t="s">
        <v>7</v>
      </c>
      <c r="B4" s="40">
        <v>2602</v>
      </c>
      <c r="C4" t="s">
        <v>155</v>
      </c>
      <c r="D4" t="s">
        <v>156</v>
      </c>
    </row>
    <row r="5" spans="1:4">
      <c r="A5" t="s">
        <v>12</v>
      </c>
      <c r="B5" s="40">
        <v>3900</v>
      </c>
      <c r="C5" t="s">
        <v>155</v>
      </c>
      <c r="D5" t="s">
        <v>156</v>
      </c>
    </row>
    <row r="6" spans="1:4">
      <c r="A6" t="s">
        <v>16</v>
      </c>
      <c r="B6" s="40">
        <v>1900</v>
      </c>
      <c r="C6" t="s">
        <v>155</v>
      </c>
      <c r="D6" t="s">
        <v>156</v>
      </c>
    </row>
    <row r="7" spans="1:4">
      <c r="A7" t="s">
        <v>20</v>
      </c>
      <c r="B7" s="40">
        <v>2500</v>
      </c>
      <c r="C7" t="s">
        <v>155</v>
      </c>
      <c r="D7" t="s">
        <v>156</v>
      </c>
    </row>
    <row r="8" spans="1:4">
      <c r="A8" t="s">
        <v>24</v>
      </c>
      <c r="B8" s="41">
        <v>3.5000000000000003E-2</v>
      </c>
      <c r="C8" t="s">
        <v>157</v>
      </c>
      <c r="D8" t="s">
        <v>158</v>
      </c>
    </row>
    <row r="10" spans="1:4">
      <c r="A10" s="38" t="s">
        <v>159</v>
      </c>
      <c r="B10" s="42">
        <f>SUM(B4:B7)</f>
        <v>10902</v>
      </c>
    </row>
    <row r="11" spans="1:4">
      <c r="A11" t="s">
        <v>160</v>
      </c>
      <c r="B11" t="s">
        <v>161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C24" sqref="C24"/>
    </sheetView>
  </sheetViews>
  <sheetFormatPr defaultRowHeight="13.8"/>
  <cols>
    <col min="1" max="1" width="24" customWidth="1"/>
    <col min="2" max="4" width="18" customWidth="1"/>
  </cols>
  <sheetData>
    <row r="1" spans="1:4" ht="17.399999999999999">
      <c r="A1" s="105" t="s">
        <v>162</v>
      </c>
      <c r="B1" s="105"/>
      <c r="C1" s="105"/>
      <c r="D1" s="105"/>
    </row>
    <row r="3" spans="1:4">
      <c r="A3" s="43" t="s">
        <v>40</v>
      </c>
      <c r="B3" s="43" t="s">
        <v>163</v>
      </c>
      <c r="C3" s="43" t="s">
        <v>164</v>
      </c>
      <c r="D3" s="43" t="s">
        <v>11</v>
      </c>
    </row>
    <row r="4" spans="1:4">
      <c r="A4" s="39" t="s">
        <v>76</v>
      </c>
      <c r="B4" s="39" t="s">
        <v>165</v>
      </c>
      <c r="C4" s="39" t="s">
        <v>165</v>
      </c>
      <c r="D4" s="39" t="s">
        <v>165</v>
      </c>
    </row>
    <row r="5" spans="1:4">
      <c r="A5" s="39" t="s">
        <v>74</v>
      </c>
      <c r="B5" s="39" t="s">
        <v>165</v>
      </c>
      <c r="C5" s="39" t="s">
        <v>165</v>
      </c>
      <c r="D5" s="39" t="s">
        <v>165</v>
      </c>
    </row>
    <row r="6" spans="1:4">
      <c r="A6" s="39" t="s">
        <v>80</v>
      </c>
      <c r="B6" s="39" t="s">
        <v>165</v>
      </c>
      <c r="C6" s="39" t="s">
        <v>165</v>
      </c>
      <c r="D6" s="39" t="s">
        <v>165</v>
      </c>
    </row>
    <row r="7" spans="1:4">
      <c r="A7" s="39" t="s">
        <v>68</v>
      </c>
      <c r="B7" s="39" t="s">
        <v>166</v>
      </c>
      <c r="C7" s="39" t="s">
        <v>166</v>
      </c>
      <c r="D7" s="39" t="s">
        <v>165</v>
      </c>
    </row>
    <row r="8" spans="1:4">
      <c r="A8" s="39"/>
      <c r="B8" s="39"/>
      <c r="C8" s="39"/>
      <c r="D8" s="39"/>
    </row>
    <row r="9" spans="1:4">
      <c r="A9" s="39"/>
      <c r="B9" s="39"/>
      <c r="C9" s="39"/>
      <c r="D9" s="39"/>
    </row>
    <row r="10" spans="1:4">
      <c r="A10" s="39"/>
      <c r="B10" s="39"/>
      <c r="C10" s="39"/>
      <c r="D10" s="39"/>
    </row>
    <row r="11" spans="1:4">
      <c r="A11" s="39"/>
      <c r="B11" s="39"/>
      <c r="C11" s="39"/>
      <c r="D11" s="39"/>
    </row>
    <row r="12" spans="1:4">
      <c r="A12" s="39"/>
      <c r="B12" s="39"/>
      <c r="C12" s="39"/>
      <c r="D12" s="39"/>
    </row>
    <row r="13" spans="1:4">
      <c r="A13" s="39"/>
      <c r="B13" s="39"/>
      <c r="C13" s="39"/>
      <c r="D13" s="39"/>
    </row>
    <row r="14" spans="1:4">
      <c r="A14" s="39"/>
      <c r="B14" s="39"/>
      <c r="C14" s="39"/>
      <c r="D14" s="39"/>
    </row>
    <row r="15" spans="1:4">
      <c r="A15" s="39"/>
      <c r="B15" s="39"/>
      <c r="C15" s="39"/>
      <c r="D15" s="39"/>
    </row>
    <row r="16" spans="1:4">
      <c r="A16" s="39"/>
      <c r="B16" s="39"/>
      <c r="C16" s="39"/>
      <c r="D16" s="39"/>
    </row>
    <row r="17" spans="1:4">
      <c r="A17" s="39"/>
      <c r="B17" s="39"/>
      <c r="C17" s="39"/>
      <c r="D17" s="39"/>
    </row>
    <row r="18" spans="1:4">
      <c r="A18" s="39"/>
      <c r="B18" s="39"/>
      <c r="C18" s="39"/>
      <c r="D18" s="39"/>
    </row>
    <row r="19" spans="1:4">
      <c r="A19" s="39"/>
      <c r="B19" s="39"/>
      <c r="C19" s="39"/>
      <c r="D19" s="39"/>
    </row>
    <row r="20" spans="1:4">
      <c r="A20" s="39"/>
      <c r="B20" s="39"/>
      <c r="C20" s="39"/>
      <c r="D20" s="39"/>
    </row>
  </sheetData>
  <mergeCells count="1">
    <mergeCell ref="A1:D1"/>
  </mergeCells>
  <dataValidations count="3">
    <dataValidation type="list" sqref="B4:B20">
      <formula1>"EVET,HAYIR"</formula1>
    </dataValidation>
    <dataValidation type="list" sqref="C4:C20">
      <formula1>"EVET,HAYIR"</formula1>
    </dataValidation>
    <dataValidation type="list" sqref="D4:D20">
      <formula1>"EVET,HAYIR"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F13" sqref="F13"/>
    </sheetView>
  </sheetViews>
  <sheetFormatPr defaultRowHeight="13.8"/>
  <cols>
    <col min="1" max="1" width="26" customWidth="1"/>
    <col min="2" max="2" width="14" customWidth="1"/>
    <col min="4" max="4" width="26" customWidth="1"/>
    <col min="5" max="5" width="14" customWidth="1"/>
    <col min="6" max="6" width="34" customWidth="1"/>
  </cols>
  <sheetData>
    <row r="1" spans="1:6" ht="17.399999999999999">
      <c r="A1" s="105" t="s">
        <v>167</v>
      </c>
      <c r="B1" s="105"/>
      <c r="C1" s="105"/>
      <c r="D1" s="105"/>
      <c r="E1" s="105"/>
      <c r="F1" s="105"/>
    </row>
    <row r="3" spans="1:6">
      <c r="A3" s="35" t="s">
        <v>54</v>
      </c>
      <c r="B3" s="35" t="s">
        <v>11</v>
      </c>
      <c r="D3" s="35" t="s">
        <v>168</v>
      </c>
      <c r="E3" s="35" t="s">
        <v>11</v>
      </c>
      <c r="F3" s="35" t="s">
        <v>154</v>
      </c>
    </row>
    <row r="4" spans="1:6">
      <c r="A4" s="39" t="s">
        <v>76</v>
      </c>
      <c r="B4" s="39" t="s">
        <v>165</v>
      </c>
      <c r="D4" s="39" t="s">
        <v>169</v>
      </c>
      <c r="E4" s="39" t="s">
        <v>165</v>
      </c>
      <c r="F4" s="39" t="s">
        <v>170</v>
      </c>
    </row>
    <row r="5" spans="1:6">
      <c r="A5" s="39" t="s">
        <v>74</v>
      </c>
      <c r="B5" s="39" t="s">
        <v>165</v>
      </c>
      <c r="D5" s="39" t="s">
        <v>171</v>
      </c>
      <c r="E5" s="39" t="s">
        <v>165</v>
      </c>
      <c r="F5" s="39" t="s">
        <v>172</v>
      </c>
    </row>
    <row r="6" spans="1:6">
      <c r="A6" s="39" t="s">
        <v>136</v>
      </c>
      <c r="B6" s="39" t="s">
        <v>165</v>
      </c>
      <c r="D6" s="39" t="s">
        <v>173</v>
      </c>
      <c r="E6" s="39" t="s">
        <v>165</v>
      </c>
      <c r="F6" s="39" t="s">
        <v>174</v>
      </c>
    </row>
    <row r="7" spans="1:6">
      <c r="A7" s="39" t="s">
        <v>175</v>
      </c>
      <c r="B7" s="39" t="s">
        <v>165</v>
      </c>
      <c r="D7" s="39"/>
      <c r="E7" s="39"/>
      <c r="F7" s="39"/>
    </row>
    <row r="8" spans="1:6">
      <c r="A8" s="39" t="s">
        <v>70</v>
      </c>
      <c r="B8" s="39" t="s">
        <v>165</v>
      </c>
      <c r="D8" s="39"/>
      <c r="E8" s="39"/>
      <c r="F8" s="39"/>
    </row>
    <row r="9" spans="1:6">
      <c r="A9" s="39"/>
      <c r="B9" s="39"/>
      <c r="D9" s="39"/>
      <c r="E9" s="39"/>
      <c r="F9" s="39"/>
    </row>
    <row r="10" spans="1:6">
      <c r="A10" s="39"/>
      <c r="B10" s="39"/>
      <c r="D10" s="39"/>
      <c r="E10" s="39"/>
      <c r="F10" s="39"/>
    </row>
    <row r="11" spans="1:6">
      <c r="A11" s="39"/>
      <c r="B11" s="39"/>
      <c r="D11" s="39"/>
      <c r="E11" s="39"/>
      <c r="F11" s="39"/>
    </row>
    <row r="12" spans="1:6">
      <c r="A12" s="39"/>
      <c r="B12" s="39"/>
      <c r="D12" s="39"/>
      <c r="E12" s="39"/>
      <c r="F12" s="39"/>
    </row>
    <row r="13" spans="1:6">
      <c r="A13" s="39"/>
      <c r="B13" s="39"/>
      <c r="D13" s="39"/>
      <c r="E13" s="39"/>
      <c r="F13" s="39"/>
    </row>
    <row r="14" spans="1:6">
      <c r="A14" s="39"/>
      <c r="B14" s="39"/>
      <c r="D14" s="39"/>
      <c r="E14" s="39"/>
      <c r="F14" s="39"/>
    </row>
    <row r="15" spans="1:6">
      <c r="A15" s="39"/>
      <c r="B15" s="39"/>
      <c r="D15" s="39"/>
      <c r="E15" s="39"/>
      <c r="F15" s="39"/>
    </row>
    <row r="16" spans="1:6">
      <c r="A16" s="39"/>
      <c r="B16" s="39"/>
      <c r="D16" s="39"/>
      <c r="E16" s="39"/>
      <c r="F16" s="39"/>
    </row>
    <row r="17" spans="1:6">
      <c r="A17" s="39"/>
      <c r="B17" s="39"/>
      <c r="D17" s="39"/>
      <c r="E17" s="39"/>
      <c r="F17" s="39"/>
    </row>
    <row r="18" spans="1:6">
      <c r="A18" s="39"/>
      <c r="B18" s="39"/>
      <c r="D18" s="39"/>
      <c r="E18" s="39"/>
      <c r="F18" s="39"/>
    </row>
    <row r="19" spans="1:6">
      <c r="A19" s="39"/>
      <c r="B19" s="39"/>
      <c r="D19" s="39"/>
      <c r="E19" s="39"/>
      <c r="F19" s="39"/>
    </row>
    <row r="20" spans="1:6">
      <c r="A20" s="39"/>
      <c r="B20" s="39"/>
      <c r="D20" s="39"/>
      <c r="E20" s="39"/>
      <c r="F20" s="39"/>
    </row>
  </sheetData>
  <mergeCells count="1">
    <mergeCell ref="A1:F1"/>
  </mergeCells>
  <dataValidations count="2">
    <dataValidation type="list" sqref="B4:B20">
      <formula1>"EVET,HAYIR"</formula1>
    </dataValidation>
    <dataValidation type="list" sqref="E4:E20">
      <formula1>"EVET,HAYIR"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1"/>
    </sheetView>
  </sheetViews>
  <sheetFormatPr defaultRowHeight="13.8"/>
  <cols>
    <col min="1" max="1" width="28" customWidth="1"/>
    <col min="2" max="2" width="14" customWidth="1"/>
    <col min="3" max="3" width="18" customWidth="1"/>
    <col min="4" max="4" width="20" customWidth="1"/>
  </cols>
  <sheetData>
    <row r="1" spans="1:4" ht="17.399999999999999">
      <c r="A1" s="105" t="s">
        <v>21</v>
      </c>
      <c r="B1" s="105"/>
      <c r="C1" s="105"/>
      <c r="D1" s="105"/>
    </row>
    <row r="3" spans="1:4">
      <c r="A3" s="43" t="s">
        <v>89</v>
      </c>
      <c r="B3" s="43" t="s">
        <v>11</v>
      </c>
      <c r="C3" s="43" t="s">
        <v>176</v>
      </c>
      <c r="D3" s="43" t="s">
        <v>122</v>
      </c>
    </row>
    <row r="4" spans="1:4">
      <c r="A4" s="39" t="s">
        <v>71</v>
      </c>
      <c r="B4" s="39" t="s">
        <v>165</v>
      </c>
      <c r="C4" s="39">
        <v>0</v>
      </c>
      <c r="D4" s="40">
        <v>0</v>
      </c>
    </row>
    <row r="5" spans="1:4">
      <c r="A5" s="39" t="s">
        <v>77</v>
      </c>
      <c r="B5" s="39" t="s">
        <v>165</v>
      </c>
      <c r="C5" s="39">
        <v>0</v>
      </c>
      <c r="D5" s="40">
        <v>0</v>
      </c>
    </row>
    <row r="6" spans="1:4">
      <c r="A6" s="39"/>
      <c r="B6" s="39"/>
      <c r="C6" s="39"/>
      <c r="D6" s="40"/>
    </row>
    <row r="7" spans="1:4">
      <c r="A7" s="39"/>
      <c r="B7" s="39"/>
      <c r="C7" s="39"/>
      <c r="D7" s="40"/>
    </row>
    <row r="8" spans="1:4">
      <c r="A8" s="39"/>
      <c r="B8" s="39"/>
      <c r="C8" s="39"/>
      <c r="D8" s="40"/>
    </row>
    <row r="9" spans="1:4">
      <c r="A9" s="39"/>
      <c r="B9" s="39"/>
      <c r="C9" s="39"/>
      <c r="D9" s="40"/>
    </row>
    <row r="10" spans="1:4">
      <c r="A10" s="39"/>
      <c r="B10" s="39"/>
      <c r="C10" s="39"/>
      <c r="D10" s="40"/>
    </row>
    <row r="11" spans="1:4">
      <c r="A11" s="39"/>
      <c r="B11" s="39"/>
      <c r="C11" s="39"/>
      <c r="D11" s="40"/>
    </row>
    <row r="12" spans="1:4">
      <c r="A12" s="39"/>
      <c r="B12" s="39"/>
      <c r="C12" s="39"/>
      <c r="D12" s="40"/>
    </row>
    <row r="13" spans="1:4">
      <c r="A13" s="39"/>
      <c r="B13" s="39"/>
      <c r="C13" s="39"/>
      <c r="D13" s="40"/>
    </row>
    <row r="14" spans="1:4">
      <c r="A14" s="39"/>
      <c r="B14" s="39"/>
      <c r="C14" s="39"/>
      <c r="D14" s="40"/>
    </row>
    <row r="15" spans="1:4">
      <c r="A15" s="39"/>
      <c r="B15" s="39"/>
      <c r="C15" s="39"/>
      <c r="D15" s="40"/>
    </row>
    <row r="16" spans="1:4">
      <c r="A16" s="39"/>
      <c r="B16" s="39"/>
      <c r="C16" s="39"/>
      <c r="D16" s="40"/>
    </row>
    <row r="17" spans="1:4">
      <c r="A17" s="39"/>
      <c r="B17" s="39"/>
      <c r="C17" s="39"/>
      <c r="D17" s="40"/>
    </row>
    <row r="18" spans="1:4">
      <c r="A18" s="39"/>
      <c r="B18" s="39"/>
      <c r="C18" s="39"/>
      <c r="D18" s="40"/>
    </row>
    <row r="19" spans="1:4">
      <c r="A19" s="39"/>
      <c r="B19" s="39"/>
      <c r="C19" s="39"/>
      <c r="D19" s="40"/>
    </row>
    <row r="20" spans="1:4">
      <c r="A20" s="39"/>
      <c r="B20" s="39"/>
      <c r="C20" s="39"/>
      <c r="D20" s="40"/>
    </row>
  </sheetData>
  <mergeCells count="1">
    <mergeCell ref="A1:D1"/>
  </mergeCells>
  <dataValidations count="1">
    <dataValidation type="list" sqref="B4:B20">
      <formula1>"EVET,HAYIR"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6"/>
  <sheetViews>
    <sheetView workbookViewId="0">
      <selection activeCell="A10" sqref="A10"/>
    </sheetView>
  </sheetViews>
  <sheetFormatPr defaultRowHeight="13.8"/>
  <cols>
    <col min="1" max="1" width="7" customWidth="1"/>
    <col min="2" max="2" width="17.09765625" customWidth="1"/>
    <col min="3" max="3" width="17.59765625" customWidth="1"/>
    <col min="4" max="4" width="11" customWidth="1"/>
    <col min="5" max="5" width="16" customWidth="1"/>
    <col min="6" max="6" width="18" customWidth="1"/>
    <col min="7" max="7" width="20" customWidth="1"/>
    <col min="8" max="8" width="14" customWidth="1"/>
    <col min="9" max="9" width="13" customWidth="1"/>
    <col min="10" max="10" width="11" customWidth="1"/>
    <col min="11" max="11" width="14" customWidth="1"/>
    <col min="12" max="12" width="13" customWidth="1"/>
    <col min="13" max="16" width="15" customWidth="1"/>
    <col min="17" max="17" width="18" customWidth="1"/>
    <col min="18" max="18" width="22" customWidth="1"/>
    <col min="19" max="19" width="16" customWidth="1"/>
  </cols>
  <sheetData>
    <row r="1" spans="1:19" ht="24" customHeight="1">
      <c r="A1" s="106" t="s">
        <v>177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</row>
    <row r="3" spans="1:19" ht="55.2">
      <c r="A3" s="72" t="s">
        <v>178</v>
      </c>
      <c r="B3" s="72" t="s">
        <v>179</v>
      </c>
      <c r="C3" s="72" t="s">
        <v>180</v>
      </c>
      <c r="D3" s="72" t="s">
        <v>181</v>
      </c>
      <c r="E3" s="72" t="s">
        <v>182</v>
      </c>
      <c r="G3" s="107" t="s">
        <v>183</v>
      </c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</row>
    <row r="4" spans="1:19" ht="15.6">
      <c r="A4" s="74">
        <f>COUNTIF(B7:B306,"&lt;&gt;")</f>
        <v>3</v>
      </c>
      <c r="B4" s="73">
        <f ca="1">SUM(R7:R306)</f>
        <v>3672039.3333333335</v>
      </c>
      <c r="C4" s="73">
        <f>SUM(N7:N306)</f>
        <v>3760000</v>
      </c>
      <c r="D4" s="73">
        <f ca="1">SUM(Q7:Q306)</f>
        <v>114333.33333333334</v>
      </c>
      <c r="E4" s="73">
        <f ca="1">IFERROR(AVERAGEIF(S7:S306,"&lt;&gt;",S7:S306),0)</f>
        <v>29320.222222222208</v>
      </c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</row>
    <row r="6" spans="1:19" ht="30.45" customHeight="1">
      <c r="A6" s="82" t="s">
        <v>184</v>
      </c>
      <c r="B6" s="83" t="s">
        <v>39</v>
      </c>
      <c r="C6" s="83" t="s">
        <v>185</v>
      </c>
      <c r="D6" s="83" t="s">
        <v>186</v>
      </c>
      <c r="E6" s="83" t="s">
        <v>187</v>
      </c>
      <c r="F6" s="83" t="s">
        <v>188</v>
      </c>
      <c r="G6" s="83" t="s">
        <v>189</v>
      </c>
      <c r="H6" s="83" t="s">
        <v>190</v>
      </c>
      <c r="I6" s="83" t="s">
        <v>42</v>
      </c>
      <c r="J6" s="83" t="s">
        <v>191</v>
      </c>
      <c r="K6" s="83" t="s">
        <v>192</v>
      </c>
      <c r="L6" s="83" t="s">
        <v>193</v>
      </c>
      <c r="M6" s="83" t="s">
        <v>194</v>
      </c>
      <c r="N6" s="83" t="s">
        <v>195</v>
      </c>
      <c r="O6" s="83" t="s">
        <v>196</v>
      </c>
      <c r="P6" s="83" t="s">
        <v>197</v>
      </c>
      <c r="Q6" s="83" t="s">
        <v>50</v>
      </c>
      <c r="R6" s="83" t="s">
        <v>198</v>
      </c>
      <c r="S6" s="84" t="s">
        <v>199</v>
      </c>
    </row>
    <row r="7" spans="1:19">
      <c r="A7" s="85">
        <v>1</v>
      </c>
      <c r="B7" s="75" t="s">
        <v>200</v>
      </c>
      <c r="C7" s="78">
        <v>2023</v>
      </c>
      <c r="D7" s="79">
        <v>82000</v>
      </c>
      <c r="E7" s="75" t="s">
        <v>201</v>
      </c>
      <c r="F7" s="75" t="s">
        <v>202</v>
      </c>
      <c r="G7" s="75" t="s">
        <v>203</v>
      </c>
      <c r="H7" s="75" t="s">
        <v>204</v>
      </c>
      <c r="I7" s="77">
        <v>46210</v>
      </c>
      <c r="J7" s="76">
        <f t="shared" ref="J7:J70" ca="1" si="0">IF(I7="","",MAX(0,TODAY()-I7))</f>
        <v>41</v>
      </c>
      <c r="K7" s="75" t="s">
        <v>205</v>
      </c>
      <c r="L7" s="75" t="s">
        <v>206</v>
      </c>
      <c r="M7" s="80">
        <v>1280000</v>
      </c>
      <c r="N7" s="80">
        <v>1400000</v>
      </c>
      <c r="O7" s="80"/>
      <c r="P7" s="81">
        <f>IF(M7="","",'GİDER AYARLARI'!$B$10)</f>
        <v>10902</v>
      </c>
      <c r="Q7" s="81">
        <f ca="1">IF(OR(M7="",J7=""),"",M7*'GİDER AYARLARI'!$B$8*J7/30)</f>
        <v>61226.666666666672</v>
      </c>
      <c r="R7" s="81">
        <f t="shared" ref="R7:R70" ca="1" si="1">IF(M7="","",M7+P7+Q7)</f>
        <v>1352128.6666666667</v>
      </c>
      <c r="S7" s="86">
        <f t="shared" ref="S7:S70" ca="1" si="2">IF(OR(N7="",R7=""),"",N7-R7)</f>
        <v>47871.333333333256</v>
      </c>
    </row>
    <row r="8" spans="1:19" ht="14.4">
      <c r="A8" s="85">
        <v>2</v>
      </c>
      <c r="B8" s="71" t="s">
        <v>207</v>
      </c>
      <c r="C8" s="78">
        <v>2019</v>
      </c>
      <c r="D8" s="79">
        <v>98300</v>
      </c>
      <c r="E8" s="75" t="s">
        <v>208</v>
      </c>
      <c r="F8" s="75" t="s">
        <v>209</v>
      </c>
      <c r="G8" s="75" t="s">
        <v>210</v>
      </c>
      <c r="H8" s="75" t="s">
        <v>211</v>
      </c>
      <c r="I8" s="77">
        <v>46238</v>
      </c>
      <c r="J8" s="76">
        <f t="shared" ca="1" si="0"/>
        <v>13</v>
      </c>
      <c r="K8" s="75" t="s">
        <v>212</v>
      </c>
      <c r="L8" s="75" t="s">
        <v>213</v>
      </c>
      <c r="M8" s="80">
        <v>760000</v>
      </c>
      <c r="N8" s="80">
        <v>860000</v>
      </c>
      <c r="O8" s="80"/>
      <c r="P8" s="81">
        <f>IF(M8="","",'GİDER AYARLARI'!$B$10)</f>
        <v>10902</v>
      </c>
      <c r="Q8" s="81">
        <f ca="1">IF(OR(M8="",J8=""),"",M8*'GİDER AYARLARI'!$B$8*J8/30)</f>
        <v>11526.666666666668</v>
      </c>
      <c r="R8" s="81">
        <f t="shared" ca="1" si="1"/>
        <v>782428.66666666663</v>
      </c>
      <c r="S8" s="86">
        <f t="shared" ca="1" si="2"/>
        <v>77571.333333333372</v>
      </c>
    </row>
    <row r="9" spans="1:19">
      <c r="A9" s="85">
        <v>3</v>
      </c>
      <c r="B9" s="75" t="s">
        <v>214</v>
      </c>
      <c r="C9" s="78">
        <v>2024</v>
      </c>
      <c r="D9" s="79">
        <v>102800</v>
      </c>
      <c r="E9" s="75" t="s">
        <v>215</v>
      </c>
      <c r="F9" s="75" t="s">
        <v>202</v>
      </c>
      <c r="G9" s="75" t="s">
        <v>216</v>
      </c>
      <c r="H9" s="75" t="s">
        <v>204</v>
      </c>
      <c r="I9" s="77">
        <v>46227</v>
      </c>
      <c r="J9" s="76">
        <f t="shared" ca="1" si="0"/>
        <v>24</v>
      </c>
      <c r="K9" s="75" t="s">
        <v>205</v>
      </c>
      <c r="L9" s="75" t="s">
        <v>213</v>
      </c>
      <c r="M9" s="80">
        <v>1485000</v>
      </c>
      <c r="N9" s="80">
        <v>1500000</v>
      </c>
      <c r="O9" s="80"/>
      <c r="P9" s="81">
        <f>IF(M9="","",'GİDER AYARLARI'!$B$10)</f>
        <v>10902</v>
      </c>
      <c r="Q9" s="81">
        <f ca="1">IF(OR(M9="",J9=""),"",M9*'GİDER AYARLARI'!$B$8*J9/30)</f>
        <v>41580.000000000007</v>
      </c>
      <c r="R9" s="81">
        <f t="shared" ca="1" si="1"/>
        <v>1537482</v>
      </c>
      <c r="S9" s="86">
        <f t="shared" ca="1" si="2"/>
        <v>-37482</v>
      </c>
    </row>
    <row r="10" spans="1:19">
      <c r="A10" s="85" t="str">
        <f t="shared" ref="A10:A70" si="3">IF(B10="","",ROW()-6)</f>
        <v/>
      </c>
      <c r="B10" s="75"/>
      <c r="C10" s="78"/>
      <c r="D10" s="79"/>
      <c r="E10" s="75"/>
      <c r="F10" s="75"/>
      <c r="G10" s="75"/>
      <c r="H10" s="75"/>
      <c r="I10" s="77"/>
      <c r="J10" s="76" t="str">
        <f t="shared" ca="1" si="0"/>
        <v/>
      </c>
      <c r="K10" s="75"/>
      <c r="L10" s="75"/>
      <c r="M10" s="80"/>
      <c r="N10" s="80"/>
      <c r="O10" s="80"/>
      <c r="P10" s="81" t="str">
        <f>IF(M10="","",'GİDER AYARLARI'!$B$10)</f>
        <v/>
      </c>
      <c r="Q10" s="81" t="str">
        <f ca="1">IF(OR(M10="",J10=""),"",M10*'GİDER AYARLARI'!$B$8*J10/30)</f>
        <v/>
      </c>
      <c r="R10" s="81" t="str">
        <f t="shared" si="1"/>
        <v/>
      </c>
      <c r="S10" s="86" t="str">
        <f t="shared" si="2"/>
        <v/>
      </c>
    </row>
    <row r="11" spans="1:19">
      <c r="A11" s="85" t="str">
        <f t="shared" si="3"/>
        <v/>
      </c>
      <c r="B11" s="75"/>
      <c r="C11" s="78"/>
      <c r="D11" s="79"/>
      <c r="E11" s="75"/>
      <c r="F11" s="75"/>
      <c r="G11" s="75"/>
      <c r="H11" s="75"/>
      <c r="I11" s="77"/>
      <c r="J11" s="76" t="str">
        <f t="shared" ca="1" si="0"/>
        <v/>
      </c>
      <c r="K11" s="75"/>
      <c r="L11" s="75"/>
      <c r="M11" s="80"/>
      <c r="N11" s="80"/>
      <c r="O11" s="80"/>
      <c r="P11" s="81" t="str">
        <f>IF(M11="","",'GİDER AYARLARI'!$B$10)</f>
        <v/>
      </c>
      <c r="Q11" s="81" t="str">
        <f ca="1">IF(OR(M11="",J11=""),"",M11*'GİDER AYARLARI'!$B$8*J11/30)</f>
        <v/>
      </c>
      <c r="R11" s="81" t="str">
        <f t="shared" si="1"/>
        <v/>
      </c>
      <c r="S11" s="86" t="str">
        <f t="shared" si="2"/>
        <v/>
      </c>
    </row>
    <row r="12" spans="1:19">
      <c r="A12" s="85" t="str">
        <f t="shared" si="3"/>
        <v/>
      </c>
      <c r="B12" s="75"/>
      <c r="C12" s="78"/>
      <c r="D12" s="79"/>
      <c r="E12" s="75"/>
      <c r="F12" s="75"/>
      <c r="G12" s="75"/>
      <c r="H12" s="75"/>
      <c r="I12" s="77"/>
      <c r="J12" s="76" t="str">
        <f t="shared" ca="1" si="0"/>
        <v/>
      </c>
      <c r="K12" s="75"/>
      <c r="L12" s="75"/>
      <c r="M12" s="80"/>
      <c r="N12" s="80"/>
      <c r="O12" s="80"/>
      <c r="P12" s="81" t="str">
        <f>IF(M12="","",'GİDER AYARLARI'!$B$10)</f>
        <v/>
      </c>
      <c r="Q12" s="81" t="str">
        <f ca="1">IF(OR(M12="",J12=""),"",M12*'GİDER AYARLARI'!$B$8*J12/30)</f>
        <v/>
      </c>
      <c r="R12" s="81" t="str">
        <f t="shared" si="1"/>
        <v/>
      </c>
      <c r="S12" s="86" t="str">
        <f t="shared" si="2"/>
        <v/>
      </c>
    </row>
    <row r="13" spans="1:19">
      <c r="A13" s="85" t="str">
        <f t="shared" si="3"/>
        <v/>
      </c>
      <c r="B13" s="75"/>
      <c r="C13" s="78"/>
      <c r="D13" s="79"/>
      <c r="E13" s="75"/>
      <c r="F13" s="75"/>
      <c r="G13" s="75"/>
      <c r="H13" s="75"/>
      <c r="I13" s="77"/>
      <c r="J13" s="76" t="str">
        <f t="shared" ca="1" si="0"/>
        <v/>
      </c>
      <c r="K13" s="75"/>
      <c r="L13" s="75"/>
      <c r="M13" s="80"/>
      <c r="N13" s="80"/>
      <c r="O13" s="80"/>
      <c r="P13" s="81" t="str">
        <f>IF(M13="","",'GİDER AYARLARI'!$B$10)</f>
        <v/>
      </c>
      <c r="Q13" s="81" t="str">
        <f ca="1">IF(OR(M13="",J13=""),"",M13*'GİDER AYARLARI'!$B$8*J13/30)</f>
        <v/>
      </c>
      <c r="R13" s="81" t="str">
        <f t="shared" si="1"/>
        <v/>
      </c>
      <c r="S13" s="86" t="str">
        <f t="shared" si="2"/>
        <v/>
      </c>
    </row>
    <row r="14" spans="1:19">
      <c r="A14" s="85" t="str">
        <f t="shared" si="3"/>
        <v/>
      </c>
      <c r="B14" s="75"/>
      <c r="C14" s="78"/>
      <c r="D14" s="79"/>
      <c r="E14" s="75"/>
      <c r="F14" s="75"/>
      <c r="G14" s="75"/>
      <c r="H14" s="75"/>
      <c r="I14" s="77"/>
      <c r="J14" s="76" t="str">
        <f t="shared" ca="1" si="0"/>
        <v/>
      </c>
      <c r="K14" s="75"/>
      <c r="L14" s="75"/>
      <c r="M14" s="80"/>
      <c r="N14" s="80"/>
      <c r="O14" s="80"/>
      <c r="P14" s="81" t="str">
        <f>IF(M14="","",'GİDER AYARLARI'!$B$10)</f>
        <v/>
      </c>
      <c r="Q14" s="81" t="str">
        <f ca="1">IF(OR(M14="",J14=""),"",M14*'GİDER AYARLARI'!$B$8*J14/30)</f>
        <v/>
      </c>
      <c r="R14" s="81" t="str">
        <f t="shared" si="1"/>
        <v/>
      </c>
      <c r="S14" s="86" t="str">
        <f t="shared" si="2"/>
        <v/>
      </c>
    </row>
    <row r="15" spans="1:19">
      <c r="A15" s="85" t="str">
        <f t="shared" si="3"/>
        <v/>
      </c>
      <c r="B15" s="75"/>
      <c r="C15" s="78"/>
      <c r="D15" s="79"/>
      <c r="E15" s="75"/>
      <c r="F15" s="75"/>
      <c r="G15" s="75"/>
      <c r="H15" s="75"/>
      <c r="I15" s="77"/>
      <c r="J15" s="76" t="str">
        <f t="shared" ca="1" si="0"/>
        <v/>
      </c>
      <c r="K15" s="75"/>
      <c r="L15" s="75"/>
      <c r="M15" s="80"/>
      <c r="N15" s="80"/>
      <c r="O15" s="80"/>
      <c r="P15" s="81" t="str">
        <f>IF(M15="","",'GİDER AYARLARI'!$B$10)</f>
        <v/>
      </c>
      <c r="Q15" s="81" t="str">
        <f ca="1">IF(OR(M15="",J15=""),"",M15*'GİDER AYARLARI'!$B$8*J15/30)</f>
        <v/>
      </c>
      <c r="R15" s="81" t="str">
        <f t="shared" si="1"/>
        <v/>
      </c>
      <c r="S15" s="86" t="str">
        <f t="shared" si="2"/>
        <v/>
      </c>
    </row>
    <row r="16" spans="1:19">
      <c r="A16" s="85" t="str">
        <f t="shared" si="3"/>
        <v/>
      </c>
      <c r="B16" s="75"/>
      <c r="C16" s="78"/>
      <c r="D16" s="79"/>
      <c r="E16" s="75"/>
      <c r="F16" s="75"/>
      <c r="G16" s="75"/>
      <c r="H16" s="75"/>
      <c r="I16" s="77"/>
      <c r="J16" s="76" t="str">
        <f t="shared" ca="1" si="0"/>
        <v/>
      </c>
      <c r="K16" s="75"/>
      <c r="L16" s="75"/>
      <c r="M16" s="80"/>
      <c r="N16" s="80"/>
      <c r="O16" s="80"/>
      <c r="P16" s="81" t="str">
        <f>IF(M16="","",'GİDER AYARLARI'!$B$10)</f>
        <v/>
      </c>
      <c r="Q16" s="81" t="str">
        <f ca="1">IF(OR(M16="",J16=""),"",M16*'GİDER AYARLARI'!$B$8*J16/30)</f>
        <v/>
      </c>
      <c r="R16" s="81" t="str">
        <f t="shared" si="1"/>
        <v/>
      </c>
      <c r="S16" s="86" t="str">
        <f t="shared" si="2"/>
        <v/>
      </c>
    </row>
    <row r="17" spans="1:19">
      <c r="A17" s="85" t="str">
        <f t="shared" si="3"/>
        <v/>
      </c>
      <c r="B17" s="75"/>
      <c r="C17" s="78"/>
      <c r="D17" s="79"/>
      <c r="E17" s="75"/>
      <c r="F17" s="75"/>
      <c r="G17" s="75"/>
      <c r="H17" s="75"/>
      <c r="I17" s="77"/>
      <c r="J17" s="76" t="str">
        <f t="shared" ca="1" si="0"/>
        <v/>
      </c>
      <c r="K17" s="75"/>
      <c r="L17" s="75"/>
      <c r="M17" s="80"/>
      <c r="N17" s="80"/>
      <c r="O17" s="80"/>
      <c r="P17" s="81" t="str">
        <f>IF(M17="","",'GİDER AYARLARI'!$B$10)</f>
        <v/>
      </c>
      <c r="Q17" s="81" t="str">
        <f ca="1">IF(OR(M17="",J17=""),"",M17*'GİDER AYARLARI'!$B$8*J17/30)</f>
        <v/>
      </c>
      <c r="R17" s="81" t="str">
        <f t="shared" si="1"/>
        <v/>
      </c>
      <c r="S17" s="86" t="str">
        <f t="shared" si="2"/>
        <v/>
      </c>
    </row>
    <row r="18" spans="1:19">
      <c r="A18" s="85" t="str">
        <f t="shared" si="3"/>
        <v/>
      </c>
      <c r="B18" s="75"/>
      <c r="C18" s="78"/>
      <c r="D18" s="79"/>
      <c r="E18" s="75"/>
      <c r="F18" s="75"/>
      <c r="G18" s="75"/>
      <c r="H18" s="75"/>
      <c r="I18" s="77"/>
      <c r="J18" s="76" t="str">
        <f t="shared" ca="1" si="0"/>
        <v/>
      </c>
      <c r="K18" s="75"/>
      <c r="L18" s="75"/>
      <c r="M18" s="80"/>
      <c r="N18" s="80"/>
      <c r="O18" s="80"/>
      <c r="P18" s="81" t="str">
        <f>IF(M18="","",'GİDER AYARLARI'!$B$10)</f>
        <v/>
      </c>
      <c r="Q18" s="81" t="str">
        <f ca="1">IF(OR(M18="",J18=""),"",M18*'GİDER AYARLARI'!$B$8*J18/30)</f>
        <v/>
      </c>
      <c r="R18" s="81" t="str">
        <f t="shared" si="1"/>
        <v/>
      </c>
      <c r="S18" s="86" t="str">
        <f t="shared" si="2"/>
        <v/>
      </c>
    </row>
    <row r="19" spans="1:19">
      <c r="A19" s="85" t="str">
        <f t="shared" si="3"/>
        <v/>
      </c>
      <c r="B19" s="75"/>
      <c r="C19" s="78"/>
      <c r="D19" s="79"/>
      <c r="E19" s="75"/>
      <c r="F19" s="75"/>
      <c r="G19" s="75"/>
      <c r="H19" s="75"/>
      <c r="I19" s="77"/>
      <c r="J19" s="76" t="str">
        <f t="shared" ca="1" si="0"/>
        <v/>
      </c>
      <c r="K19" s="75"/>
      <c r="L19" s="75"/>
      <c r="M19" s="80"/>
      <c r="N19" s="80"/>
      <c r="O19" s="80"/>
      <c r="P19" s="81" t="str">
        <f>IF(M19="","",'GİDER AYARLARI'!$B$10)</f>
        <v/>
      </c>
      <c r="Q19" s="81" t="str">
        <f ca="1">IF(OR(M19="",J19=""),"",M19*'GİDER AYARLARI'!$B$8*J19/30)</f>
        <v/>
      </c>
      <c r="R19" s="81" t="str">
        <f t="shared" si="1"/>
        <v/>
      </c>
      <c r="S19" s="86" t="str">
        <f t="shared" si="2"/>
        <v/>
      </c>
    </row>
    <row r="20" spans="1:19">
      <c r="A20" s="85" t="str">
        <f t="shared" si="3"/>
        <v/>
      </c>
      <c r="B20" s="75"/>
      <c r="C20" s="78"/>
      <c r="D20" s="79"/>
      <c r="E20" s="75"/>
      <c r="F20" s="75"/>
      <c r="G20" s="75"/>
      <c r="H20" s="75"/>
      <c r="I20" s="77"/>
      <c r="J20" s="76" t="str">
        <f t="shared" ca="1" si="0"/>
        <v/>
      </c>
      <c r="K20" s="75"/>
      <c r="L20" s="75"/>
      <c r="M20" s="80"/>
      <c r="N20" s="80"/>
      <c r="O20" s="80"/>
      <c r="P20" s="81" t="str">
        <f>IF(M20="","",'GİDER AYARLARI'!$B$10)</f>
        <v/>
      </c>
      <c r="Q20" s="81" t="str">
        <f ca="1">IF(OR(M20="",J20=""),"",M20*'GİDER AYARLARI'!$B$8*J20/30)</f>
        <v/>
      </c>
      <c r="R20" s="81" t="str">
        <f t="shared" si="1"/>
        <v/>
      </c>
      <c r="S20" s="86" t="str">
        <f t="shared" si="2"/>
        <v/>
      </c>
    </row>
    <row r="21" spans="1:19">
      <c r="A21" s="85" t="str">
        <f t="shared" si="3"/>
        <v/>
      </c>
      <c r="B21" s="75"/>
      <c r="C21" s="78"/>
      <c r="D21" s="79"/>
      <c r="E21" s="75"/>
      <c r="F21" s="75"/>
      <c r="G21" s="75"/>
      <c r="H21" s="75"/>
      <c r="I21" s="77"/>
      <c r="J21" s="76" t="str">
        <f t="shared" ca="1" si="0"/>
        <v/>
      </c>
      <c r="K21" s="75"/>
      <c r="L21" s="75"/>
      <c r="M21" s="80"/>
      <c r="N21" s="80"/>
      <c r="O21" s="80"/>
      <c r="P21" s="81" t="str">
        <f>IF(M21="","",'GİDER AYARLARI'!$B$10)</f>
        <v/>
      </c>
      <c r="Q21" s="81" t="str">
        <f ca="1">IF(OR(M21="",J21=""),"",M21*'GİDER AYARLARI'!$B$8*J21/30)</f>
        <v/>
      </c>
      <c r="R21" s="81" t="str">
        <f t="shared" si="1"/>
        <v/>
      </c>
      <c r="S21" s="86" t="str">
        <f t="shared" si="2"/>
        <v/>
      </c>
    </row>
    <row r="22" spans="1:19">
      <c r="A22" s="85" t="str">
        <f t="shared" si="3"/>
        <v/>
      </c>
      <c r="B22" s="75"/>
      <c r="C22" s="78"/>
      <c r="D22" s="79"/>
      <c r="E22" s="75"/>
      <c r="F22" s="75"/>
      <c r="G22" s="75"/>
      <c r="H22" s="75"/>
      <c r="I22" s="77"/>
      <c r="J22" s="76" t="str">
        <f t="shared" ca="1" si="0"/>
        <v/>
      </c>
      <c r="K22" s="75"/>
      <c r="L22" s="75"/>
      <c r="M22" s="80"/>
      <c r="N22" s="80"/>
      <c r="O22" s="80"/>
      <c r="P22" s="81" t="str">
        <f>IF(M22="","",'GİDER AYARLARI'!$B$10)</f>
        <v/>
      </c>
      <c r="Q22" s="81" t="str">
        <f ca="1">IF(OR(M22="",J22=""),"",M22*'GİDER AYARLARI'!$B$8*J22/30)</f>
        <v/>
      </c>
      <c r="R22" s="81" t="str">
        <f t="shared" si="1"/>
        <v/>
      </c>
      <c r="S22" s="86" t="str">
        <f t="shared" si="2"/>
        <v/>
      </c>
    </row>
    <row r="23" spans="1:19">
      <c r="A23" s="85" t="str">
        <f t="shared" si="3"/>
        <v/>
      </c>
      <c r="B23" s="75"/>
      <c r="C23" s="78"/>
      <c r="D23" s="79"/>
      <c r="E23" s="75"/>
      <c r="F23" s="75"/>
      <c r="G23" s="75"/>
      <c r="H23" s="75"/>
      <c r="I23" s="77"/>
      <c r="J23" s="76" t="str">
        <f t="shared" ca="1" si="0"/>
        <v/>
      </c>
      <c r="K23" s="75"/>
      <c r="L23" s="75"/>
      <c r="M23" s="80"/>
      <c r="N23" s="80"/>
      <c r="O23" s="80"/>
      <c r="P23" s="81" t="str">
        <f>IF(M23="","",'GİDER AYARLARI'!$B$10)</f>
        <v/>
      </c>
      <c r="Q23" s="81" t="str">
        <f ca="1">IF(OR(M23="",J23=""),"",M23*'GİDER AYARLARI'!$B$8*J23/30)</f>
        <v/>
      </c>
      <c r="R23" s="81" t="str">
        <f t="shared" si="1"/>
        <v/>
      </c>
      <c r="S23" s="86" t="str">
        <f t="shared" si="2"/>
        <v/>
      </c>
    </row>
    <row r="24" spans="1:19">
      <c r="A24" s="85" t="str">
        <f t="shared" si="3"/>
        <v/>
      </c>
      <c r="B24" s="75"/>
      <c r="C24" s="78"/>
      <c r="D24" s="79"/>
      <c r="E24" s="75"/>
      <c r="F24" s="75"/>
      <c r="G24" s="75"/>
      <c r="H24" s="75"/>
      <c r="I24" s="77"/>
      <c r="J24" s="76" t="str">
        <f t="shared" ca="1" si="0"/>
        <v/>
      </c>
      <c r="K24" s="75"/>
      <c r="L24" s="75"/>
      <c r="M24" s="80"/>
      <c r="N24" s="80"/>
      <c r="O24" s="80"/>
      <c r="P24" s="81" t="str">
        <f>IF(M24="","",'GİDER AYARLARI'!$B$10)</f>
        <v/>
      </c>
      <c r="Q24" s="81" t="str">
        <f ca="1">IF(OR(M24="",J24=""),"",M24*'GİDER AYARLARI'!$B$8*J24/30)</f>
        <v/>
      </c>
      <c r="R24" s="81" t="str">
        <f t="shared" si="1"/>
        <v/>
      </c>
      <c r="S24" s="86" t="str">
        <f t="shared" si="2"/>
        <v/>
      </c>
    </row>
    <row r="25" spans="1:19">
      <c r="A25" s="85" t="str">
        <f t="shared" si="3"/>
        <v/>
      </c>
      <c r="B25" s="75"/>
      <c r="C25" s="78"/>
      <c r="D25" s="79"/>
      <c r="E25" s="75"/>
      <c r="F25" s="75"/>
      <c r="G25" s="75"/>
      <c r="H25" s="75"/>
      <c r="I25" s="77"/>
      <c r="J25" s="76" t="str">
        <f t="shared" ca="1" si="0"/>
        <v/>
      </c>
      <c r="K25" s="75"/>
      <c r="L25" s="75"/>
      <c r="M25" s="80"/>
      <c r="N25" s="80"/>
      <c r="O25" s="80"/>
      <c r="P25" s="81" t="str">
        <f>IF(M25="","",'GİDER AYARLARI'!$B$10)</f>
        <v/>
      </c>
      <c r="Q25" s="81" t="str">
        <f ca="1">IF(OR(M25="",J25=""),"",M25*'GİDER AYARLARI'!$B$8*J25/30)</f>
        <v/>
      </c>
      <c r="R25" s="81" t="str">
        <f t="shared" si="1"/>
        <v/>
      </c>
      <c r="S25" s="86" t="str">
        <f t="shared" si="2"/>
        <v/>
      </c>
    </row>
    <row r="26" spans="1:19">
      <c r="A26" s="85" t="str">
        <f t="shared" si="3"/>
        <v/>
      </c>
      <c r="B26" s="75"/>
      <c r="C26" s="78"/>
      <c r="D26" s="79"/>
      <c r="E26" s="75"/>
      <c r="F26" s="75"/>
      <c r="G26" s="75"/>
      <c r="H26" s="75"/>
      <c r="I26" s="77"/>
      <c r="J26" s="76" t="str">
        <f t="shared" ca="1" si="0"/>
        <v/>
      </c>
      <c r="K26" s="75"/>
      <c r="L26" s="75"/>
      <c r="M26" s="80"/>
      <c r="N26" s="80"/>
      <c r="O26" s="80"/>
      <c r="P26" s="81" t="str">
        <f>IF(M26="","",'GİDER AYARLARI'!$B$10)</f>
        <v/>
      </c>
      <c r="Q26" s="81" t="str">
        <f ca="1">IF(OR(M26="",J26=""),"",M26*'GİDER AYARLARI'!$B$8*J26/30)</f>
        <v/>
      </c>
      <c r="R26" s="81" t="str">
        <f t="shared" si="1"/>
        <v/>
      </c>
      <c r="S26" s="86" t="str">
        <f t="shared" si="2"/>
        <v/>
      </c>
    </row>
    <row r="27" spans="1:19">
      <c r="A27" s="85" t="str">
        <f t="shared" si="3"/>
        <v/>
      </c>
      <c r="B27" s="75"/>
      <c r="C27" s="78"/>
      <c r="D27" s="79"/>
      <c r="E27" s="75"/>
      <c r="F27" s="75"/>
      <c r="G27" s="75"/>
      <c r="H27" s="75"/>
      <c r="I27" s="77"/>
      <c r="J27" s="76" t="str">
        <f t="shared" ca="1" si="0"/>
        <v/>
      </c>
      <c r="K27" s="75"/>
      <c r="L27" s="75"/>
      <c r="M27" s="80"/>
      <c r="N27" s="80"/>
      <c r="O27" s="80"/>
      <c r="P27" s="81" t="str">
        <f>IF(M27="","",'GİDER AYARLARI'!$B$10)</f>
        <v/>
      </c>
      <c r="Q27" s="81" t="str">
        <f ca="1">IF(OR(M27="",J27=""),"",M27*'GİDER AYARLARI'!$B$8*J27/30)</f>
        <v/>
      </c>
      <c r="R27" s="81" t="str">
        <f t="shared" si="1"/>
        <v/>
      </c>
      <c r="S27" s="86" t="str">
        <f t="shared" si="2"/>
        <v/>
      </c>
    </row>
    <row r="28" spans="1:19">
      <c r="A28" s="85" t="str">
        <f t="shared" si="3"/>
        <v/>
      </c>
      <c r="B28" s="75"/>
      <c r="C28" s="78"/>
      <c r="D28" s="79"/>
      <c r="E28" s="75"/>
      <c r="F28" s="75"/>
      <c r="G28" s="75"/>
      <c r="H28" s="75"/>
      <c r="I28" s="77"/>
      <c r="J28" s="76" t="str">
        <f t="shared" ca="1" si="0"/>
        <v/>
      </c>
      <c r="K28" s="75"/>
      <c r="L28" s="75"/>
      <c r="M28" s="80"/>
      <c r="N28" s="80"/>
      <c r="O28" s="80"/>
      <c r="P28" s="81" t="str">
        <f>IF(M28="","",'GİDER AYARLARI'!$B$10)</f>
        <v/>
      </c>
      <c r="Q28" s="81" t="str">
        <f ca="1">IF(OR(M28="",J28=""),"",M28*'GİDER AYARLARI'!$B$8*J28/30)</f>
        <v/>
      </c>
      <c r="R28" s="81" t="str">
        <f t="shared" si="1"/>
        <v/>
      </c>
      <c r="S28" s="86" t="str">
        <f t="shared" si="2"/>
        <v/>
      </c>
    </row>
    <row r="29" spans="1:19">
      <c r="A29" s="85" t="str">
        <f t="shared" si="3"/>
        <v/>
      </c>
      <c r="B29" s="75"/>
      <c r="C29" s="78"/>
      <c r="D29" s="79"/>
      <c r="E29" s="75"/>
      <c r="F29" s="75"/>
      <c r="G29" s="75"/>
      <c r="H29" s="75"/>
      <c r="I29" s="77"/>
      <c r="J29" s="76" t="str">
        <f t="shared" ca="1" si="0"/>
        <v/>
      </c>
      <c r="K29" s="75"/>
      <c r="L29" s="75"/>
      <c r="M29" s="80"/>
      <c r="N29" s="80"/>
      <c r="O29" s="80"/>
      <c r="P29" s="81" t="str">
        <f>IF(M29="","",'GİDER AYARLARI'!$B$10)</f>
        <v/>
      </c>
      <c r="Q29" s="81" t="str">
        <f ca="1">IF(OR(M29="",J29=""),"",M29*'GİDER AYARLARI'!$B$8*J29/30)</f>
        <v/>
      </c>
      <c r="R29" s="81" t="str">
        <f t="shared" si="1"/>
        <v/>
      </c>
      <c r="S29" s="86" t="str">
        <f t="shared" si="2"/>
        <v/>
      </c>
    </row>
    <row r="30" spans="1:19">
      <c r="A30" s="85" t="str">
        <f t="shared" si="3"/>
        <v/>
      </c>
      <c r="B30" s="75"/>
      <c r="C30" s="78"/>
      <c r="D30" s="79"/>
      <c r="E30" s="75"/>
      <c r="F30" s="75"/>
      <c r="G30" s="75"/>
      <c r="H30" s="75"/>
      <c r="I30" s="77"/>
      <c r="J30" s="76" t="str">
        <f t="shared" ca="1" si="0"/>
        <v/>
      </c>
      <c r="K30" s="75"/>
      <c r="L30" s="75"/>
      <c r="M30" s="80"/>
      <c r="N30" s="80"/>
      <c r="O30" s="80"/>
      <c r="P30" s="81" t="str">
        <f>IF(M30="","",'GİDER AYARLARI'!$B$10)</f>
        <v/>
      </c>
      <c r="Q30" s="81" t="str">
        <f ca="1">IF(OR(M30="",J30=""),"",M30*'GİDER AYARLARI'!$B$8*J30/30)</f>
        <v/>
      </c>
      <c r="R30" s="81" t="str">
        <f t="shared" si="1"/>
        <v/>
      </c>
      <c r="S30" s="86" t="str">
        <f t="shared" si="2"/>
        <v/>
      </c>
    </row>
    <row r="31" spans="1:19">
      <c r="A31" s="85" t="str">
        <f t="shared" si="3"/>
        <v/>
      </c>
      <c r="B31" s="75"/>
      <c r="C31" s="78"/>
      <c r="D31" s="79"/>
      <c r="E31" s="75"/>
      <c r="F31" s="75"/>
      <c r="G31" s="75"/>
      <c r="H31" s="75"/>
      <c r="I31" s="77"/>
      <c r="J31" s="76" t="str">
        <f t="shared" ca="1" si="0"/>
        <v/>
      </c>
      <c r="K31" s="75"/>
      <c r="L31" s="75"/>
      <c r="M31" s="80"/>
      <c r="N31" s="80"/>
      <c r="O31" s="80"/>
      <c r="P31" s="81" t="str">
        <f>IF(M31="","",'GİDER AYARLARI'!$B$10)</f>
        <v/>
      </c>
      <c r="Q31" s="81" t="str">
        <f ca="1">IF(OR(M31="",J31=""),"",M31*'GİDER AYARLARI'!$B$8*J31/30)</f>
        <v/>
      </c>
      <c r="R31" s="81" t="str">
        <f t="shared" si="1"/>
        <v/>
      </c>
      <c r="S31" s="86" t="str">
        <f t="shared" si="2"/>
        <v/>
      </c>
    </row>
    <row r="32" spans="1:19">
      <c r="A32" s="85" t="str">
        <f t="shared" si="3"/>
        <v/>
      </c>
      <c r="B32" s="75"/>
      <c r="C32" s="78"/>
      <c r="D32" s="79"/>
      <c r="E32" s="75"/>
      <c r="F32" s="75"/>
      <c r="G32" s="75"/>
      <c r="H32" s="75"/>
      <c r="I32" s="77"/>
      <c r="J32" s="76" t="str">
        <f t="shared" ca="1" si="0"/>
        <v/>
      </c>
      <c r="K32" s="75"/>
      <c r="L32" s="75"/>
      <c r="M32" s="80"/>
      <c r="N32" s="80"/>
      <c r="O32" s="80"/>
      <c r="P32" s="81" t="str">
        <f>IF(M32="","",'GİDER AYARLARI'!$B$10)</f>
        <v/>
      </c>
      <c r="Q32" s="81" t="str">
        <f ca="1">IF(OR(M32="",J32=""),"",M32*'GİDER AYARLARI'!$B$8*J32/30)</f>
        <v/>
      </c>
      <c r="R32" s="81" t="str">
        <f t="shared" si="1"/>
        <v/>
      </c>
      <c r="S32" s="86" t="str">
        <f t="shared" si="2"/>
        <v/>
      </c>
    </row>
    <row r="33" spans="1:19">
      <c r="A33" s="85" t="str">
        <f t="shared" si="3"/>
        <v/>
      </c>
      <c r="B33" s="75"/>
      <c r="C33" s="78"/>
      <c r="D33" s="79"/>
      <c r="E33" s="75"/>
      <c r="F33" s="75"/>
      <c r="G33" s="75"/>
      <c r="H33" s="75"/>
      <c r="I33" s="77"/>
      <c r="J33" s="76" t="str">
        <f t="shared" ca="1" si="0"/>
        <v/>
      </c>
      <c r="K33" s="75"/>
      <c r="L33" s="75"/>
      <c r="M33" s="80"/>
      <c r="N33" s="80"/>
      <c r="O33" s="80"/>
      <c r="P33" s="81" t="str">
        <f>IF(M33="","",'GİDER AYARLARI'!$B$10)</f>
        <v/>
      </c>
      <c r="Q33" s="81" t="str">
        <f ca="1">IF(OR(M33="",J33=""),"",M33*'GİDER AYARLARI'!$B$8*J33/30)</f>
        <v/>
      </c>
      <c r="R33" s="81" t="str">
        <f t="shared" si="1"/>
        <v/>
      </c>
      <c r="S33" s="86" t="str">
        <f t="shared" si="2"/>
        <v/>
      </c>
    </row>
    <row r="34" spans="1:19">
      <c r="A34" s="85" t="str">
        <f t="shared" si="3"/>
        <v/>
      </c>
      <c r="B34" s="75"/>
      <c r="C34" s="78"/>
      <c r="D34" s="79"/>
      <c r="E34" s="75"/>
      <c r="F34" s="75"/>
      <c r="G34" s="75"/>
      <c r="H34" s="75"/>
      <c r="I34" s="77"/>
      <c r="J34" s="76" t="str">
        <f t="shared" ca="1" si="0"/>
        <v/>
      </c>
      <c r="K34" s="75"/>
      <c r="L34" s="75"/>
      <c r="M34" s="80"/>
      <c r="N34" s="80"/>
      <c r="O34" s="80"/>
      <c r="P34" s="81" t="str">
        <f>IF(M34="","",'GİDER AYARLARI'!$B$10)</f>
        <v/>
      </c>
      <c r="Q34" s="81" t="str">
        <f ca="1">IF(OR(M34="",J34=""),"",M34*'GİDER AYARLARI'!$B$8*J34/30)</f>
        <v/>
      </c>
      <c r="R34" s="81" t="str">
        <f t="shared" si="1"/>
        <v/>
      </c>
      <c r="S34" s="86" t="str">
        <f t="shared" si="2"/>
        <v/>
      </c>
    </row>
    <row r="35" spans="1:19">
      <c r="A35" s="85" t="str">
        <f t="shared" si="3"/>
        <v/>
      </c>
      <c r="B35" s="75"/>
      <c r="C35" s="78"/>
      <c r="D35" s="79"/>
      <c r="E35" s="75"/>
      <c r="F35" s="75"/>
      <c r="G35" s="75"/>
      <c r="H35" s="75"/>
      <c r="I35" s="77"/>
      <c r="J35" s="76" t="str">
        <f t="shared" ca="1" si="0"/>
        <v/>
      </c>
      <c r="K35" s="75"/>
      <c r="L35" s="75"/>
      <c r="M35" s="80"/>
      <c r="N35" s="80"/>
      <c r="O35" s="80"/>
      <c r="P35" s="81" t="str">
        <f>IF(M35="","",'GİDER AYARLARI'!$B$10)</f>
        <v/>
      </c>
      <c r="Q35" s="81" t="str">
        <f ca="1">IF(OR(M35="",J35=""),"",M35*'GİDER AYARLARI'!$B$8*J35/30)</f>
        <v/>
      </c>
      <c r="R35" s="81" t="str">
        <f t="shared" si="1"/>
        <v/>
      </c>
      <c r="S35" s="86" t="str">
        <f t="shared" si="2"/>
        <v/>
      </c>
    </row>
    <row r="36" spans="1:19">
      <c r="A36" s="85" t="str">
        <f t="shared" si="3"/>
        <v/>
      </c>
      <c r="B36" s="75"/>
      <c r="C36" s="78"/>
      <c r="D36" s="79"/>
      <c r="E36" s="75"/>
      <c r="F36" s="75"/>
      <c r="G36" s="75"/>
      <c r="H36" s="75"/>
      <c r="I36" s="77"/>
      <c r="J36" s="76" t="str">
        <f t="shared" ca="1" si="0"/>
        <v/>
      </c>
      <c r="K36" s="75"/>
      <c r="L36" s="75"/>
      <c r="M36" s="80"/>
      <c r="N36" s="80"/>
      <c r="O36" s="80"/>
      <c r="P36" s="81" t="str">
        <f>IF(M36="","",'GİDER AYARLARI'!$B$10)</f>
        <v/>
      </c>
      <c r="Q36" s="81" t="str">
        <f ca="1">IF(OR(M36="",J36=""),"",M36*'GİDER AYARLARI'!$B$8*J36/30)</f>
        <v/>
      </c>
      <c r="R36" s="81" t="str">
        <f t="shared" si="1"/>
        <v/>
      </c>
      <c r="S36" s="86" t="str">
        <f t="shared" si="2"/>
        <v/>
      </c>
    </row>
    <row r="37" spans="1:19">
      <c r="A37" s="85" t="str">
        <f t="shared" si="3"/>
        <v/>
      </c>
      <c r="B37" s="75"/>
      <c r="C37" s="78"/>
      <c r="D37" s="79"/>
      <c r="E37" s="75"/>
      <c r="F37" s="75"/>
      <c r="G37" s="75"/>
      <c r="H37" s="75"/>
      <c r="I37" s="77"/>
      <c r="J37" s="76" t="str">
        <f t="shared" ca="1" si="0"/>
        <v/>
      </c>
      <c r="K37" s="75"/>
      <c r="L37" s="75"/>
      <c r="M37" s="80"/>
      <c r="N37" s="80"/>
      <c r="O37" s="80"/>
      <c r="P37" s="81" t="str">
        <f>IF(M37="","",'GİDER AYARLARI'!$B$10)</f>
        <v/>
      </c>
      <c r="Q37" s="81" t="str">
        <f ca="1">IF(OR(M37="",J37=""),"",M37*'GİDER AYARLARI'!$B$8*J37/30)</f>
        <v/>
      </c>
      <c r="R37" s="81" t="str">
        <f t="shared" si="1"/>
        <v/>
      </c>
      <c r="S37" s="86" t="str">
        <f t="shared" si="2"/>
        <v/>
      </c>
    </row>
    <row r="38" spans="1:19">
      <c r="A38" s="85" t="str">
        <f t="shared" si="3"/>
        <v/>
      </c>
      <c r="B38" s="75"/>
      <c r="C38" s="78"/>
      <c r="D38" s="79"/>
      <c r="E38" s="75"/>
      <c r="F38" s="75"/>
      <c r="G38" s="75"/>
      <c r="H38" s="75"/>
      <c r="I38" s="77"/>
      <c r="J38" s="76" t="str">
        <f t="shared" ca="1" si="0"/>
        <v/>
      </c>
      <c r="K38" s="75"/>
      <c r="L38" s="75"/>
      <c r="M38" s="80"/>
      <c r="N38" s="80"/>
      <c r="O38" s="80"/>
      <c r="P38" s="81" t="str">
        <f>IF(M38="","",'GİDER AYARLARI'!$B$10)</f>
        <v/>
      </c>
      <c r="Q38" s="81" t="str">
        <f ca="1">IF(OR(M38="",J38=""),"",M38*'GİDER AYARLARI'!$B$8*J38/30)</f>
        <v/>
      </c>
      <c r="R38" s="81" t="str">
        <f t="shared" si="1"/>
        <v/>
      </c>
      <c r="S38" s="86" t="str">
        <f t="shared" si="2"/>
        <v/>
      </c>
    </row>
    <row r="39" spans="1:19">
      <c r="A39" s="85" t="str">
        <f t="shared" si="3"/>
        <v/>
      </c>
      <c r="B39" s="75"/>
      <c r="C39" s="78"/>
      <c r="D39" s="79"/>
      <c r="E39" s="75"/>
      <c r="F39" s="75"/>
      <c r="G39" s="75"/>
      <c r="H39" s="75"/>
      <c r="I39" s="77"/>
      <c r="J39" s="76" t="str">
        <f t="shared" ca="1" si="0"/>
        <v/>
      </c>
      <c r="K39" s="75"/>
      <c r="L39" s="75"/>
      <c r="M39" s="80"/>
      <c r="N39" s="80"/>
      <c r="O39" s="80"/>
      <c r="P39" s="81" t="str">
        <f>IF(M39="","",'GİDER AYARLARI'!$B$10)</f>
        <v/>
      </c>
      <c r="Q39" s="81" t="str">
        <f ca="1">IF(OR(M39="",J39=""),"",M39*'GİDER AYARLARI'!$B$8*J39/30)</f>
        <v/>
      </c>
      <c r="R39" s="81" t="str">
        <f t="shared" si="1"/>
        <v/>
      </c>
      <c r="S39" s="86" t="str">
        <f t="shared" si="2"/>
        <v/>
      </c>
    </row>
    <row r="40" spans="1:19">
      <c r="A40" s="85" t="str">
        <f t="shared" si="3"/>
        <v/>
      </c>
      <c r="B40" s="75"/>
      <c r="C40" s="78"/>
      <c r="D40" s="79"/>
      <c r="E40" s="75"/>
      <c r="F40" s="75"/>
      <c r="G40" s="75"/>
      <c r="H40" s="75"/>
      <c r="I40" s="77"/>
      <c r="J40" s="76" t="str">
        <f t="shared" ca="1" si="0"/>
        <v/>
      </c>
      <c r="K40" s="75"/>
      <c r="L40" s="75"/>
      <c r="M40" s="80"/>
      <c r="N40" s="80"/>
      <c r="O40" s="80"/>
      <c r="P40" s="81" t="str">
        <f>IF(M40="","",'GİDER AYARLARI'!$B$10)</f>
        <v/>
      </c>
      <c r="Q40" s="81" t="str">
        <f ca="1">IF(OR(M40="",J40=""),"",M40*'GİDER AYARLARI'!$B$8*J40/30)</f>
        <v/>
      </c>
      <c r="R40" s="81" t="str">
        <f t="shared" si="1"/>
        <v/>
      </c>
      <c r="S40" s="86" t="str">
        <f t="shared" si="2"/>
        <v/>
      </c>
    </row>
    <row r="41" spans="1:19">
      <c r="A41" s="85" t="str">
        <f t="shared" si="3"/>
        <v/>
      </c>
      <c r="B41" s="75"/>
      <c r="C41" s="78"/>
      <c r="D41" s="79"/>
      <c r="E41" s="75"/>
      <c r="F41" s="75"/>
      <c r="G41" s="75"/>
      <c r="H41" s="75"/>
      <c r="I41" s="77"/>
      <c r="J41" s="76" t="str">
        <f t="shared" ca="1" si="0"/>
        <v/>
      </c>
      <c r="K41" s="75"/>
      <c r="L41" s="75"/>
      <c r="M41" s="80"/>
      <c r="N41" s="80"/>
      <c r="O41" s="80"/>
      <c r="P41" s="81" t="str">
        <f>IF(M41="","",'GİDER AYARLARI'!$B$10)</f>
        <v/>
      </c>
      <c r="Q41" s="81" t="str">
        <f ca="1">IF(OR(M41="",J41=""),"",M41*'GİDER AYARLARI'!$B$8*J41/30)</f>
        <v/>
      </c>
      <c r="R41" s="81" t="str">
        <f t="shared" si="1"/>
        <v/>
      </c>
      <c r="S41" s="86" t="str">
        <f t="shared" si="2"/>
        <v/>
      </c>
    </row>
    <row r="42" spans="1:19">
      <c r="A42" s="85" t="str">
        <f t="shared" si="3"/>
        <v/>
      </c>
      <c r="B42" s="75"/>
      <c r="C42" s="78"/>
      <c r="D42" s="79"/>
      <c r="E42" s="75"/>
      <c r="F42" s="75"/>
      <c r="G42" s="75"/>
      <c r="H42" s="75"/>
      <c r="I42" s="77"/>
      <c r="J42" s="76" t="str">
        <f t="shared" ca="1" si="0"/>
        <v/>
      </c>
      <c r="K42" s="75"/>
      <c r="L42" s="75"/>
      <c r="M42" s="80"/>
      <c r="N42" s="80"/>
      <c r="O42" s="80"/>
      <c r="P42" s="81" t="str">
        <f>IF(M42="","",'GİDER AYARLARI'!$B$10)</f>
        <v/>
      </c>
      <c r="Q42" s="81" t="str">
        <f ca="1">IF(OR(M42="",J42=""),"",M42*'GİDER AYARLARI'!$B$8*J42/30)</f>
        <v/>
      </c>
      <c r="R42" s="81" t="str">
        <f t="shared" si="1"/>
        <v/>
      </c>
      <c r="S42" s="86" t="str">
        <f t="shared" si="2"/>
        <v/>
      </c>
    </row>
    <row r="43" spans="1:19">
      <c r="A43" s="85" t="str">
        <f t="shared" si="3"/>
        <v/>
      </c>
      <c r="B43" s="75"/>
      <c r="C43" s="78"/>
      <c r="D43" s="79"/>
      <c r="E43" s="75"/>
      <c r="F43" s="75"/>
      <c r="G43" s="75"/>
      <c r="H43" s="75"/>
      <c r="I43" s="77"/>
      <c r="J43" s="76" t="str">
        <f t="shared" ca="1" si="0"/>
        <v/>
      </c>
      <c r="K43" s="75"/>
      <c r="L43" s="75"/>
      <c r="M43" s="80"/>
      <c r="N43" s="80"/>
      <c r="O43" s="80"/>
      <c r="P43" s="81" t="str">
        <f>IF(M43="","",'GİDER AYARLARI'!$B$10)</f>
        <v/>
      </c>
      <c r="Q43" s="81" t="str">
        <f ca="1">IF(OR(M43="",J43=""),"",M43*'GİDER AYARLARI'!$B$8*J43/30)</f>
        <v/>
      </c>
      <c r="R43" s="81" t="str">
        <f t="shared" si="1"/>
        <v/>
      </c>
      <c r="S43" s="86" t="str">
        <f t="shared" si="2"/>
        <v/>
      </c>
    </row>
    <row r="44" spans="1:19">
      <c r="A44" s="85" t="str">
        <f t="shared" si="3"/>
        <v/>
      </c>
      <c r="B44" s="75"/>
      <c r="C44" s="78"/>
      <c r="D44" s="79"/>
      <c r="E44" s="75"/>
      <c r="F44" s="75"/>
      <c r="G44" s="75"/>
      <c r="H44" s="75"/>
      <c r="I44" s="77"/>
      <c r="J44" s="76" t="str">
        <f t="shared" ca="1" si="0"/>
        <v/>
      </c>
      <c r="K44" s="75"/>
      <c r="L44" s="75"/>
      <c r="M44" s="80"/>
      <c r="N44" s="80"/>
      <c r="O44" s="80"/>
      <c r="P44" s="81" t="str">
        <f>IF(M44="","",'GİDER AYARLARI'!$B$10)</f>
        <v/>
      </c>
      <c r="Q44" s="81" t="str">
        <f ca="1">IF(OR(M44="",J44=""),"",M44*'GİDER AYARLARI'!$B$8*J44/30)</f>
        <v/>
      </c>
      <c r="R44" s="81" t="str">
        <f t="shared" si="1"/>
        <v/>
      </c>
      <c r="S44" s="86" t="str">
        <f t="shared" si="2"/>
        <v/>
      </c>
    </row>
    <row r="45" spans="1:19">
      <c r="A45" s="85" t="str">
        <f t="shared" si="3"/>
        <v/>
      </c>
      <c r="B45" s="75"/>
      <c r="C45" s="78"/>
      <c r="D45" s="79"/>
      <c r="E45" s="75"/>
      <c r="F45" s="75"/>
      <c r="G45" s="75"/>
      <c r="H45" s="75"/>
      <c r="I45" s="77"/>
      <c r="J45" s="76" t="str">
        <f t="shared" ca="1" si="0"/>
        <v/>
      </c>
      <c r="K45" s="75"/>
      <c r="L45" s="75"/>
      <c r="M45" s="80"/>
      <c r="N45" s="80"/>
      <c r="O45" s="80"/>
      <c r="P45" s="81" t="str">
        <f>IF(M45="","",'GİDER AYARLARI'!$B$10)</f>
        <v/>
      </c>
      <c r="Q45" s="81" t="str">
        <f ca="1">IF(OR(M45="",J45=""),"",M45*'GİDER AYARLARI'!$B$8*J45/30)</f>
        <v/>
      </c>
      <c r="R45" s="81" t="str">
        <f t="shared" si="1"/>
        <v/>
      </c>
      <c r="S45" s="86" t="str">
        <f t="shared" si="2"/>
        <v/>
      </c>
    </row>
    <row r="46" spans="1:19">
      <c r="A46" s="85" t="str">
        <f t="shared" si="3"/>
        <v/>
      </c>
      <c r="B46" s="75"/>
      <c r="C46" s="78"/>
      <c r="D46" s="79"/>
      <c r="E46" s="75"/>
      <c r="F46" s="75"/>
      <c r="G46" s="75"/>
      <c r="H46" s="75"/>
      <c r="I46" s="77"/>
      <c r="J46" s="76" t="str">
        <f t="shared" ca="1" si="0"/>
        <v/>
      </c>
      <c r="K46" s="75"/>
      <c r="L46" s="75"/>
      <c r="M46" s="80"/>
      <c r="N46" s="80"/>
      <c r="O46" s="80"/>
      <c r="P46" s="81" t="str">
        <f>IF(M46="","",'GİDER AYARLARI'!$B$10)</f>
        <v/>
      </c>
      <c r="Q46" s="81" t="str">
        <f ca="1">IF(OR(M46="",J46=""),"",M46*'GİDER AYARLARI'!$B$8*J46/30)</f>
        <v/>
      </c>
      <c r="R46" s="81" t="str">
        <f t="shared" si="1"/>
        <v/>
      </c>
      <c r="S46" s="86" t="str">
        <f t="shared" si="2"/>
        <v/>
      </c>
    </row>
    <row r="47" spans="1:19">
      <c r="A47" s="85" t="str">
        <f t="shared" si="3"/>
        <v/>
      </c>
      <c r="B47" s="75"/>
      <c r="C47" s="78"/>
      <c r="D47" s="79"/>
      <c r="E47" s="75"/>
      <c r="F47" s="75"/>
      <c r="G47" s="75"/>
      <c r="H47" s="75"/>
      <c r="I47" s="77"/>
      <c r="J47" s="76" t="str">
        <f t="shared" ca="1" si="0"/>
        <v/>
      </c>
      <c r="K47" s="75"/>
      <c r="L47" s="75"/>
      <c r="M47" s="80"/>
      <c r="N47" s="80"/>
      <c r="O47" s="80"/>
      <c r="P47" s="81" t="str">
        <f>IF(M47="","",'GİDER AYARLARI'!$B$10)</f>
        <v/>
      </c>
      <c r="Q47" s="81" t="str">
        <f ca="1">IF(OR(M47="",J47=""),"",M47*'GİDER AYARLARI'!$B$8*J47/30)</f>
        <v/>
      </c>
      <c r="R47" s="81" t="str">
        <f t="shared" si="1"/>
        <v/>
      </c>
      <c r="S47" s="86" t="str">
        <f t="shared" si="2"/>
        <v/>
      </c>
    </row>
    <row r="48" spans="1:19">
      <c r="A48" s="85" t="str">
        <f t="shared" si="3"/>
        <v/>
      </c>
      <c r="B48" s="75"/>
      <c r="C48" s="78"/>
      <c r="D48" s="79"/>
      <c r="E48" s="75"/>
      <c r="F48" s="75"/>
      <c r="G48" s="75"/>
      <c r="H48" s="75"/>
      <c r="I48" s="77"/>
      <c r="J48" s="76" t="str">
        <f t="shared" ca="1" si="0"/>
        <v/>
      </c>
      <c r="K48" s="75"/>
      <c r="L48" s="75"/>
      <c r="M48" s="80"/>
      <c r="N48" s="80"/>
      <c r="O48" s="80"/>
      <c r="P48" s="81" t="str">
        <f>IF(M48="","",'GİDER AYARLARI'!$B$10)</f>
        <v/>
      </c>
      <c r="Q48" s="81" t="str">
        <f ca="1">IF(OR(M48="",J48=""),"",M48*'GİDER AYARLARI'!$B$8*J48/30)</f>
        <v/>
      </c>
      <c r="R48" s="81" t="str">
        <f t="shared" si="1"/>
        <v/>
      </c>
      <c r="S48" s="86" t="str">
        <f t="shared" si="2"/>
        <v/>
      </c>
    </row>
    <row r="49" spans="1:19">
      <c r="A49" s="85" t="str">
        <f t="shared" si="3"/>
        <v/>
      </c>
      <c r="B49" s="75"/>
      <c r="C49" s="78"/>
      <c r="D49" s="79"/>
      <c r="E49" s="75"/>
      <c r="F49" s="75"/>
      <c r="G49" s="75"/>
      <c r="H49" s="75"/>
      <c r="I49" s="77"/>
      <c r="J49" s="76" t="str">
        <f t="shared" ca="1" si="0"/>
        <v/>
      </c>
      <c r="K49" s="75"/>
      <c r="L49" s="75"/>
      <c r="M49" s="80"/>
      <c r="N49" s="80"/>
      <c r="O49" s="80"/>
      <c r="P49" s="81" t="str">
        <f>IF(M49="","",'GİDER AYARLARI'!$B$10)</f>
        <v/>
      </c>
      <c r="Q49" s="81" t="str">
        <f ca="1">IF(OR(M49="",J49=""),"",M49*'GİDER AYARLARI'!$B$8*J49/30)</f>
        <v/>
      </c>
      <c r="R49" s="81" t="str">
        <f t="shared" si="1"/>
        <v/>
      </c>
      <c r="S49" s="86" t="str">
        <f t="shared" si="2"/>
        <v/>
      </c>
    </row>
    <row r="50" spans="1:19">
      <c r="A50" s="85" t="str">
        <f t="shared" si="3"/>
        <v/>
      </c>
      <c r="B50" s="75"/>
      <c r="C50" s="78"/>
      <c r="D50" s="79"/>
      <c r="E50" s="75"/>
      <c r="F50" s="75"/>
      <c r="G50" s="75"/>
      <c r="H50" s="75"/>
      <c r="I50" s="77"/>
      <c r="J50" s="76" t="str">
        <f t="shared" ca="1" si="0"/>
        <v/>
      </c>
      <c r="K50" s="75"/>
      <c r="L50" s="75"/>
      <c r="M50" s="80"/>
      <c r="N50" s="80"/>
      <c r="O50" s="80"/>
      <c r="P50" s="81" t="str">
        <f>IF(M50="","",'GİDER AYARLARI'!$B$10)</f>
        <v/>
      </c>
      <c r="Q50" s="81" t="str">
        <f ca="1">IF(OR(M50="",J50=""),"",M50*'GİDER AYARLARI'!$B$8*J50/30)</f>
        <v/>
      </c>
      <c r="R50" s="81" t="str">
        <f t="shared" si="1"/>
        <v/>
      </c>
      <c r="S50" s="86" t="str">
        <f t="shared" si="2"/>
        <v/>
      </c>
    </row>
    <row r="51" spans="1:19">
      <c r="A51" s="85" t="str">
        <f t="shared" si="3"/>
        <v/>
      </c>
      <c r="B51" s="75"/>
      <c r="C51" s="78"/>
      <c r="D51" s="79"/>
      <c r="E51" s="75"/>
      <c r="F51" s="75"/>
      <c r="G51" s="75"/>
      <c r="H51" s="75"/>
      <c r="I51" s="77"/>
      <c r="J51" s="76" t="str">
        <f t="shared" ca="1" si="0"/>
        <v/>
      </c>
      <c r="K51" s="75"/>
      <c r="L51" s="75"/>
      <c r="M51" s="80"/>
      <c r="N51" s="80"/>
      <c r="O51" s="80"/>
      <c r="P51" s="81" t="str">
        <f>IF(M51="","",'GİDER AYARLARI'!$B$10)</f>
        <v/>
      </c>
      <c r="Q51" s="81" t="str">
        <f ca="1">IF(OR(M51="",J51=""),"",M51*'GİDER AYARLARI'!$B$8*J51/30)</f>
        <v/>
      </c>
      <c r="R51" s="81" t="str">
        <f t="shared" si="1"/>
        <v/>
      </c>
      <c r="S51" s="86" t="str">
        <f t="shared" si="2"/>
        <v/>
      </c>
    </row>
    <row r="52" spans="1:19">
      <c r="A52" s="85" t="str">
        <f t="shared" si="3"/>
        <v/>
      </c>
      <c r="B52" s="75"/>
      <c r="C52" s="78"/>
      <c r="D52" s="79"/>
      <c r="E52" s="75"/>
      <c r="F52" s="75"/>
      <c r="G52" s="75"/>
      <c r="H52" s="75"/>
      <c r="I52" s="77"/>
      <c r="J52" s="76" t="str">
        <f t="shared" ca="1" si="0"/>
        <v/>
      </c>
      <c r="K52" s="75"/>
      <c r="L52" s="75"/>
      <c r="M52" s="80"/>
      <c r="N52" s="80"/>
      <c r="O52" s="80"/>
      <c r="P52" s="81" t="str">
        <f>IF(M52="","",'GİDER AYARLARI'!$B$10)</f>
        <v/>
      </c>
      <c r="Q52" s="81" t="str">
        <f ca="1">IF(OR(M52="",J52=""),"",M52*'GİDER AYARLARI'!$B$8*J52/30)</f>
        <v/>
      </c>
      <c r="R52" s="81" t="str">
        <f t="shared" si="1"/>
        <v/>
      </c>
      <c r="S52" s="86" t="str">
        <f t="shared" si="2"/>
        <v/>
      </c>
    </row>
    <row r="53" spans="1:19">
      <c r="A53" s="85" t="str">
        <f t="shared" si="3"/>
        <v/>
      </c>
      <c r="B53" s="75"/>
      <c r="C53" s="78"/>
      <c r="D53" s="79"/>
      <c r="E53" s="75"/>
      <c r="F53" s="75"/>
      <c r="G53" s="75"/>
      <c r="H53" s="75"/>
      <c r="I53" s="77"/>
      <c r="J53" s="76" t="str">
        <f t="shared" ca="1" si="0"/>
        <v/>
      </c>
      <c r="K53" s="75"/>
      <c r="L53" s="75"/>
      <c r="M53" s="80"/>
      <c r="N53" s="80"/>
      <c r="O53" s="80"/>
      <c r="P53" s="81" t="str">
        <f>IF(M53="","",'GİDER AYARLARI'!$B$10)</f>
        <v/>
      </c>
      <c r="Q53" s="81" t="str">
        <f ca="1">IF(OR(M53="",J53=""),"",M53*'GİDER AYARLARI'!$B$8*J53/30)</f>
        <v/>
      </c>
      <c r="R53" s="81" t="str">
        <f t="shared" si="1"/>
        <v/>
      </c>
      <c r="S53" s="86" t="str">
        <f t="shared" si="2"/>
        <v/>
      </c>
    </row>
    <row r="54" spans="1:19">
      <c r="A54" s="85" t="str">
        <f t="shared" si="3"/>
        <v/>
      </c>
      <c r="B54" s="75"/>
      <c r="C54" s="78"/>
      <c r="D54" s="79"/>
      <c r="E54" s="75"/>
      <c r="F54" s="75"/>
      <c r="G54" s="75"/>
      <c r="H54" s="75"/>
      <c r="I54" s="77"/>
      <c r="J54" s="76" t="str">
        <f t="shared" ca="1" si="0"/>
        <v/>
      </c>
      <c r="K54" s="75"/>
      <c r="L54" s="75"/>
      <c r="M54" s="80"/>
      <c r="N54" s="80"/>
      <c r="O54" s="80"/>
      <c r="P54" s="81" t="str">
        <f>IF(M54="","",'GİDER AYARLARI'!$B$10)</f>
        <v/>
      </c>
      <c r="Q54" s="81" t="str">
        <f ca="1">IF(OR(M54="",J54=""),"",M54*'GİDER AYARLARI'!$B$8*J54/30)</f>
        <v/>
      </c>
      <c r="R54" s="81" t="str">
        <f t="shared" si="1"/>
        <v/>
      </c>
      <c r="S54" s="86" t="str">
        <f t="shared" si="2"/>
        <v/>
      </c>
    </row>
    <row r="55" spans="1:19">
      <c r="A55" s="85" t="str">
        <f t="shared" si="3"/>
        <v/>
      </c>
      <c r="B55" s="75"/>
      <c r="C55" s="78"/>
      <c r="D55" s="79"/>
      <c r="E55" s="75"/>
      <c r="F55" s="75"/>
      <c r="G55" s="75"/>
      <c r="H55" s="75"/>
      <c r="I55" s="77"/>
      <c r="J55" s="76" t="str">
        <f t="shared" ca="1" si="0"/>
        <v/>
      </c>
      <c r="K55" s="75"/>
      <c r="L55" s="75"/>
      <c r="M55" s="80"/>
      <c r="N55" s="80"/>
      <c r="O55" s="80"/>
      <c r="P55" s="81" t="str">
        <f>IF(M55="","",'GİDER AYARLARI'!$B$10)</f>
        <v/>
      </c>
      <c r="Q55" s="81" t="str">
        <f ca="1">IF(OR(M55="",J55=""),"",M55*'GİDER AYARLARI'!$B$8*J55/30)</f>
        <v/>
      </c>
      <c r="R55" s="81" t="str">
        <f t="shared" si="1"/>
        <v/>
      </c>
      <c r="S55" s="86" t="str">
        <f t="shared" si="2"/>
        <v/>
      </c>
    </row>
    <row r="56" spans="1:19">
      <c r="A56" s="85" t="str">
        <f t="shared" si="3"/>
        <v/>
      </c>
      <c r="B56" s="75"/>
      <c r="C56" s="78"/>
      <c r="D56" s="79"/>
      <c r="E56" s="75"/>
      <c r="F56" s="75"/>
      <c r="G56" s="75"/>
      <c r="H56" s="75"/>
      <c r="I56" s="77"/>
      <c r="J56" s="76" t="str">
        <f t="shared" ca="1" si="0"/>
        <v/>
      </c>
      <c r="K56" s="75"/>
      <c r="L56" s="75"/>
      <c r="M56" s="80"/>
      <c r="N56" s="80"/>
      <c r="O56" s="80"/>
      <c r="P56" s="81" t="str">
        <f>IF(M56="","",'GİDER AYARLARI'!$B$10)</f>
        <v/>
      </c>
      <c r="Q56" s="81" t="str">
        <f ca="1">IF(OR(M56="",J56=""),"",M56*'GİDER AYARLARI'!$B$8*J56/30)</f>
        <v/>
      </c>
      <c r="R56" s="81" t="str">
        <f t="shared" si="1"/>
        <v/>
      </c>
      <c r="S56" s="86" t="str">
        <f t="shared" si="2"/>
        <v/>
      </c>
    </row>
    <row r="57" spans="1:19">
      <c r="A57" s="85" t="str">
        <f t="shared" si="3"/>
        <v/>
      </c>
      <c r="B57" s="75"/>
      <c r="C57" s="78"/>
      <c r="D57" s="79"/>
      <c r="E57" s="75"/>
      <c r="F57" s="75"/>
      <c r="G57" s="75"/>
      <c r="H57" s="75"/>
      <c r="I57" s="77"/>
      <c r="J57" s="76" t="str">
        <f t="shared" ca="1" si="0"/>
        <v/>
      </c>
      <c r="K57" s="75"/>
      <c r="L57" s="75"/>
      <c r="M57" s="80"/>
      <c r="N57" s="80"/>
      <c r="O57" s="80"/>
      <c r="P57" s="81" t="str">
        <f>IF(M57="","",'GİDER AYARLARI'!$B$10)</f>
        <v/>
      </c>
      <c r="Q57" s="81" t="str">
        <f ca="1">IF(OR(M57="",J57=""),"",M57*'GİDER AYARLARI'!$B$8*J57/30)</f>
        <v/>
      </c>
      <c r="R57" s="81" t="str">
        <f t="shared" si="1"/>
        <v/>
      </c>
      <c r="S57" s="86" t="str">
        <f t="shared" si="2"/>
        <v/>
      </c>
    </row>
    <row r="58" spans="1:19">
      <c r="A58" s="85" t="str">
        <f t="shared" si="3"/>
        <v/>
      </c>
      <c r="B58" s="75"/>
      <c r="C58" s="78"/>
      <c r="D58" s="79"/>
      <c r="E58" s="75"/>
      <c r="F58" s="75"/>
      <c r="G58" s="75"/>
      <c r="H58" s="75"/>
      <c r="I58" s="77"/>
      <c r="J58" s="76" t="str">
        <f t="shared" ca="1" si="0"/>
        <v/>
      </c>
      <c r="K58" s="75"/>
      <c r="L58" s="75"/>
      <c r="M58" s="80"/>
      <c r="N58" s="80"/>
      <c r="O58" s="80"/>
      <c r="P58" s="81" t="str">
        <f>IF(M58="","",'GİDER AYARLARI'!$B$10)</f>
        <v/>
      </c>
      <c r="Q58" s="81" t="str">
        <f ca="1">IF(OR(M58="",J58=""),"",M58*'GİDER AYARLARI'!$B$8*J58/30)</f>
        <v/>
      </c>
      <c r="R58" s="81" t="str">
        <f t="shared" si="1"/>
        <v/>
      </c>
      <c r="S58" s="86" t="str">
        <f t="shared" si="2"/>
        <v/>
      </c>
    </row>
    <row r="59" spans="1:19">
      <c r="A59" s="85" t="str">
        <f t="shared" si="3"/>
        <v/>
      </c>
      <c r="B59" s="75"/>
      <c r="C59" s="78"/>
      <c r="D59" s="79"/>
      <c r="E59" s="75"/>
      <c r="F59" s="75"/>
      <c r="G59" s="75"/>
      <c r="H59" s="75"/>
      <c r="I59" s="77"/>
      <c r="J59" s="76" t="str">
        <f t="shared" ca="1" si="0"/>
        <v/>
      </c>
      <c r="K59" s="75"/>
      <c r="L59" s="75"/>
      <c r="M59" s="80"/>
      <c r="N59" s="80"/>
      <c r="O59" s="80"/>
      <c r="P59" s="81" t="str">
        <f>IF(M59="","",'GİDER AYARLARI'!$B$10)</f>
        <v/>
      </c>
      <c r="Q59" s="81" t="str">
        <f ca="1">IF(OR(M59="",J59=""),"",M59*'GİDER AYARLARI'!$B$8*J59/30)</f>
        <v/>
      </c>
      <c r="R59" s="81" t="str">
        <f t="shared" si="1"/>
        <v/>
      </c>
      <c r="S59" s="86" t="str">
        <f t="shared" si="2"/>
        <v/>
      </c>
    </row>
    <row r="60" spans="1:19">
      <c r="A60" s="85" t="str">
        <f t="shared" si="3"/>
        <v/>
      </c>
      <c r="B60" s="75"/>
      <c r="C60" s="78"/>
      <c r="D60" s="79"/>
      <c r="E60" s="75"/>
      <c r="F60" s="75"/>
      <c r="G60" s="75"/>
      <c r="H60" s="75"/>
      <c r="I60" s="77"/>
      <c r="J60" s="76" t="str">
        <f t="shared" ca="1" si="0"/>
        <v/>
      </c>
      <c r="K60" s="75"/>
      <c r="L60" s="75"/>
      <c r="M60" s="80"/>
      <c r="N60" s="80"/>
      <c r="O60" s="80"/>
      <c r="P60" s="81" t="str">
        <f>IF(M60="","",'GİDER AYARLARI'!$B$10)</f>
        <v/>
      </c>
      <c r="Q60" s="81" t="str">
        <f ca="1">IF(OR(M60="",J60=""),"",M60*'GİDER AYARLARI'!$B$8*J60/30)</f>
        <v/>
      </c>
      <c r="R60" s="81" t="str">
        <f t="shared" si="1"/>
        <v/>
      </c>
      <c r="S60" s="86" t="str">
        <f t="shared" si="2"/>
        <v/>
      </c>
    </row>
    <row r="61" spans="1:19">
      <c r="A61" s="85" t="str">
        <f t="shared" si="3"/>
        <v/>
      </c>
      <c r="B61" s="75"/>
      <c r="C61" s="78"/>
      <c r="D61" s="79"/>
      <c r="E61" s="75"/>
      <c r="F61" s="75"/>
      <c r="G61" s="75"/>
      <c r="H61" s="75"/>
      <c r="I61" s="77"/>
      <c r="J61" s="76" t="str">
        <f t="shared" ca="1" si="0"/>
        <v/>
      </c>
      <c r="K61" s="75"/>
      <c r="L61" s="75"/>
      <c r="M61" s="80"/>
      <c r="N61" s="80"/>
      <c r="O61" s="80"/>
      <c r="P61" s="81" t="str">
        <f>IF(M61="","",'GİDER AYARLARI'!$B$10)</f>
        <v/>
      </c>
      <c r="Q61" s="81" t="str">
        <f ca="1">IF(OR(M61="",J61=""),"",M61*'GİDER AYARLARI'!$B$8*J61/30)</f>
        <v/>
      </c>
      <c r="R61" s="81" t="str">
        <f t="shared" si="1"/>
        <v/>
      </c>
      <c r="S61" s="86" t="str">
        <f t="shared" si="2"/>
        <v/>
      </c>
    </row>
    <row r="62" spans="1:19">
      <c r="A62" s="85" t="str">
        <f t="shared" si="3"/>
        <v/>
      </c>
      <c r="B62" s="75"/>
      <c r="C62" s="78"/>
      <c r="D62" s="79"/>
      <c r="E62" s="75"/>
      <c r="F62" s="75"/>
      <c r="G62" s="75"/>
      <c r="H62" s="75"/>
      <c r="I62" s="77"/>
      <c r="J62" s="76" t="str">
        <f t="shared" ca="1" si="0"/>
        <v/>
      </c>
      <c r="K62" s="75"/>
      <c r="L62" s="75"/>
      <c r="M62" s="80"/>
      <c r="N62" s="80"/>
      <c r="O62" s="80"/>
      <c r="P62" s="81" t="str">
        <f>IF(M62="","",'GİDER AYARLARI'!$B$10)</f>
        <v/>
      </c>
      <c r="Q62" s="81" t="str">
        <f ca="1">IF(OR(M62="",J62=""),"",M62*'GİDER AYARLARI'!$B$8*J62/30)</f>
        <v/>
      </c>
      <c r="R62" s="81" t="str">
        <f t="shared" si="1"/>
        <v/>
      </c>
      <c r="S62" s="86" t="str">
        <f t="shared" si="2"/>
        <v/>
      </c>
    </row>
    <row r="63" spans="1:19">
      <c r="A63" s="85" t="str">
        <f t="shared" si="3"/>
        <v/>
      </c>
      <c r="B63" s="75"/>
      <c r="C63" s="78"/>
      <c r="D63" s="79"/>
      <c r="E63" s="75"/>
      <c r="F63" s="75"/>
      <c r="G63" s="75"/>
      <c r="H63" s="75"/>
      <c r="I63" s="77"/>
      <c r="J63" s="76" t="str">
        <f t="shared" ca="1" si="0"/>
        <v/>
      </c>
      <c r="K63" s="75"/>
      <c r="L63" s="75"/>
      <c r="M63" s="80"/>
      <c r="N63" s="80"/>
      <c r="O63" s="80"/>
      <c r="P63" s="81" t="str">
        <f>IF(M63="","",'GİDER AYARLARI'!$B$10)</f>
        <v/>
      </c>
      <c r="Q63" s="81" t="str">
        <f ca="1">IF(OR(M63="",J63=""),"",M63*'GİDER AYARLARI'!$B$8*J63/30)</f>
        <v/>
      </c>
      <c r="R63" s="81" t="str">
        <f t="shared" si="1"/>
        <v/>
      </c>
      <c r="S63" s="86" t="str">
        <f t="shared" si="2"/>
        <v/>
      </c>
    </row>
    <row r="64" spans="1:19">
      <c r="A64" s="85" t="str">
        <f t="shared" si="3"/>
        <v/>
      </c>
      <c r="B64" s="75"/>
      <c r="C64" s="78"/>
      <c r="D64" s="79"/>
      <c r="E64" s="75"/>
      <c r="F64" s="75"/>
      <c r="G64" s="75"/>
      <c r="H64" s="75"/>
      <c r="I64" s="77"/>
      <c r="J64" s="76" t="str">
        <f t="shared" ca="1" si="0"/>
        <v/>
      </c>
      <c r="K64" s="75"/>
      <c r="L64" s="75"/>
      <c r="M64" s="80"/>
      <c r="N64" s="80"/>
      <c r="O64" s="80"/>
      <c r="P64" s="81" t="str">
        <f>IF(M64="","",'GİDER AYARLARI'!$B$10)</f>
        <v/>
      </c>
      <c r="Q64" s="81" t="str">
        <f ca="1">IF(OR(M64="",J64=""),"",M64*'GİDER AYARLARI'!$B$8*J64/30)</f>
        <v/>
      </c>
      <c r="R64" s="81" t="str">
        <f t="shared" si="1"/>
        <v/>
      </c>
      <c r="S64" s="86" t="str">
        <f t="shared" si="2"/>
        <v/>
      </c>
    </row>
    <row r="65" spans="1:19">
      <c r="A65" s="85" t="str">
        <f t="shared" si="3"/>
        <v/>
      </c>
      <c r="B65" s="75"/>
      <c r="C65" s="78"/>
      <c r="D65" s="79"/>
      <c r="E65" s="75"/>
      <c r="F65" s="75"/>
      <c r="G65" s="75"/>
      <c r="H65" s="75"/>
      <c r="I65" s="77"/>
      <c r="J65" s="76" t="str">
        <f t="shared" ca="1" si="0"/>
        <v/>
      </c>
      <c r="K65" s="75"/>
      <c r="L65" s="75"/>
      <c r="M65" s="80"/>
      <c r="N65" s="80"/>
      <c r="O65" s="80"/>
      <c r="P65" s="81" t="str">
        <f>IF(M65="","",'GİDER AYARLARI'!$B$10)</f>
        <v/>
      </c>
      <c r="Q65" s="81" t="str">
        <f ca="1">IF(OR(M65="",J65=""),"",M65*'GİDER AYARLARI'!$B$8*J65/30)</f>
        <v/>
      </c>
      <c r="R65" s="81" t="str">
        <f t="shared" si="1"/>
        <v/>
      </c>
      <c r="S65" s="86" t="str">
        <f t="shared" si="2"/>
        <v/>
      </c>
    </row>
    <row r="66" spans="1:19">
      <c r="A66" s="85" t="str">
        <f t="shared" si="3"/>
        <v/>
      </c>
      <c r="B66" s="75"/>
      <c r="C66" s="78"/>
      <c r="D66" s="79"/>
      <c r="E66" s="75"/>
      <c r="F66" s="75"/>
      <c r="G66" s="75"/>
      <c r="H66" s="75"/>
      <c r="I66" s="77"/>
      <c r="J66" s="76" t="str">
        <f t="shared" ca="1" si="0"/>
        <v/>
      </c>
      <c r="K66" s="75"/>
      <c r="L66" s="75"/>
      <c r="M66" s="80"/>
      <c r="N66" s="80"/>
      <c r="O66" s="80"/>
      <c r="P66" s="81" t="str">
        <f>IF(M66="","",'GİDER AYARLARI'!$B$10)</f>
        <v/>
      </c>
      <c r="Q66" s="81" t="str">
        <f ca="1">IF(OR(M66="",J66=""),"",M66*'GİDER AYARLARI'!$B$8*J66/30)</f>
        <v/>
      </c>
      <c r="R66" s="81" t="str">
        <f t="shared" si="1"/>
        <v/>
      </c>
      <c r="S66" s="86" t="str">
        <f t="shared" si="2"/>
        <v/>
      </c>
    </row>
    <row r="67" spans="1:19">
      <c r="A67" s="85" t="str">
        <f t="shared" si="3"/>
        <v/>
      </c>
      <c r="B67" s="75"/>
      <c r="C67" s="78"/>
      <c r="D67" s="79"/>
      <c r="E67" s="75"/>
      <c r="F67" s="75"/>
      <c r="G67" s="75"/>
      <c r="H67" s="75"/>
      <c r="I67" s="77"/>
      <c r="J67" s="76" t="str">
        <f t="shared" ca="1" si="0"/>
        <v/>
      </c>
      <c r="K67" s="75"/>
      <c r="L67" s="75"/>
      <c r="M67" s="80"/>
      <c r="N67" s="80"/>
      <c r="O67" s="80"/>
      <c r="P67" s="81" t="str">
        <f>IF(M67="","",'GİDER AYARLARI'!$B$10)</f>
        <v/>
      </c>
      <c r="Q67" s="81" t="str">
        <f ca="1">IF(OR(M67="",J67=""),"",M67*'GİDER AYARLARI'!$B$8*J67/30)</f>
        <v/>
      </c>
      <c r="R67" s="81" t="str">
        <f t="shared" si="1"/>
        <v/>
      </c>
      <c r="S67" s="86" t="str">
        <f t="shared" si="2"/>
        <v/>
      </c>
    </row>
    <row r="68" spans="1:19">
      <c r="A68" s="85" t="str">
        <f t="shared" si="3"/>
        <v/>
      </c>
      <c r="B68" s="75"/>
      <c r="C68" s="78"/>
      <c r="D68" s="79"/>
      <c r="E68" s="75"/>
      <c r="F68" s="75"/>
      <c r="G68" s="75"/>
      <c r="H68" s="75"/>
      <c r="I68" s="77"/>
      <c r="J68" s="76" t="str">
        <f t="shared" ca="1" si="0"/>
        <v/>
      </c>
      <c r="K68" s="75"/>
      <c r="L68" s="75"/>
      <c r="M68" s="80"/>
      <c r="N68" s="80"/>
      <c r="O68" s="80"/>
      <c r="P68" s="81" t="str">
        <f>IF(M68="","",'GİDER AYARLARI'!$B$10)</f>
        <v/>
      </c>
      <c r="Q68" s="81" t="str">
        <f ca="1">IF(OR(M68="",J68=""),"",M68*'GİDER AYARLARI'!$B$8*J68/30)</f>
        <v/>
      </c>
      <c r="R68" s="81" t="str">
        <f t="shared" si="1"/>
        <v/>
      </c>
      <c r="S68" s="86" t="str">
        <f t="shared" si="2"/>
        <v/>
      </c>
    </row>
    <row r="69" spans="1:19">
      <c r="A69" s="85" t="str">
        <f t="shared" si="3"/>
        <v/>
      </c>
      <c r="B69" s="75"/>
      <c r="C69" s="78"/>
      <c r="D69" s="79"/>
      <c r="E69" s="75"/>
      <c r="F69" s="75"/>
      <c r="G69" s="75"/>
      <c r="H69" s="75"/>
      <c r="I69" s="77"/>
      <c r="J69" s="76" t="str">
        <f t="shared" ca="1" si="0"/>
        <v/>
      </c>
      <c r="K69" s="75"/>
      <c r="L69" s="75"/>
      <c r="M69" s="80"/>
      <c r="N69" s="80"/>
      <c r="O69" s="80"/>
      <c r="P69" s="81" t="str">
        <f>IF(M69="","",'GİDER AYARLARI'!$B$10)</f>
        <v/>
      </c>
      <c r="Q69" s="81" t="str">
        <f ca="1">IF(OR(M69="",J69=""),"",M69*'GİDER AYARLARI'!$B$8*J69/30)</f>
        <v/>
      </c>
      <c r="R69" s="81" t="str">
        <f t="shared" si="1"/>
        <v/>
      </c>
      <c r="S69" s="86" t="str">
        <f t="shared" si="2"/>
        <v/>
      </c>
    </row>
    <row r="70" spans="1:19">
      <c r="A70" s="85" t="str">
        <f t="shared" si="3"/>
        <v/>
      </c>
      <c r="B70" s="75"/>
      <c r="C70" s="78"/>
      <c r="D70" s="79"/>
      <c r="E70" s="75"/>
      <c r="F70" s="75"/>
      <c r="G70" s="75"/>
      <c r="H70" s="75"/>
      <c r="I70" s="77"/>
      <c r="J70" s="76" t="str">
        <f t="shared" ca="1" si="0"/>
        <v/>
      </c>
      <c r="K70" s="75"/>
      <c r="L70" s="75"/>
      <c r="M70" s="80"/>
      <c r="N70" s="80"/>
      <c r="O70" s="80"/>
      <c r="P70" s="81" t="str">
        <f>IF(M70="","",'GİDER AYARLARI'!$B$10)</f>
        <v/>
      </c>
      <c r="Q70" s="81" t="str">
        <f ca="1">IF(OR(M70="",J70=""),"",M70*'GİDER AYARLARI'!$B$8*J70/30)</f>
        <v/>
      </c>
      <c r="R70" s="81" t="str">
        <f t="shared" si="1"/>
        <v/>
      </c>
      <c r="S70" s="86" t="str">
        <f t="shared" si="2"/>
        <v/>
      </c>
    </row>
    <row r="71" spans="1:19">
      <c r="A71" s="85" t="str">
        <f t="shared" ref="A71:A134" si="4">IF(B71="","",ROW()-6)</f>
        <v/>
      </c>
      <c r="B71" s="75"/>
      <c r="C71" s="78"/>
      <c r="D71" s="79"/>
      <c r="E71" s="75"/>
      <c r="F71" s="75"/>
      <c r="G71" s="75"/>
      <c r="H71" s="75"/>
      <c r="I71" s="77"/>
      <c r="J71" s="76" t="str">
        <f t="shared" ref="J71:J134" ca="1" si="5">IF(I71="","",MAX(0,TODAY()-I71))</f>
        <v/>
      </c>
      <c r="K71" s="75"/>
      <c r="L71" s="75"/>
      <c r="M71" s="80"/>
      <c r="N71" s="80"/>
      <c r="O71" s="80"/>
      <c r="P71" s="81" t="str">
        <f>IF(M71="","",'GİDER AYARLARI'!$B$10)</f>
        <v/>
      </c>
      <c r="Q71" s="81" t="str">
        <f ca="1">IF(OR(M71="",J71=""),"",M71*'GİDER AYARLARI'!$B$8*J71/30)</f>
        <v/>
      </c>
      <c r="R71" s="81" t="str">
        <f t="shared" ref="R71:R134" si="6">IF(M71="","",M71+P71+Q71)</f>
        <v/>
      </c>
      <c r="S71" s="86" t="str">
        <f t="shared" ref="S71:S134" si="7">IF(OR(N71="",R71=""),"",N71-R71)</f>
        <v/>
      </c>
    </row>
    <row r="72" spans="1:19">
      <c r="A72" s="85" t="str">
        <f t="shared" si="4"/>
        <v/>
      </c>
      <c r="B72" s="75"/>
      <c r="C72" s="78"/>
      <c r="D72" s="79"/>
      <c r="E72" s="75"/>
      <c r="F72" s="75"/>
      <c r="G72" s="75"/>
      <c r="H72" s="75"/>
      <c r="I72" s="77"/>
      <c r="J72" s="76" t="str">
        <f t="shared" ca="1" si="5"/>
        <v/>
      </c>
      <c r="K72" s="75"/>
      <c r="L72" s="75"/>
      <c r="M72" s="80"/>
      <c r="N72" s="80"/>
      <c r="O72" s="80"/>
      <c r="P72" s="81" t="str">
        <f>IF(M72="","",'GİDER AYARLARI'!$B$10)</f>
        <v/>
      </c>
      <c r="Q72" s="81" t="str">
        <f ca="1">IF(OR(M72="",J72=""),"",M72*'GİDER AYARLARI'!$B$8*J72/30)</f>
        <v/>
      </c>
      <c r="R72" s="81" t="str">
        <f t="shared" si="6"/>
        <v/>
      </c>
      <c r="S72" s="86" t="str">
        <f t="shared" si="7"/>
        <v/>
      </c>
    </row>
    <row r="73" spans="1:19">
      <c r="A73" s="85" t="str">
        <f t="shared" si="4"/>
        <v/>
      </c>
      <c r="B73" s="75"/>
      <c r="C73" s="78"/>
      <c r="D73" s="79"/>
      <c r="E73" s="75"/>
      <c r="F73" s="75"/>
      <c r="G73" s="75"/>
      <c r="H73" s="75"/>
      <c r="I73" s="77"/>
      <c r="J73" s="76" t="str">
        <f t="shared" ca="1" si="5"/>
        <v/>
      </c>
      <c r="K73" s="75"/>
      <c r="L73" s="75"/>
      <c r="M73" s="80"/>
      <c r="N73" s="80"/>
      <c r="O73" s="80"/>
      <c r="P73" s="81" t="str">
        <f>IF(M73="","",'GİDER AYARLARI'!$B$10)</f>
        <v/>
      </c>
      <c r="Q73" s="81" t="str">
        <f ca="1">IF(OR(M73="",J73=""),"",M73*'GİDER AYARLARI'!$B$8*J73/30)</f>
        <v/>
      </c>
      <c r="R73" s="81" t="str">
        <f t="shared" si="6"/>
        <v/>
      </c>
      <c r="S73" s="86" t="str">
        <f t="shared" si="7"/>
        <v/>
      </c>
    </row>
    <row r="74" spans="1:19">
      <c r="A74" s="85" t="str">
        <f t="shared" si="4"/>
        <v/>
      </c>
      <c r="B74" s="75"/>
      <c r="C74" s="78"/>
      <c r="D74" s="79"/>
      <c r="E74" s="75"/>
      <c r="F74" s="75"/>
      <c r="G74" s="75"/>
      <c r="H74" s="75"/>
      <c r="I74" s="77"/>
      <c r="J74" s="76" t="str">
        <f t="shared" ca="1" si="5"/>
        <v/>
      </c>
      <c r="K74" s="75"/>
      <c r="L74" s="75"/>
      <c r="M74" s="80"/>
      <c r="N74" s="80"/>
      <c r="O74" s="80"/>
      <c r="P74" s="81" t="str">
        <f>IF(M74="","",'GİDER AYARLARI'!$B$10)</f>
        <v/>
      </c>
      <c r="Q74" s="81" t="str">
        <f ca="1">IF(OR(M74="",J74=""),"",M74*'GİDER AYARLARI'!$B$8*J74/30)</f>
        <v/>
      </c>
      <c r="R74" s="81" t="str">
        <f t="shared" si="6"/>
        <v/>
      </c>
      <c r="S74" s="86" t="str">
        <f t="shared" si="7"/>
        <v/>
      </c>
    </row>
    <row r="75" spans="1:19">
      <c r="A75" s="85" t="str">
        <f t="shared" si="4"/>
        <v/>
      </c>
      <c r="B75" s="75"/>
      <c r="C75" s="78"/>
      <c r="D75" s="79"/>
      <c r="E75" s="75"/>
      <c r="F75" s="75"/>
      <c r="G75" s="75"/>
      <c r="H75" s="75"/>
      <c r="I75" s="77"/>
      <c r="J75" s="76" t="str">
        <f t="shared" ca="1" si="5"/>
        <v/>
      </c>
      <c r="K75" s="75"/>
      <c r="L75" s="75"/>
      <c r="M75" s="80"/>
      <c r="N75" s="80"/>
      <c r="O75" s="80"/>
      <c r="P75" s="81" t="str">
        <f>IF(M75="","",'GİDER AYARLARI'!$B$10)</f>
        <v/>
      </c>
      <c r="Q75" s="81" t="str">
        <f ca="1">IF(OR(M75="",J75=""),"",M75*'GİDER AYARLARI'!$B$8*J75/30)</f>
        <v/>
      </c>
      <c r="R75" s="81" t="str">
        <f t="shared" si="6"/>
        <v/>
      </c>
      <c r="S75" s="86" t="str">
        <f t="shared" si="7"/>
        <v/>
      </c>
    </row>
    <row r="76" spans="1:19">
      <c r="A76" s="85" t="str">
        <f t="shared" si="4"/>
        <v/>
      </c>
      <c r="B76" s="75"/>
      <c r="C76" s="78"/>
      <c r="D76" s="79"/>
      <c r="E76" s="75"/>
      <c r="F76" s="75"/>
      <c r="G76" s="75"/>
      <c r="H76" s="75"/>
      <c r="I76" s="77"/>
      <c r="J76" s="76" t="str">
        <f t="shared" ca="1" si="5"/>
        <v/>
      </c>
      <c r="K76" s="75"/>
      <c r="L76" s="75"/>
      <c r="M76" s="80"/>
      <c r="N76" s="80"/>
      <c r="O76" s="80"/>
      <c r="P76" s="81" t="str">
        <f>IF(M76="","",'GİDER AYARLARI'!$B$10)</f>
        <v/>
      </c>
      <c r="Q76" s="81" t="str">
        <f ca="1">IF(OR(M76="",J76=""),"",M76*'GİDER AYARLARI'!$B$8*J76/30)</f>
        <v/>
      </c>
      <c r="R76" s="81" t="str">
        <f t="shared" si="6"/>
        <v/>
      </c>
      <c r="S76" s="86" t="str">
        <f t="shared" si="7"/>
        <v/>
      </c>
    </row>
    <row r="77" spans="1:19">
      <c r="A77" s="85" t="str">
        <f t="shared" si="4"/>
        <v/>
      </c>
      <c r="B77" s="75"/>
      <c r="C77" s="78"/>
      <c r="D77" s="79"/>
      <c r="E77" s="75"/>
      <c r="F77" s="75"/>
      <c r="G77" s="75"/>
      <c r="H77" s="75"/>
      <c r="I77" s="77"/>
      <c r="J77" s="76" t="str">
        <f t="shared" ca="1" si="5"/>
        <v/>
      </c>
      <c r="K77" s="75"/>
      <c r="L77" s="75"/>
      <c r="M77" s="80"/>
      <c r="N77" s="80"/>
      <c r="O77" s="80"/>
      <c r="P77" s="81" t="str">
        <f>IF(M77="","",'GİDER AYARLARI'!$B$10)</f>
        <v/>
      </c>
      <c r="Q77" s="81" t="str">
        <f ca="1">IF(OR(M77="",J77=""),"",M77*'GİDER AYARLARI'!$B$8*J77/30)</f>
        <v/>
      </c>
      <c r="R77" s="81" t="str">
        <f t="shared" si="6"/>
        <v/>
      </c>
      <c r="S77" s="86" t="str">
        <f t="shared" si="7"/>
        <v/>
      </c>
    </row>
    <row r="78" spans="1:19">
      <c r="A78" s="85" t="str">
        <f t="shared" si="4"/>
        <v/>
      </c>
      <c r="B78" s="75"/>
      <c r="C78" s="78"/>
      <c r="D78" s="79"/>
      <c r="E78" s="75"/>
      <c r="F78" s="75"/>
      <c r="G78" s="75"/>
      <c r="H78" s="75"/>
      <c r="I78" s="77"/>
      <c r="J78" s="76" t="str">
        <f t="shared" ca="1" si="5"/>
        <v/>
      </c>
      <c r="K78" s="75"/>
      <c r="L78" s="75"/>
      <c r="M78" s="80"/>
      <c r="N78" s="80"/>
      <c r="O78" s="80"/>
      <c r="P78" s="81" t="str">
        <f>IF(M78="","",'GİDER AYARLARI'!$B$10)</f>
        <v/>
      </c>
      <c r="Q78" s="81" t="str">
        <f ca="1">IF(OR(M78="",J78=""),"",M78*'GİDER AYARLARI'!$B$8*J78/30)</f>
        <v/>
      </c>
      <c r="R78" s="81" t="str">
        <f t="shared" si="6"/>
        <v/>
      </c>
      <c r="S78" s="86" t="str">
        <f t="shared" si="7"/>
        <v/>
      </c>
    </row>
    <row r="79" spans="1:19">
      <c r="A79" s="85" t="str">
        <f t="shared" si="4"/>
        <v/>
      </c>
      <c r="B79" s="75"/>
      <c r="C79" s="78"/>
      <c r="D79" s="79"/>
      <c r="E79" s="75"/>
      <c r="F79" s="75"/>
      <c r="G79" s="75"/>
      <c r="H79" s="75"/>
      <c r="I79" s="77"/>
      <c r="J79" s="76" t="str">
        <f t="shared" ca="1" si="5"/>
        <v/>
      </c>
      <c r="K79" s="75"/>
      <c r="L79" s="75"/>
      <c r="M79" s="80"/>
      <c r="N79" s="80"/>
      <c r="O79" s="80"/>
      <c r="P79" s="81" t="str">
        <f>IF(M79="","",'GİDER AYARLARI'!$B$10)</f>
        <v/>
      </c>
      <c r="Q79" s="81" t="str">
        <f ca="1">IF(OR(M79="",J79=""),"",M79*'GİDER AYARLARI'!$B$8*J79/30)</f>
        <v/>
      </c>
      <c r="R79" s="81" t="str">
        <f t="shared" si="6"/>
        <v/>
      </c>
      <c r="S79" s="86" t="str">
        <f t="shared" si="7"/>
        <v/>
      </c>
    </row>
    <row r="80" spans="1:19">
      <c r="A80" s="85" t="str">
        <f t="shared" si="4"/>
        <v/>
      </c>
      <c r="B80" s="75"/>
      <c r="C80" s="78"/>
      <c r="D80" s="79"/>
      <c r="E80" s="75"/>
      <c r="F80" s="75"/>
      <c r="G80" s="75"/>
      <c r="H80" s="75"/>
      <c r="I80" s="77"/>
      <c r="J80" s="76" t="str">
        <f t="shared" ca="1" si="5"/>
        <v/>
      </c>
      <c r="K80" s="75"/>
      <c r="L80" s="75"/>
      <c r="M80" s="80"/>
      <c r="N80" s="80"/>
      <c r="O80" s="80"/>
      <c r="P80" s="81" t="str">
        <f>IF(M80="","",'GİDER AYARLARI'!$B$10)</f>
        <v/>
      </c>
      <c r="Q80" s="81" t="str">
        <f ca="1">IF(OR(M80="",J80=""),"",M80*'GİDER AYARLARI'!$B$8*J80/30)</f>
        <v/>
      </c>
      <c r="R80" s="81" t="str">
        <f t="shared" si="6"/>
        <v/>
      </c>
      <c r="S80" s="86" t="str">
        <f t="shared" si="7"/>
        <v/>
      </c>
    </row>
    <row r="81" spans="1:19">
      <c r="A81" s="85" t="str">
        <f t="shared" si="4"/>
        <v/>
      </c>
      <c r="B81" s="75"/>
      <c r="C81" s="78"/>
      <c r="D81" s="79"/>
      <c r="E81" s="75"/>
      <c r="F81" s="75"/>
      <c r="G81" s="75"/>
      <c r="H81" s="75"/>
      <c r="I81" s="77"/>
      <c r="J81" s="76" t="str">
        <f t="shared" ca="1" si="5"/>
        <v/>
      </c>
      <c r="K81" s="75"/>
      <c r="L81" s="75"/>
      <c r="M81" s="80"/>
      <c r="N81" s="80"/>
      <c r="O81" s="80"/>
      <c r="P81" s="81" t="str">
        <f>IF(M81="","",'GİDER AYARLARI'!$B$10)</f>
        <v/>
      </c>
      <c r="Q81" s="81" t="str">
        <f ca="1">IF(OR(M81="",J81=""),"",M81*'GİDER AYARLARI'!$B$8*J81/30)</f>
        <v/>
      </c>
      <c r="R81" s="81" t="str">
        <f t="shared" si="6"/>
        <v/>
      </c>
      <c r="S81" s="86" t="str">
        <f t="shared" si="7"/>
        <v/>
      </c>
    </row>
    <row r="82" spans="1:19">
      <c r="A82" s="85" t="str">
        <f t="shared" si="4"/>
        <v/>
      </c>
      <c r="B82" s="75"/>
      <c r="C82" s="78"/>
      <c r="D82" s="79"/>
      <c r="E82" s="75"/>
      <c r="F82" s="75"/>
      <c r="G82" s="75"/>
      <c r="H82" s="75"/>
      <c r="I82" s="77"/>
      <c r="J82" s="76" t="str">
        <f t="shared" ca="1" si="5"/>
        <v/>
      </c>
      <c r="K82" s="75"/>
      <c r="L82" s="75"/>
      <c r="M82" s="80"/>
      <c r="N82" s="80"/>
      <c r="O82" s="80"/>
      <c r="P82" s="81" t="str">
        <f>IF(M82="","",'GİDER AYARLARI'!$B$10)</f>
        <v/>
      </c>
      <c r="Q82" s="81" t="str">
        <f ca="1">IF(OR(M82="",J82=""),"",M82*'GİDER AYARLARI'!$B$8*J82/30)</f>
        <v/>
      </c>
      <c r="R82" s="81" t="str">
        <f t="shared" si="6"/>
        <v/>
      </c>
      <c r="S82" s="86" t="str">
        <f t="shared" si="7"/>
        <v/>
      </c>
    </row>
    <row r="83" spans="1:19">
      <c r="A83" s="85" t="str">
        <f t="shared" si="4"/>
        <v/>
      </c>
      <c r="B83" s="75"/>
      <c r="C83" s="78"/>
      <c r="D83" s="79"/>
      <c r="E83" s="75"/>
      <c r="F83" s="75"/>
      <c r="G83" s="75"/>
      <c r="H83" s="75"/>
      <c r="I83" s="77"/>
      <c r="J83" s="76" t="str">
        <f t="shared" ca="1" si="5"/>
        <v/>
      </c>
      <c r="K83" s="75"/>
      <c r="L83" s="75"/>
      <c r="M83" s="80"/>
      <c r="N83" s="80"/>
      <c r="O83" s="80"/>
      <c r="P83" s="81" t="str">
        <f>IF(M83="","",'GİDER AYARLARI'!$B$10)</f>
        <v/>
      </c>
      <c r="Q83" s="81" t="str">
        <f ca="1">IF(OR(M83="",J83=""),"",M83*'GİDER AYARLARI'!$B$8*J83/30)</f>
        <v/>
      </c>
      <c r="R83" s="81" t="str">
        <f t="shared" si="6"/>
        <v/>
      </c>
      <c r="S83" s="86" t="str">
        <f t="shared" si="7"/>
        <v/>
      </c>
    </row>
    <row r="84" spans="1:19">
      <c r="A84" s="85" t="str">
        <f t="shared" si="4"/>
        <v/>
      </c>
      <c r="B84" s="75"/>
      <c r="C84" s="78"/>
      <c r="D84" s="79"/>
      <c r="E84" s="75"/>
      <c r="F84" s="75"/>
      <c r="G84" s="75"/>
      <c r="H84" s="75"/>
      <c r="I84" s="77"/>
      <c r="J84" s="76" t="str">
        <f t="shared" ca="1" si="5"/>
        <v/>
      </c>
      <c r="K84" s="75"/>
      <c r="L84" s="75"/>
      <c r="M84" s="80"/>
      <c r="N84" s="80"/>
      <c r="O84" s="80"/>
      <c r="P84" s="81" t="str">
        <f>IF(M84="","",'GİDER AYARLARI'!$B$10)</f>
        <v/>
      </c>
      <c r="Q84" s="81" t="str">
        <f ca="1">IF(OR(M84="",J84=""),"",M84*'GİDER AYARLARI'!$B$8*J84/30)</f>
        <v/>
      </c>
      <c r="R84" s="81" t="str">
        <f t="shared" si="6"/>
        <v/>
      </c>
      <c r="S84" s="86" t="str">
        <f t="shared" si="7"/>
        <v/>
      </c>
    </row>
    <row r="85" spans="1:19">
      <c r="A85" s="85" t="str">
        <f t="shared" si="4"/>
        <v/>
      </c>
      <c r="B85" s="75"/>
      <c r="C85" s="78"/>
      <c r="D85" s="79"/>
      <c r="E85" s="75"/>
      <c r="F85" s="75"/>
      <c r="G85" s="75"/>
      <c r="H85" s="75"/>
      <c r="I85" s="77"/>
      <c r="J85" s="76" t="str">
        <f t="shared" ca="1" si="5"/>
        <v/>
      </c>
      <c r="K85" s="75"/>
      <c r="L85" s="75"/>
      <c r="M85" s="80"/>
      <c r="N85" s="80"/>
      <c r="O85" s="80"/>
      <c r="P85" s="81" t="str">
        <f>IF(M85="","",'GİDER AYARLARI'!$B$10)</f>
        <v/>
      </c>
      <c r="Q85" s="81" t="str">
        <f ca="1">IF(OR(M85="",J85=""),"",M85*'GİDER AYARLARI'!$B$8*J85/30)</f>
        <v/>
      </c>
      <c r="R85" s="81" t="str">
        <f t="shared" si="6"/>
        <v/>
      </c>
      <c r="S85" s="86" t="str">
        <f t="shared" si="7"/>
        <v/>
      </c>
    </row>
    <row r="86" spans="1:19">
      <c r="A86" s="85" t="str">
        <f t="shared" si="4"/>
        <v/>
      </c>
      <c r="B86" s="75"/>
      <c r="C86" s="78"/>
      <c r="D86" s="79"/>
      <c r="E86" s="75"/>
      <c r="F86" s="75"/>
      <c r="G86" s="75"/>
      <c r="H86" s="75"/>
      <c r="I86" s="77"/>
      <c r="J86" s="76" t="str">
        <f t="shared" ca="1" si="5"/>
        <v/>
      </c>
      <c r="K86" s="75"/>
      <c r="L86" s="75"/>
      <c r="M86" s="80"/>
      <c r="N86" s="80"/>
      <c r="O86" s="80"/>
      <c r="P86" s="81" t="str">
        <f>IF(M86="","",'GİDER AYARLARI'!$B$10)</f>
        <v/>
      </c>
      <c r="Q86" s="81" t="str">
        <f ca="1">IF(OR(M86="",J86=""),"",M86*'GİDER AYARLARI'!$B$8*J86/30)</f>
        <v/>
      </c>
      <c r="R86" s="81" t="str">
        <f t="shared" si="6"/>
        <v/>
      </c>
      <c r="S86" s="86" t="str">
        <f t="shared" si="7"/>
        <v/>
      </c>
    </row>
    <row r="87" spans="1:19">
      <c r="A87" s="85" t="str">
        <f t="shared" si="4"/>
        <v/>
      </c>
      <c r="B87" s="75"/>
      <c r="C87" s="78"/>
      <c r="D87" s="79"/>
      <c r="E87" s="75"/>
      <c r="F87" s="75"/>
      <c r="G87" s="75"/>
      <c r="H87" s="75"/>
      <c r="I87" s="77"/>
      <c r="J87" s="76" t="str">
        <f t="shared" ca="1" si="5"/>
        <v/>
      </c>
      <c r="K87" s="75"/>
      <c r="L87" s="75"/>
      <c r="M87" s="80"/>
      <c r="N87" s="80"/>
      <c r="O87" s="80"/>
      <c r="P87" s="81" t="str">
        <f>IF(M87="","",'GİDER AYARLARI'!$B$10)</f>
        <v/>
      </c>
      <c r="Q87" s="81" t="str">
        <f ca="1">IF(OR(M87="",J87=""),"",M87*'GİDER AYARLARI'!$B$8*J87/30)</f>
        <v/>
      </c>
      <c r="R87" s="81" t="str">
        <f t="shared" si="6"/>
        <v/>
      </c>
      <c r="S87" s="86" t="str">
        <f t="shared" si="7"/>
        <v/>
      </c>
    </row>
    <row r="88" spans="1:19">
      <c r="A88" s="85" t="str">
        <f t="shared" si="4"/>
        <v/>
      </c>
      <c r="B88" s="75"/>
      <c r="C88" s="78"/>
      <c r="D88" s="79"/>
      <c r="E88" s="75"/>
      <c r="F88" s="75"/>
      <c r="G88" s="75"/>
      <c r="H88" s="75"/>
      <c r="I88" s="77"/>
      <c r="J88" s="76" t="str">
        <f t="shared" ca="1" si="5"/>
        <v/>
      </c>
      <c r="K88" s="75"/>
      <c r="L88" s="75"/>
      <c r="M88" s="80"/>
      <c r="N88" s="80"/>
      <c r="O88" s="80"/>
      <c r="P88" s="81" t="str">
        <f>IF(M88="","",'GİDER AYARLARI'!$B$10)</f>
        <v/>
      </c>
      <c r="Q88" s="81" t="str">
        <f ca="1">IF(OR(M88="",J88=""),"",M88*'GİDER AYARLARI'!$B$8*J88/30)</f>
        <v/>
      </c>
      <c r="R88" s="81" t="str">
        <f t="shared" si="6"/>
        <v/>
      </c>
      <c r="S88" s="86" t="str">
        <f t="shared" si="7"/>
        <v/>
      </c>
    </row>
    <row r="89" spans="1:19">
      <c r="A89" s="85" t="str">
        <f t="shared" si="4"/>
        <v/>
      </c>
      <c r="B89" s="75"/>
      <c r="C89" s="78"/>
      <c r="D89" s="79"/>
      <c r="E89" s="75"/>
      <c r="F89" s="75"/>
      <c r="G89" s="75"/>
      <c r="H89" s="75"/>
      <c r="I89" s="77"/>
      <c r="J89" s="76" t="str">
        <f t="shared" ca="1" si="5"/>
        <v/>
      </c>
      <c r="K89" s="75"/>
      <c r="L89" s="75"/>
      <c r="M89" s="80"/>
      <c r="N89" s="80"/>
      <c r="O89" s="80"/>
      <c r="P89" s="81" t="str">
        <f>IF(M89="","",'GİDER AYARLARI'!$B$10)</f>
        <v/>
      </c>
      <c r="Q89" s="81" t="str">
        <f ca="1">IF(OR(M89="",J89=""),"",M89*'GİDER AYARLARI'!$B$8*J89/30)</f>
        <v/>
      </c>
      <c r="R89" s="81" t="str">
        <f t="shared" si="6"/>
        <v/>
      </c>
      <c r="S89" s="86" t="str">
        <f t="shared" si="7"/>
        <v/>
      </c>
    </row>
    <row r="90" spans="1:19">
      <c r="A90" s="85" t="str">
        <f t="shared" si="4"/>
        <v/>
      </c>
      <c r="B90" s="75"/>
      <c r="C90" s="78"/>
      <c r="D90" s="79"/>
      <c r="E90" s="75"/>
      <c r="F90" s="75"/>
      <c r="G90" s="75"/>
      <c r="H90" s="75"/>
      <c r="I90" s="77"/>
      <c r="J90" s="76" t="str">
        <f t="shared" ca="1" si="5"/>
        <v/>
      </c>
      <c r="K90" s="75"/>
      <c r="L90" s="75"/>
      <c r="M90" s="80"/>
      <c r="N90" s="80"/>
      <c r="O90" s="80"/>
      <c r="P90" s="81" t="str">
        <f>IF(M90="","",'GİDER AYARLARI'!$B$10)</f>
        <v/>
      </c>
      <c r="Q90" s="81" t="str">
        <f ca="1">IF(OR(M90="",J90=""),"",M90*'GİDER AYARLARI'!$B$8*J90/30)</f>
        <v/>
      </c>
      <c r="R90" s="81" t="str">
        <f t="shared" si="6"/>
        <v/>
      </c>
      <c r="S90" s="86" t="str">
        <f t="shared" si="7"/>
        <v/>
      </c>
    </row>
    <row r="91" spans="1:19">
      <c r="A91" s="85" t="str">
        <f t="shared" si="4"/>
        <v/>
      </c>
      <c r="B91" s="75"/>
      <c r="C91" s="78"/>
      <c r="D91" s="79"/>
      <c r="E91" s="75"/>
      <c r="F91" s="75"/>
      <c r="G91" s="75"/>
      <c r="H91" s="75"/>
      <c r="I91" s="77"/>
      <c r="J91" s="76" t="str">
        <f t="shared" ca="1" si="5"/>
        <v/>
      </c>
      <c r="K91" s="75"/>
      <c r="L91" s="75"/>
      <c r="M91" s="80"/>
      <c r="N91" s="80"/>
      <c r="O91" s="80"/>
      <c r="P91" s="81" t="str">
        <f>IF(M91="","",'GİDER AYARLARI'!$B$10)</f>
        <v/>
      </c>
      <c r="Q91" s="81" t="str">
        <f ca="1">IF(OR(M91="",J91=""),"",M91*'GİDER AYARLARI'!$B$8*J91/30)</f>
        <v/>
      </c>
      <c r="R91" s="81" t="str">
        <f t="shared" si="6"/>
        <v/>
      </c>
      <c r="S91" s="86" t="str">
        <f t="shared" si="7"/>
        <v/>
      </c>
    </row>
    <row r="92" spans="1:19">
      <c r="A92" s="85" t="str">
        <f t="shared" si="4"/>
        <v/>
      </c>
      <c r="B92" s="75"/>
      <c r="C92" s="78"/>
      <c r="D92" s="79"/>
      <c r="E92" s="75"/>
      <c r="F92" s="75"/>
      <c r="G92" s="75"/>
      <c r="H92" s="75"/>
      <c r="I92" s="77"/>
      <c r="J92" s="76" t="str">
        <f t="shared" ca="1" si="5"/>
        <v/>
      </c>
      <c r="K92" s="75"/>
      <c r="L92" s="75"/>
      <c r="M92" s="80"/>
      <c r="N92" s="80"/>
      <c r="O92" s="80"/>
      <c r="P92" s="81" t="str">
        <f>IF(M92="","",'GİDER AYARLARI'!$B$10)</f>
        <v/>
      </c>
      <c r="Q92" s="81" t="str">
        <f ca="1">IF(OR(M92="",J92=""),"",M92*'GİDER AYARLARI'!$B$8*J92/30)</f>
        <v/>
      </c>
      <c r="R92" s="81" t="str">
        <f t="shared" si="6"/>
        <v/>
      </c>
      <c r="S92" s="86" t="str">
        <f t="shared" si="7"/>
        <v/>
      </c>
    </row>
    <row r="93" spans="1:19">
      <c r="A93" s="85" t="str">
        <f t="shared" si="4"/>
        <v/>
      </c>
      <c r="B93" s="75"/>
      <c r="C93" s="78"/>
      <c r="D93" s="79"/>
      <c r="E93" s="75"/>
      <c r="F93" s="75"/>
      <c r="G93" s="75"/>
      <c r="H93" s="75"/>
      <c r="I93" s="77"/>
      <c r="J93" s="76" t="str">
        <f t="shared" ca="1" si="5"/>
        <v/>
      </c>
      <c r="K93" s="75"/>
      <c r="L93" s="75"/>
      <c r="M93" s="80"/>
      <c r="N93" s="80"/>
      <c r="O93" s="80"/>
      <c r="P93" s="81" t="str">
        <f>IF(M93="","",'GİDER AYARLARI'!$B$10)</f>
        <v/>
      </c>
      <c r="Q93" s="81" t="str">
        <f ca="1">IF(OR(M93="",J93=""),"",M93*'GİDER AYARLARI'!$B$8*J93/30)</f>
        <v/>
      </c>
      <c r="R93" s="81" t="str">
        <f t="shared" si="6"/>
        <v/>
      </c>
      <c r="S93" s="86" t="str">
        <f t="shared" si="7"/>
        <v/>
      </c>
    </row>
    <row r="94" spans="1:19">
      <c r="A94" s="85" t="str">
        <f t="shared" si="4"/>
        <v/>
      </c>
      <c r="B94" s="75"/>
      <c r="C94" s="78"/>
      <c r="D94" s="79"/>
      <c r="E94" s="75"/>
      <c r="F94" s="75"/>
      <c r="G94" s="75"/>
      <c r="H94" s="75"/>
      <c r="I94" s="77"/>
      <c r="J94" s="76" t="str">
        <f t="shared" ca="1" si="5"/>
        <v/>
      </c>
      <c r="K94" s="75"/>
      <c r="L94" s="75"/>
      <c r="M94" s="80"/>
      <c r="N94" s="80"/>
      <c r="O94" s="80"/>
      <c r="P94" s="81" t="str">
        <f>IF(M94="","",'GİDER AYARLARI'!$B$10)</f>
        <v/>
      </c>
      <c r="Q94" s="81" t="str">
        <f ca="1">IF(OR(M94="",J94=""),"",M94*'GİDER AYARLARI'!$B$8*J94/30)</f>
        <v/>
      </c>
      <c r="R94" s="81" t="str">
        <f t="shared" si="6"/>
        <v/>
      </c>
      <c r="S94" s="86" t="str">
        <f t="shared" si="7"/>
        <v/>
      </c>
    </row>
    <row r="95" spans="1:19">
      <c r="A95" s="85" t="str">
        <f t="shared" si="4"/>
        <v/>
      </c>
      <c r="B95" s="75"/>
      <c r="C95" s="78"/>
      <c r="D95" s="79"/>
      <c r="E95" s="75"/>
      <c r="F95" s="75"/>
      <c r="G95" s="75"/>
      <c r="H95" s="75"/>
      <c r="I95" s="77"/>
      <c r="J95" s="76" t="str">
        <f t="shared" ca="1" si="5"/>
        <v/>
      </c>
      <c r="K95" s="75"/>
      <c r="L95" s="75"/>
      <c r="M95" s="80"/>
      <c r="N95" s="80"/>
      <c r="O95" s="80"/>
      <c r="P95" s="81" t="str">
        <f>IF(M95="","",'GİDER AYARLARI'!$B$10)</f>
        <v/>
      </c>
      <c r="Q95" s="81" t="str">
        <f ca="1">IF(OR(M95="",J95=""),"",M95*'GİDER AYARLARI'!$B$8*J95/30)</f>
        <v/>
      </c>
      <c r="R95" s="81" t="str">
        <f t="shared" si="6"/>
        <v/>
      </c>
      <c r="S95" s="86" t="str">
        <f t="shared" si="7"/>
        <v/>
      </c>
    </row>
    <row r="96" spans="1:19">
      <c r="A96" s="85" t="str">
        <f t="shared" si="4"/>
        <v/>
      </c>
      <c r="B96" s="75"/>
      <c r="C96" s="78"/>
      <c r="D96" s="79"/>
      <c r="E96" s="75"/>
      <c r="F96" s="75"/>
      <c r="G96" s="75"/>
      <c r="H96" s="75"/>
      <c r="I96" s="77"/>
      <c r="J96" s="76" t="str">
        <f t="shared" ca="1" si="5"/>
        <v/>
      </c>
      <c r="K96" s="75"/>
      <c r="L96" s="75"/>
      <c r="M96" s="80"/>
      <c r="N96" s="80"/>
      <c r="O96" s="80"/>
      <c r="P96" s="81" t="str">
        <f>IF(M96="","",'GİDER AYARLARI'!$B$10)</f>
        <v/>
      </c>
      <c r="Q96" s="81" t="str">
        <f ca="1">IF(OR(M96="",J96=""),"",M96*'GİDER AYARLARI'!$B$8*J96/30)</f>
        <v/>
      </c>
      <c r="R96" s="81" t="str">
        <f t="shared" si="6"/>
        <v/>
      </c>
      <c r="S96" s="86" t="str">
        <f t="shared" si="7"/>
        <v/>
      </c>
    </row>
    <row r="97" spans="1:19">
      <c r="A97" s="85" t="str">
        <f t="shared" si="4"/>
        <v/>
      </c>
      <c r="B97" s="75"/>
      <c r="C97" s="78"/>
      <c r="D97" s="79"/>
      <c r="E97" s="75"/>
      <c r="F97" s="75"/>
      <c r="G97" s="75"/>
      <c r="H97" s="75"/>
      <c r="I97" s="77"/>
      <c r="J97" s="76" t="str">
        <f t="shared" ca="1" si="5"/>
        <v/>
      </c>
      <c r="K97" s="75"/>
      <c r="L97" s="75"/>
      <c r="M97" s="80"/>
      <c r="N97" s="80"/>
      <c r="O97" s="80"/>
      <c r="P97" s="81" t="str">
        <f>IF(M97="","",'GİDER AYARLARI'!$B$10)</f>
        <v/>
      </c>
      <c r="Q97" s="81" t="str">
        <f ca="1">IF(OR(M97="",J97=""),"",M97*'GİDER AYARLARI'!$B$8*J97/30)</f>
        <v/>
      </c>
      <c r="R97" s="81" t="str">
        <f t="shared" si="6"/>
        <v/>
      </c>
      <c r="S97" s="86" t="str">
        <f t="shared" si="7"/>
        <v/>
      </c>
    </row>
    <row r="98" spans="1:19">
      <c r="A98" s="85" t="str">
        <f t="shared" si="4"/>
        <v/>
      </c>
      <c r="B98" s="75"/>
      <c r="C98" s="78"/>
      <c r="D98" s="79"/>
      <c r="E98" s="75"/>
      <c r="F98" s="75"/>
      <c r="G98" s="75"/>
      <c r="H98" s="75"/>
      <c r="I98" s="77"/>
      <c r="J98" s="76" t="str">
        <f t="shared" ca="1" si="5"/>
        <v/>
      </c>
      <c r="K98" s="75"/>
      <c r="L98" s="75"/>
      <c r="M98" s="80"/>
      <c r="N98" s="80"/>
      <c r="O98" s="80"/>
      <c r="P98" s="81" t="str">
        <f>IF(M98="","",'GİDER AYARLARI'!$B$10)</f>
        <v/>
      </c>
      <c r="Q98" s="81" t="str">
        <f ca="1">IF(OR(M98="",J98=""),"",M98*'GİDER AYARLARI'!$B$8*J98/30)</f>
        <v/>
      </c>
      <c r="R98" s="81" t="str">
        <f t="shared" si="6"/>
        <v/>
      </c>
      <c r="S98" s="86" t="str">
        <f t="shared" si="7"/>
        <v/>
      </c>
    </row>
    <row r="99" spans="1:19">
      <c r="A99" s="85" t="str">
        <f t="shared" si="4"/>
        <v/>
      </c>
      <c r="B99" s="75"/>
      <c r="C99" s="78"/>
      <c r="D99" s="79"/>
      <c r="E99" s="75"/>
      <c r="F99" s="75"/>
      <c r="G99" s="75"/>
      <c r="H99" s="75"/>
      <c r="I99" s="77"/>
      <c r="J99" s="76" t="str">
        <f t="shared" ca="1" si="5"/>
        <v/>
      </c>
      <c r="K99" s="75"/>
      <c r="L99" s="75"/>
      <c r="M99" s="80"/>
      <c r="N99" s="80"/>
      <c r="O99" s="80"/>
      <c r="P99" s="81" t="str">
        <f>IF(M99="","",'GİDER AYARLARI'!$B$10)</f>
        <v/>
      </c>
      <c r="Q99" s="81" t="str">
        <f ca="1">IF(OR(M99="",J99=""),"",M99*'GİDER AYARLARI'!$B$8*J99/30)</f>
        <v/>
      </c>
      <c r="R99" s="81" t="str">
        <f t="shared" si="6"/>
        <v/>
      </c>
      <c r="S99" s="86" t="str">
        <f t="shared" si="7"/>
        <v/>
      </c>
    </row>
    <row r="100" spans="1:19">
      <c r="A100" s="85" t="str">
        <f t="shared" si="4"/>
        <v/>
      </c>
      <c r="B100" s="75"/>
      <c r="C100" s="78"/>
      <c r="D100" s="79"/>
      <c r="E100" s="75"/>
      <c r="F100" s="75"/>
      <c r="G100" s="75"/>
      <c r="H100" s="75"/>
      <c r="I100" s="77"/>
      <c r="J100" s="76" t="str">
        <f t="shared" ca="1" si="5"/>
        <v/>
      </c>
      <c r="K100" s="75"/>
      <c r="L100" s="75"/>
      <c r="M100" s="80"/>
      <c r="N100" s="80"/>
      <c r="O100" s="80"/>
      <c r="P100" s="81" t="str">
        <f>IF(M100="","",'GİDER AYARLARI'!$B$10)</f>
        <v/>
      </c>
      <c r="Q100" s="81" t="str">
        <f ca="1">IF(OR(M100="",J100=""),"",M100*'GİDER AYARLARI'!$B$8*J100/30)</f>
        <v/>
      </c>
      <c r="R100" s="81" t="str">
        <f t="shared" si="6"/>
        <v/>
      </c>
      <c r="S100" s="86" t="str">
        <f t="shared" si="7"/>
        <v/>
      </c>
    </row>
    <row r="101" spans="1:19">
      <c r="A101" s="85" t="str">
        <f t="shared" si="4"/>
        <v/>
      </c>
      <c r="B101" s="75"/>
      <c r="C101" s="78"/>
      <c r="D101" s="79"/>
      <c r="E101" s="75"/>
      <c r="F101" s="75"/>
      <c r="G101" s="75"/>
      <c r="H101" s="75"/>
      <c r="I101" s="77"/>
      <c r="J101" s="76" t="str">
        <f t="shared" ca="1" si="5"/>
        <v/>
      </c>
      <c r="K101" s="75"/>
      <c r="L101" s="75"/>
      <c r="M101" s="80"/>
      <c r="N101" s="80"/>
      <c r="O101" s="80"/>
      <c r="P101" s="81" t="str">
        <f>IF(M101="","",'GİDER AYARLARI'!$B$10)</f>
        <v/>
      </c>
      <c r="Q101" s="81" t="str">
        <f ca="1">IF(OR(M101="",J101=""),"",M101*'GİDER AYARLARI'!$B$8*J101/30)</f>
        <v/>
      </c>
      <c r="R101" s="81" t="str">
        <f t="shared" si="6"/>
        <v/>
      </c>
      <c r="S101" s="86" t="str">
        <f t="shared" si="7"/>
        <v/>
      </c>
    </row>
    <row r="102" spans="1:19">
      <c r="A102" s="85" t="str">
        <f t="shared" si="4"/>
        <v/>
      </c>
      <c r="B102" s="75"/>
      <c r="C102" s="78"/>
      <c r="D102" s="79"/>
      <c r="E102" s="75"/>
      <c r="F102" s="75"/>
      <c r="G102" s="75"/>
      <c r="H102" s="75"/>
      <c r="I102" s="77"/>
      <c r="J102" s="76" t="str">
        <f t="shared" ca="1" si="5"/>
        <v/>
      </c>
      <c r="K102" s="75"/>
      <c r="L102" s="75"/>
      <c r="M102" s="80"/>
      <c r="N102" s="80"/>
      <c r="O102" s="80"/>
      <c r="P102" s="81" t="str">
        <f>IF(M102="","",'GİDER AYARLARI'!$B$10)</f>
        <v/>
      </c>
      <c r="Q102" s="81" t="str">
        <f ca="1">IF(OR(M102="",J102=""),"",M102*'GİDER AYARLARI'!$B$8*J102/30)</f>
        <v/>
      </c>
      <c r="R102" s="81" t="str">
        <f t="shared" si="6"/>
        <v/>
      </c>
      <c r="S102" s="86" t="str">
        <f t="shared" si="7"/>
        <v/>
      </c>
    </row>
    <row r="103" spans="1:19">
      <c r="A103" s="85" t="str">
        <f t="shared" si="4"/>
        <v/>
      </c>
      <c r="B103" s="75"/>
      <c r="C103" s="78"/>
      <c r="D103" s="79"/>
      <c r="E103" s="75"/>
      <c r="F103" s="75"/>
      <c r="G103" s="75"/>
      <c r="H103" s="75"/>
      <c r="I103" s="77"/>
      <c r="J103" s="76" t="str">
        <f t="shared" ca="1" si="5"/>
        <v/>
      </c>
      <c r="K103" s="75"/>
      <c r="L103" s="75"/>
      <c r="M103" s="80"/>
      <c r="N103" s="80"/>
      <c r="O103" s="80"/>
      <c r="P103" s="81" t="str">
        <f>IF(M103="","",'GİDER AYARLARI'!$B$10)</f>
        <v/>
      </c>
      <c r="Q103" s="81" t="str">
        <f ca="1">IF(OR(M103="",J103=""),"",M103*'GİDER AYARLARI'!$B$8*J103/30)</f>
        <v/>
      </c>
      <c r="R103" s="81" t="str">
        <f t="shared" si="6"/>
        <v/>
      </c>
      <c r="S103" s="86" t="str">
        <f t="shared" si="7"/>
        <v/>
      </c>
    </row>
    <row r="104" spans="1:19">
      <c r="A104" s="85" t="str">
        <f t="shared" si="4"/>
        <v/>
      </c>
      <c r="B104" s="75"/>
      <c r="C104" s="78"/>
      <c r="D104" s="79"/>
      <c r="E104" s="75"/>
      <c r="F104" s="75"/>
      <c r="G104" s="75"/>
      <c r="H104" s="75"/>
      <c r="I104" s="77"/>
      <c r="J104" s="76" t="str">
        <f t="shared" ca="1" si="5"/>
        <v/>
      </c>
      <c r="K104" s="75"/>
      <c r="L104" s="75"/>
      <c r="M104" s="80"/>
      <c r="N104" s="80"/>
      <c r="O104" s="80"/>
      <c r="P104" s="81" t="str">
        <f>IF(M104="","",'GİDER AYARLARI'!$B$10)</f>
        <v/>
      </c>
      <c r="Q104" s="81" t="str">
        <f ca="1">IF(OR(M104="",J104=""),"",M104*'GİDER AYARLARI'!$B$8*J104/30)</f>
        <v/>
      </c>
      <c r="R104" s="81" t="str">
        <f t="shared" si="6"/>
        <v/>
      </c>
      <c r="S104" s="86" t="str">
        <f t="shared" si="7"/>
        <v/>
      </c>
    </row>
    <row r="105" spans="1:19">
      <c r="A105" s="85" t="str">
        <f t="shared" si="4"/>
        <v/>
      </c>
      <c r="B105" s="75"/>
      <c r="C105" s="78"/>
      <c r="D105" s="79"/>
      <c r="E105" s="75"/>
      <c r="F105" s="75"/>
      <c r="G105" s="75"/>
      <c r="H105" s="75"/>
      <c r="I105" s="77"/>
      <c r="J105" s="76" t="str">
        <f t="shared" ca="1" si="5"/>
        <v/>
      </c>
      <c r="K105" s="75"/>
      <c r="L105" s="75"/>
      <c r="M105" s="80"/>
      <c r="N105" s="80"/>
      <c r="O105" s="80"/>
      <c r="P105" s="81" t="str">
        <f>IF(M105="","",'GİDER AYARLARI'!$B$10)</f>
        <v/>
      </c>
      <c r="Q105" s="81" t="str">
        <f ca="1">IF(OR(M105="",J105=""),"",M105*'GİDER AYARLARI'!$B$8*J105/30)</f>
        <v/>
      </c>
      <c r="R105" s="81" t="str">
        <f t="shared" si="6"/>
        <v/>
      </c>
      <c r="S105" s="86" t="str">
        <f t="shared" si="7"/>
        <v/>
      </c>
    </row>
    <row r="106" spans="1:19">
      <c r="A106" s="85" t="str">
        <f t="shared" si="4"/>
        <v/>
      </c>
      <c r="B106" s="75"/>
      <c r="C106" s="78"/>
      <c r="D106" s="79"/>
      <c r="E106" s="75"/>
      <c r="F106" s="75"/>
      <c r="G106" s="75"/>
      <c r="H106" s="75"/>
      <c r="I106" s="77"/>
      <c r="J106" s="76" t="str">
        <f t="shared" ca="1" si="5"/>
        <v/>
      </c>
      <c r="K106" s="75"/>
      <c r="L106" s="75"/>
      <c r="M106" s="80"/>
      <c r="N106" s="80"/>
      <c r="O106" s="80"/>
      <c r="P106" s="81" t="str">
        <f>IF(M106="","",'GİDER AYARLARI'!$B$10)</f>
        <v/>
      </c>
      <c r="Q106" s="81" t="str">
        <f ca="1">IF(OR(M106="",J106=""),"",M106*'GİDER AYARLARI'!$B$8*J106/30)</f>
        <v/>
      </c>
      <c r="R106" s="81" t="str">
        <f t="shared" si="6"/>
        <v/>
      </c>
      <c r="S106" s="86" t="str">
        <f t="shared" si="7"/>
        <v/>
      </c>
    </row>
    <row r="107" spans="1:19">
      <c r="A107" s="85" t="str">
        <f t="shared" si="4"/>
        <v/>
      </c>
      <c r="B107" s="75"/>
      <c r="C107" s="78"/>
      <c r="D107" s="79"/>
      <c r="E107" s="75"/>
      <c r="F107" s="75"/>
      <c r="G107" s="75"/>
      <c r="H107" s="75"/>
      <c r="I107" s="77"/>
      <c r="J107" s="76" t="str">
        <f t="shared" ca="1" si="5"/>
        <v/>
      </c>
      <c r="K107" s="75"/>
      <c r="L107" s="75"/>
      <c r="M107" s="80"/>
      <c r="N107" s="80"/>
      <c r="O107" s="80"/>
      <c r="P107" s="81" t="str">
        <f>IF(M107="","",'GİDER AYARLARI'!$B$10)</f>
        <v/>
      </c>
      <c r="Q107" s="81" t="str">
        <f ca="1">IF(OR(M107="",J107=""),"",M107*'GİDER AYARLARI'!$B$8*J107/30)</f>
        <v/>
      </c>
      <c r="R107" s="81" t="str">
        <f t="shared" si="6"/>
        <v/>
      </c>
      <c r="S107" s="86" t="str">
        <f t="shared" si="7"/>
        <v/>
      </c>
    </row>
    <row r="108" spans="1:19">
      <c r="A108" s="85" t="str">
        <f t="shared" si="4"/>
        <v/>
      </c>
      <c r="B108" s="75"/>
      <c r="C108" s="78"/>
      <c r="D108" s="79"/>
      <c r="E108" s="75"/>
      <c r="F108" s="75"/>
      <c r="G108" s="75"/>
      <c r="H108" s="75"/>
      <c r="I108" s="77"/>
      <c r="J108" s="76" t="str">
        <f t="shared" ca="1" si="5"/>
        <v/>
      </c>
      <c r="K108" s="75"/>
      <c r="L108" s="75"/>
      <c r="M108" s="80"/>
      <c r="N108" s="80"/>
      <c r="O108" s="80"/>
      <c r="P108" s="81" t="str">
        <f>IF(M108="","",'GİDER AYARLARI'!$B$10)</f>
        <v/>
      </c>
      <c r="Q108" s="81" t="str">
        <f ca="1">IF(OR(M108="",J108=""),"",M108*'GİDER AYARLARI'!$B$8*J108/30)</f>
        <v/>
      </c>
      <c r="R108" s="81" t="str">
        <f t="shared" si="6"/>
        <v/>
      </c>
      <c r="S108" s="86" t="str">
        <f t="shared" si="7"/>
        <v/>
      </c>
    </row>
    <row r="109" spans="1:19">
      <c r="A109" s="85" t="str">
        <f t="shared" si="4"/>
        <v/>
      </c>
      <c r="B109" s="75"/>
      <c r="C109" s="78"/>
      <c r="D109" s="79"/>
      <c r="E109" s="75"/>
      <c r="F109" s="75"/>
      <c r="G109" s="75"/>
      <c r="H109" s="75"/>
      <c r="I109" s="77"/>
      <c r="J109" s="76" t="str">
        <f t="shared" ca="1" si="5"/>
        <v/>
      </c>
      <c r="K109" s="75"/>
      <c r="L109" s="75"/>
      <c r="M109" s="80"/>
      <c r="N109" s="80"/>
      <c r="O109" s="80"/>
      <c r="P109" s="81" t="str">
        <f>IF(M109="","",'GİDER AYARLARI'!$B$10)</f>
        <v/>
      </c>
      <c r="Q109" s="81" t="str">
        <f ca="1">IF(OR(M109="",J109=""),"",M109*'GİDER AYARLARI'!$B$8*J109/30)</f>
        <v/>
      </c>
      <c r="R109" s="81" t="str">
        <f t="shared" si="6"/>
        <v/>
      </c>
      <c r="S109" s="86" t="str">
        <f t="shared" si="7"/>
        <v/>
      </c>
    </row>
    <row r="110" spans="1:19">
      <c r="A110" s="85" t="str">
        <f t="shared" si="4"/>
        <v/>
      </c>
      <c r="B110" s="75"/>
      <c r="C110" s="78"/>
      <c r="D110" s="79"/>
      <c r="E110" s="75"/>
      <c r="F110" s="75"/>
      <c r="G110" s="75"/>
      <c r="H110" s="75"/>
      <c r="I110" s="77"/>
      <c r="J110" s="76" t="str">
        <f t="shared" ca="1" si="5"/>
        <v/>
      </c>
      <c r="K110" s="75"/>
      <c r="L110" s="75"/>
      <c r="M110" s="80"/>
      <c r="N110" s="80"/>
      <c r="O110" s="80"/>
      <c r="P110" s="81" t="str">
        <f>IF(M110="","",'GİDER AYARLARI'!$B$10)</f>
        <v/>
      </c>
      <c r="Q110" s="81" t="str">
        <f ca="1">IF(OR(M110="",J110=""),"",M110*'GİDER AYARLARI'!$B$8*J110/30)</f>
        <v/>
      </c>
      <c r="R110" s="81" t="str">
        <f t="shared" si="6"/>
        <v/>
      </c>
      <c r="S110" s="86" t="str">
        <f t="shared" si="7"/>
        <v/>
      </c>
    </row>
    <row r="111" spans="1:19">
      <c r="A111" s="85" t="str">
        <f t="shared" si="4"/>
        <v/>
      </c>
      <c r="B111" s="75"/>
      <c r="C111" s="78"/>
      <c r="D111" s="79"/>
      <c r="E111" s="75"/>
      <c r="F111" s="75"/>
      <c r="G111" s="75"/>
      <c r="H111" s="75"/>
      <c r="I111" s="77"/>
      <c r="J111" s="76" t="str">
        <f t="shared" ca="1" si="5"/>
        <v/>
      </c>
      <c r="K111" s="75"/>
      <c r="L111" s="75"/>
      <c r="M111" s="80"/>
      <c r="N111" s="80"/>
      <c r="O111" s="80"/>
      <c r="P111" s="81" t="str">
        <f>IF(M111="","",'GİDER AYARLARI'!$B$10)</f>
        <v/>
      </c>
      <c r="Q111" s="81" t="str">
        <f ca="1">IF(OR(M111="",J111=""),"",M111*'GİDER AYARLARI'!$B$8*J111/30)</f>
        <v/>
      </c>
      <c r="R111" s="81" t="str">
        <f t="shared" si="6"/>
        <v/>
      </c>
      <c r="S111" s="86" t="str">
        <f t="shared" si="7"/>
        <v/>
      </c>
    </row>
    <row r="112" spans="1:19">
      <c r="A112" s="85" t="str">
        <f t="shared" si="4"/>
        <v/>
      </c>
      <c r="B112" s="75"/>
      <c r="C112" s="78"/>
      <c r="D112" s="79"/>
      <c r="E112" s="75"/>
      <c r="F112" s="75"/>
      <c r="G112" s="75"/>
      <c r="H112" s="75"/>
      <c r="I112" s="77"/>
      <c r="J112" s="76" t="str">
        <f t="shared" ca="1" si="5"/>
        <v/>
      </c>
      <c r="K112" s="75"/>
      <c r="L112" s="75"/>
      <c r="M112" s="80"/>
      <c r="N112" s="80"/>
      <c r="O112" s="80"/>
      <c r="P112" s="81" t="str">
        <f>IF(M112="","",'GİDER AYARLARI'!$B$10)</f>
        <v/>
      </c>
      <c r="Q112" s="81" t="str">
        <f ca="1">IF(OR(M112="",J112=""),"",M112*'GİDER AYARLARI'!$B$8*J112/30)</f>
        <v/>
      </c>
      <c r="R112" s="81" t="str">
        <f t="shared" si="6"/>
        <v/>
      </c>
      <c r="S112" s="86" t="str">
        <f t="shared" si="7"/>
        <v/>
      </c>
    </row>
    <row r="113" spans="1:19">
      <c r="A113" s="85" t="str">
        <f t="shared" si="4"/>
        <v/>
      </c>
      <c r="B113" s="75"/>
      <c r="C113" s="78"/>
      <c r="D113" s="79"/>
      <c r="E113" s="75"/>
      <c r="F113" s="75"/>
      <c r="G113" s="75"/>
      <c r="H113" s="75"/>
      <c r="I113" s="77"/>
      <c r="J113" s="76" t="str">
        <f t="shared" ca="1" si="5"/>
        <v/>
      </c>
      <c r="K113" s="75"/>
      <c r="L113" s="75"/>
      <c r="M113" s="80"/>
      <c r="N113" s="80"/>
      <c r="O113" s="80"/>
      <c r="P113" s="81" t="str">
        <f>IF(M113="","",'GİDER AYARLARI'!$B$10)</f>
        <v/>
      </c>
      <c r="Q113" s="81" t="str">
        <f ca="1">IF(OR(M113="",J113=""),"",M113*'GİDER AYARLARI'!$B$8*J113/30)</f>
        <v/>
      </c>
      <c r="R113" s="81" t="str">
        <f t="shared" si="6"/>
        <v/>
      </c>
      <c r="S113" s="86" t="str">
        <f t="shared" si="7"/>
        <v/>
      </c>
    </row>
    <row r="114" spans="1:19">
      <c r="A114" s="85" t="str">
        <f t="shared" si="4"/>
        <v/>
      </c>
      <c r="B114" s="75"/>
      <c r="C114" s="78"/>
      <c r="D114" s="79"/>
      <c r="E114" s="75"/>
      <c r="F114" s="75"/>
      <c r="G114" s="75"/>
      <c r="H114" s="75"/>
      <c r="I114" s="77"/>
      <c r="J114" s="76" t="str">
        <f t="shared" ca="1" si="5"/>
        <v/>
      </c>
      <c r="K114" s="75"/>
      <c r="L114" s="75"/>
      <c r="M114" s="80"/>
      <c r="N114" s="80"/>
      <c r="O114" s="80"/>
      <c r="P114" s="81" t="str">
        <f>IF(M114="","",'GİDER AYARLARI'!$B$10)</f>
        <v/>
      </c>
      <c r="Q114" s="81" t="str">
        <f ca="1">IF(OR(M114="",J114=""),"",M114*'GİDER AYARLARI'!$B$8*J114/30)</f>
        <v/>
      </c>
      <c r="R114" s="81" t="str">
        <f t="shared" si="6"/>
        <v/>
      </c>
      <c r="S114" s="86" t="str">
        <f t="shared" si="7"/>
        <v/>
      </c>
    </row>
    <row r="115" spans="1:19">
      <c r="A115" s="85" t="str">
        <f t="shared" si="4"/>
        <v/>
      </c>
      <c r="B115" s="75"/>
      <c r="C115" s="78"/>
      <c r="D115" s="79"/>
      <c r="E115" s="75"/>
      <c r="F115" s="75"/>
      <c r="G115" s="75"/>
      <c r="H115" s="75"/>
      <c r="I115" s="77"/>
      <c r="J115" s="76" t="str">
        <f t="shared" ca="1" si="5"/>
        <v/>
      </c>
      <c r="K115" s="75"/>
      <c r="L115" s="75"/>
      <c r="M115" s="80"/>
      <c r="N115" s="80"/>
      <c r="O115" s="80"/>
      <c r="P115" s="81" t="str">
        <f>IF(M115="","",'GİDER AYARLARI'!$B$10)</f>
        <v/>
      </c>
      <c r="Q115" s="81" t="str">
        <f ca="1">IF(OR(M115="",J115=""),"",M115*'GİDER AYARLARI'!$B$8*J115/30)</f>
        <v/>
      </c>
      <c r="R115" s="81" t="str">
        <f t="shared" si="6"/>
        <v/>
      </c>
      <c r="S115" s="86" t="str">
        <f t="shared" si="7"/>
        <v/>
      </c>
    </row>
    <row r="116" spans="1:19">
      <c r="A116" s="85" t="str">
        <f t="shared" si="4"/>
        <v/>
      </c>
      <c r="B116" s="75"/>
      <c r="C116" s="78"/>
      <c r="D116" s="79"/>
      <c r="E116" s="75"/>
      <c r="F116" s="75"/>
      <c r="G116" s="75"/>
      <c r="H116" s="75"/>
      <c r="I116" s="77"/>
      <c r="J116" s="76" t="str">
        <f t="shared" ca="1" si="5"/>
        <v/>
      </c>
      <c r="K116" s="75"/>
      <c r="L116" s="75"/>
      <c r="M116" s="80"/>
      <c r="N116" s="80"/>
      <c r="O116" s="80"/>
      <c r="P116" s="81" t="str">
        <f>IF(M116="","",'GİDER AYARLARI'!$B$10)</f>
        <v/>
      </c>
      <c r="Q116" s="81" t="str">
        <f ca="1">IF(OR(M116="",J116=""),"",M116*'GİDER AYARLARI'!$B$8*J116/30)</f>
        <v/>
      </c>
      <c r="R116" s="81" t="str">
        <f t="shared" si="6"/>
        <v/>
      </c>
      <c r="S116" s="86" t="str">
        <f t="shared" si="7"/>
        <v/>
      </c>
    </row>
    <row r="117" spans="1:19">
      <c r="A117" s="85" t="str">
        <f t="shared" si="4"/>
        <v/>
      </c>
      <c r="B117" s="75"/>
      <c r="C117" s="78"/>
      <c r="D117" s="79"/>
      <c r="E117" s="75"/>
      <c r="F117" s="75"/>
      <c r="G117" s="75"/>
      <c r="H117" s="75"/>
      <c r="I117" s="77"/>
      <c r="J117" s="76" t="str">
        <f t="shared" ca="1" si="5"/>
        <v/>
      </c>
      <c r="K117" s="75"/>
      <c r="L117" s="75"/>
      <c r="M117" s="80"/>
      <c r="N117" s="80"/>
      <c r="O117" s="80"/>
      <c r="P117" s="81" t="str">
        <f>IF(M117="","",'GİDER AYARLARI'!$B$10)</f>
        <v/>
      </c>
      <c r="Q117" s="81" t="str">
        <f ca="1">IF(OR(M117="",J117=""),"",M117*'GİDER AYARLARI'!$B$8*J117/30)</f>
        <v/>
      </c>
      <c r="R117" s="81" t="str">
        <f t="shared" si="6"/>
        <v/>
      </c>
      <c r="S117" s="86" t="str">
        <f t="shared" si="7"/>
        <v/>
      </c>
    </row>
    <row r="118" spans="1:19">
      <c r="A118" s="85" t="str">
        <f t="shared" si="4"/>
        <v/>
      </c>
      <c r="B118" s="75"/>
      <c r="C118" s="78"/>
      <c r="D118" s="79"/>
      <c r="E118" s="75"/>
      <c r="F118" s="75"/>
      <c r="G118" s="75"/>
      <c r="H118" s="75"/>
      <c r="I118" s="77"/>
      <c r="J118" s="76" t="str">
        <f t="shared" ca="1" si="5"/>
        <v/>
      </c>
      <c r="K118" s="75"/>
      <c r="L118" s="75"/>
      <c r="M118" s="80"/>
      <c r="N118" s="80"/>
      <c r="O118" s="80"/>
      <c r="P118" s="81" t="str">
        <f>IF(M118="","",'GİDER AYARLARI'!$B$10)</f>
        <v/>
      </c>
      <c r="Q118" s="81" t="str">
        <f ca="1">IF(OR(M118="",J118=""),"",M118*'GİDER AYARLARI'!$B$8*J118/30)</f>
        <v/>
      </c>
      <c r="R118" s="81" t="str">
        <f t="shared" si="6"/>
        <v/>
      </c>
      <c r="S118" s="86" t="str">
        <f t="shared" si="7"/>
        <v/>
      </c>
    </row>
    <row r="119" spans="1:19">
      <c r="A119" s="85" t="str">
        <f t="shared" si="4"/>
        <v/>
      </c>
      <c r="B119" s="75"/>
      <c r="C119" s="78"/>
      <c r="D119" s="79"/>
      <c r="E119" s="75"/>
      <c r="F119" s="75"/>
      <c r="G119" s="75"/>
      <c r="H119" s="75"/>
      <c r="I119" s="77"/>
      <c r="J119" s="76" t="str">
        <f t="shared" ca="1" si="5"/>
        <v/>
      </c>
      <c r="K119" s="75"/>
      <c r="L119" s="75"/>
      <c r="M119" s="80"/>
      <c r="N119" s="80"/>
      <c r="O119" s="80"/>
      <c r="P119" s="81" t="str">
        <f>IF(M119="","",'GİDER AYARLARI'!$B$10)</f>
        <v/>
      </c>
      <c r="Q119" s="81" t="str">
        <f ca="1">IF(OR(M119="",J119=""),"",M119*'GİDER AYARLARI'!$B$8*J119/30)</f>
        <v/>
      </c>
      <c r="R119" s="81" t="str">
        <f t="shared" si="6"/>
        <v/>
      </c>
      <c r="S119" s="86" t="str">
        <f t="shared" si="7"/>
        <v/>
      </c>
    </row>
    <row r="120" spans="1:19">
      <c r="A120" s="85" t="str">
        <f t="shared" si="4"/>
        <v/>
      </c>
      <c r="B120" s="75"/>
      <c r="C120" s="78"/>
      <c r="D120" s="79"/>
      <c r="E120" s="75"/>
      <c r="F120" s="75"/>
      <c r="G120" s="75"/>
      <c r="H120" s="75"/>
      <c r="I120" s="77"/>
      <c r="J120" s="76" t="str">
        <f t="shared" ca="1" si="5"/>
        <v/>
      </c>
      <c r="K120" s="75"/>
      <c r="L120" s="75"/>
      <c r="M120" s="80"/>
      <c r="N120" s="80"/>
      <c r="O120" s="80"/>
      <c r="P120" s="81" t="str">
        <f>IF(M120="","",'GİDER AYARLARI'!$B$10)</f>
        <v/>
      </c>
      <c r="Q120" s="81" t="str">
        <f ca="1">IF(OR(M120="",J120=""),"",M120*'GİDER AYARLARI'!$B$8*J120/30)</f>
        <v/>
      </c>
      <c r="R120" s="81" t="str">
        <f t="shared" si="6"/>
        <v/>
      </c>
      <c r="S120" s="86" t="str">
        <f t="shared" si="7"/>
        <v/>
      </c>
    </row>
    <row r="121" spans="1:19">
      <c r="A121" s="85" t="str">
        <f t="shared" si="4"/>
        <v/>
      </c>
      <c r="B121" s="75"/>
      <c r="C121" s="78"/>
      <c r="D121" s="79"/>
      <c r="E121" s="75"/>
      <c r="F121" s="75"/>
      <c r="G121" s="75"/>
      <c r="H121" s="75"/>
      <c r="I121" s="77"/>
      <c r="J121" s="76" t="str">
        <f t="shared" ca="1" si="5"/>
        <v/>
      </c>
      <c r="K121" s="75"/>
      <c r="L121" s="75"/>
      <c r="M121" s="80"/>
      <c r="N121" s="80"/>
      <c r="O121" s="80"/>
      <c r="P121" s="81" t="str">
        <f>IF(M121="","",'GİDER AYARLARI'!$B$10)</f>
        <v/>
      </c>
      <c r="Q121" s="81" t="str">
        <f ca="1">IF(OR(M121="",J121=""),"",M121*'GİDER AYARLARI'!$B$8*J121/30)</f>
        <v/>
      </c>
      <c r="R121" s="81" t="str">
        <f t="shared" si="6"/>
        <v/>
      </c>
      <c r="S121" s="86" t="str">
        <f t="shared" si="7"/>
        <v/>
      </c>
    </row>
    <row r="122" spans="1:19">
      <c r="A122" s="85" t="str">
        <f t="shared" si="4"/>
        <v/>
      </c>
      <c r="B122" s="75"/>
      <c r="C122" s="78"/>
      <c r="D122" s="79"/>
      <c r="E122" s="75"/>
      <c r="F122" s="75"/>
      <c r="G122" s="75"/>
      <c r="H122" s="75"/>
      <c r="I122" s="77"/>
      <c r="J122" s="76" t="str">
        <f t="shared" ca="1" si="5"/>
        <v/>
      </c>
      <c r="K122" s="75"/>
      <c r="L122" s="75"/>
      <c r="M122" s="80"/>
      <c r="N122" s="80"/>
      <c r="O122" s="80"/>
      <c r="P122" s="81" t="str">
        <f>IF(M122="","",'GİDER AYARLARI'!$B$10)</f>
        <v/>
      </c>
      <c r="Q122" s="81" t="str">
        <f ca="1">IF(OR(M122="",J122=""),"",M122*'GİDER AYARLARI'!$B$8*J122/30)</f>
        <v/>
      </c>
      <c r="R122" s="81" t="str">
        <f t="shared" si="6"/>
        <v/>
      </c>
      <c r="S122" s="86" t="str">
        <f t="shared" si="7"/>
        <v/>
      </c>
    </row>
    <row r="123" spans="1:19">
      <c r="A123" s="85" t="str">
        <f t="shared" si="4"/>
        <v/>
      </c>
      <c r="B123" s="75"/>
      <c r="C123" s="78"/>
      <c r="D123" s="79"/>
      <c r="E123" s="75"/>
      <c r="F123" s="75"/>
      <c r="G123" s="75"/>
      <c r="H123" s="75"/>
      <c r="I123" s="77"/>
      <c r="J123" s="76" t="str">
        <f t="shared" ca="1" si="5"/>
        <v/>
      </c>
      <c r="K123" s="75"/>
      <c r="L123" s="75"/>
      <c r="M123" s="80"/>
      <c r="N123" s="80"/>
      <c r="O123" s="80"/>
      <c r="P123" s="81" t="str">
        <f>IF(M123="","",'GİDER AYARLARI'!$B$10)</f>
        <v/>
      </c>
      <c r="Q123" s="81" t="str">
        <f ca="1">IF(OR(M123="",J123=""),"",M123*'GİDER AYARLARI'!$B$8*J123/30)</f>
        <v/>
      </c>
      <c r="R123" s="81" t="str">
        <f t="shared" si="6"/>
        <v/>
      </c>
      <c r="S123" s="86" t="str">
        <f t="shared" si="7"/>
        <v/>
      </c>
    </row>
    <row r="124" spans="1:19">
      <c r="A124" s="85" t="str">
        <f t="shared" si="4"/>
        <v/>
      </c>
      <c r="B124" s="75"/>
      <c r="C124" s="78"/>
      <c r="D124" s="79"/>
      <c r="E124" s="75"/>
      <c r="F124" s="75"/>
      <c r="G124" s="75"/>
      <c r="H124" s="75"/>
      <c r="I124" s="77"/>
      <c r="J124" s="76" t="str">
        <f t="shared" ca="1" si="5"/>
        <v/>
      </c>
      <c r="K124" s="75"/>
      <c r="L124" s="75"/>
      <c r="M124" s="80"/>
      <c r="N124" s="80"/>
      <c r="O124" s="80"/>
      <c r="P124" s="81" t="str">
        <f>IF(M124="","",'GİDER AYARLARI'!$B$10)</f>
        <v/>
      </c>
      <c r="Q124" s="81" t="str">
        <f ca="1">IF(OR(M124="",J124=""),"",M124*'GİDER AYARLARI'!$B$8*J124/30)</f>
        <v/>
      </c>
      <c r="R124" s="81" t="str">
        <f t="shared" si="6"/>
        <v/>
      </c>
      <c r="S124" s="86" t="str">
        <f t="shared" si="7"/>
        <v/>
      </c>
    </row>
    <row r="125" spans="1:19">
      <c r="A125" s="85" t="str">
        <f t="shared" si="4"/>
        <v/>
      </c>
      <c r="B125" s="75"/>
      <c r="C125" s="78"/>
      <c r="D125" s="79"/>
      <c r="E125" s="75"/>
      <c r="F125" s="75"/>
      <c r="G125" s="75"/>
      <c r="H125" s="75"/>
      <c r="I125" s="77"/>
      <c r="J125" s="76" t="str">
        <f t="shared" ca="1" si="5"/>
        <v/>
      </c>
      <c r="K125" s="75"/>
      <c r="L125" s="75"/>
      <c r="M125" s="80"/>
      <c r="N125" s="80"/>
      <c r="O125" s="80"/>
      <c r="P125" s="81" t="str">
        <f>IF(M125="","",'GİDER AYARLARI'!$B$10)</f>
        <v/>
      </c>
      <c r="Q125" s="81" t="str">
        <f ca="1">IF(OR(M125="",J125=""),"",M125*'GİDER AYARLARI'!$B$8*J125/30)</f>
        <v/>
      </c>
      <c r="R125" s="81" t="str">
        <f t="shared" si="6"/>
        <v/>
      </c>
      <c r="S125" s="86" t="str">
        <f t="shared" si="7"/>
        <v/>
      </c>
    </row>
    <row r="126" spans="1:19">
      <c r="A126" s="85" t="str">
        <f t="shared" si="4"/>
        <v/>
      </c>
      <c r="B126" s="75"/>
      <c r="C126" s="78"/>
      <c r="D126" s="79"/>
      <c r="E126" s="75"/>
      <c r="F126" s="75"/>
      <c r="G126" s="75"/>
      <c r="H126" s="75"/>
      <c r="I126" s="77"/>
      <c r="J126" s="76" t="str">
        <f t="shared" ca="1" si="5"/>
        <v/>
      </c>
      <c r="K126" s="75"/>
      <c r="L126" s="75"/>
      <c r="M126" s="80"/>
      <c r="N126" s="80"/>
      <c r="O126" s="80"/>
      <c r="P126" s="81" t="str">
        <f>IF(M126="","",'GİDER AYARLARI'!$B$10)</f>
        <v/>
      </c>
      <c r="Q126" s="81" t="str">
        <f ca="1">IF(OR(M126="",J126=""),"",M126*'GİDER AYARLARI'!$B$8*J126/30)</f>
        <v/>
      </c>
      <c r="R126" s="81" t="str">
        <f t="shared" si="6"/>
        <v/>
      </c>
      <c r="S126" s="86" t="str">
        <f t="shared" si="7"/>
        <v/>
      </c>
    </row>
    <row r="127" spans="1:19">
      <c r="A127" s="85" t="str">
        <f t="shared" si="4"/>
        <v/>
      </c>
      <c r="B127" s="75"/>
      <c r="C127" s="78"/>
      <c r="D127" s="79"/>
      <c r="E127" s="75"/>
      <c r="F127" s="75"/>
      <c r="G127" s="75"/>
      <c r="H127" s="75"/>
      <c r="I127" s="77"/>
      <c r="J127" s="76" t="str">
        <f t="shared" ca="1" si="5"/>
        <v/>
      </c>
      <c r="K127" s="75"/>
      <c r="L127" s="75"/>
      <c r="M127" s="80"/>
      <c r="N127" s="80"/>
      <c r="O127" s="80"/>
      <c r="P127" s="81" t="str">
        <f>IF(M127="","",'GİDER AYARLARI'!$B$10)</f>
        <v/>
      </c>
      <c r="Q127" s="81" t="str">
        <f ca="1">IF(OR(M127="",J127=""),"",M127*'GİDER AYARLARI'!$B$8*J127/30)</f>
        <v/>
      </c>
      <c r="R127" s="81" t="str">
        <f t="shared" si="6"/>
        <v/>
      </c>
      <c r="S127" s="86" t="str">
        <f t="shared" si="7"/>
        <v/>
      </c>
    </row>
    <row r="128" spans="1:19">
      <c r="A128" s="85" t="str">
        <f t="shared" si="4"/>
        <v/>
      </c>
      <c r="B128" s="75"/>
      <c r="C128" s="78"/>
      <c r="D128" s="79"/>
      <c r="E128" s="75"/>
      <c r="F128" s="75"/>
      <c r="G128" s="75"/>
      <c r="H128" s="75"/>
      <c r="I128" s="77"/>
      <c r="J128" s="76" t="str">
        <f t="shared" ca="1" si="5"/>
        <v/>
      </c>
      <c r="K128" s="75"/>
      <c r="L128" s="75"/>
      <c r="M128" s="80"/>
      <c r="N128" s="80"/>
      <c r="O128" s="80"/>
      <c r="P128" s="81" t="str">
        <f>IF(M128="","",'GİDER AYARLARI'!$B$10)</f>
        <v/>
      </c>
      <c r="Q128" s="81" t="str">
        <f ca="1">IF(OR(M128="",J128=""),"",M128*'GİDER AYARLARI'!$B$8*J128/30)</f>
        <v/>
      </c>
      <c r="R128" s="81" t="str">
        <f t="shared" si="6"/>
        <v/>
      </c>
      <c r="S128" s="86" t="str">
        <f t="shared" si="7"/>
        <v/>
      </c>
    </row>
    <row r="129" spans="1:19">
      <c r="A129" s="85" t="str">
        <f t="shared" si="4"/>
        <v/>
      </c>
      <c r="B129" s="75"/>
      <c r="C129" s="78"/>
      <c r="D129" s="79"/>
      <c r="E129" s="75"/>
      <c r="F129" s="75"/>
      <c r="G129" s="75"/>
      <c r="H129" s="75"/>
      <c r="I129" s="77"/>
      <c r="J129" s="76" t="str">
        <f t="shared" ca="1" si="5"/>
        <v/>
      </c>
      <c r="K129" s="75"/>
      <c r="L129" s="75"/>
      <c r="M129" s="80"/>
      <c r="N129" s="80"/>
      <c r="O129" s="80"/>
      <c r="P129" s="81" t="str">
        <f>IF(M129="","",'GİDER AYARLARI'!$B$10)</f>
        <v/>
      </c>
      <c r="Q129" s="81" t="str">
        <f ca="1">IF(OR(M129="",J129=""),"",M129*'GİDER AYARLARI'!$B$8*J129/30)</f>
        <v/>
      </c>
      <c r="R129" s="81" t="str">
        <f t="shared" si="6"/>
        <v/>
      </c>
      <c r="S129" s="86" t="str">
        <f t="shared" si="7"/>
        <v/>
      </c>
    </row>
    <row r="130" spans="1:19">
      <c r="A130" s="85" t="str">
        <f t="shared" si="4"/>
        <v/>
      </c>
      <c r="B130" s="75"/>
      <c r="C130" s="78"/>
      <c r="D130" s="79"/>
      <c r="E130" s="75"/>
      <c r="F130" s="75"/>
      <c r="G130" s="75"/>
      <c r="H130" s="75"/>
      <c r="I130" s="77"/>
      <c r="J130" s="76" t="str">
        <f t="shared" ca="1" si="5"/>
        <v/>
      </c>
      <c r="K130" s="75"/>
      <c r="L130" s="75"/>
      <c r="M130" s="80"/>
      <c r="N130" s="80"/>
      <c r="O130" s="80"/>
      <c r="P130" s="81" t="str">
        <f>IF(M130="","",'GİDER AYARLARI'!$B$10)</f>
        <v/>
      </c>
      <c r="Q130" s="81" t="str">
        <f ca="1">IF(OR(M130="",J130=""),"",M130*'GİDER AYARLARI'!$B$8*J130/30)</f>
        <v/>
      </c>
      <c r="R130" s="81" t="str">
        <f t="shared" si="6"/>
        <v/>
      </c>
      <c r="S130" s="86" t="str">
        <f t="shared" si="7"/>
        <v/>
      </c>
    </row>
    <row r="131" spans="1:19">
      <c r="A131" s="85" t="str">
        <f t="shared" si="4"/>
        <v/>
      </c>
      <c r="B131" s="75"/>
      <c r="C131" s="78"/>
      <c r="D131" s="79"/>
      <c r="E131" s="75"/>
      <c r="F131" s="75"/>
      <c r="G131" s="75"/>
      <c r="H131" s="75"/>
      <c r="I131" s="77"/>
      <c r="J131" s="76" t="str">
        <f t="shared" ca="1" si="5"/>
        <v/>
      </c>
      <c r="K131" s="75"/>
      <c r="L131" s="75"/>
      <c r="M131" s="80"/>
      <c r="N131" s="80"/>
      <c r="O131" s="80"/>
      <c r="P131" s="81" t="str">
        <f>IF(M131="","",'GİDER AYARLARI'!$B$10)</f>
        <v/>
      </c>
      <c r="Q131" s="81" t="str">
        <f ca="1">IF(OR(M131="",J131=""),"",M131*'GİDER AYARLARI'!$B$8*J131/30)</f>
        <v/>
      </c>
      <c r="R131" s="81" t="str">
        <f t="shared" si="6"/>
        <v/>
      </c>
      <c r="S131" s="86" t="str">
        <f t="shared" si="7"/>
        <v/>
      </c>
    </row>
    <row r="132" spans="1:19">
      <c r="A132" s="85" t="str">
        <f t="shared" si="4"/>
        <v/>
      </c>
      <c r="B132" s="75"/>
      <c r="C132" s="78"/>
      <c r="D132" s="79"/>
      <c r="E132" s="75"/>
      <c r="F132" s="75"/>
      <c r="G132" s="75"/>
      <c r="H132" s="75"/>
      <c r="I132" s="77"/>
      <c r="J132" s="76" t="str">
        <f t="shared" ca="1" si="5"/>
        <v/>
      </c>
      <c r="K132" s="75"/>
      <c r="L132" s="75"/>
      <c r="M132" s="80"/>
      <c r="N132" s="80"/>
      <c r="O132" s="80"/>
      <c r="P132" s="81" t="str">
        <f>IF(M132="","",'GİDER AYARLARI'!$B$10)</f>
        <v/>
      </c>
      <c r="Q132" s="81" t="str">
        <f ca="1">IF(OR(M132="",J132=""),"",M132*'GİDER AYARLARI'!$B$8*J132/30)</f>
        <v/>
      </c>
      <c r="R132" s="81" t="str">
        <f t="shared" si="6"/>
        <v/>
      </c>
      <c r="S132" s="86" t="str">
        <f t="shared" si="7"/>
        <v/>
      </c>
    </row>
    <row r="133" spans="1:19">
      <c r="A133" s="85" t="str">
        <f t="shared" si="4"/>
        <v/>
      </c>
      <c r="B133" s="75"/>
      <c r="C133" s="78"/>
      <c r="D133" s="79"/>
      <c r="E133" s="75"/>
      <c r="F133" s="75"/>
      <c r="G133" s="75"/>
      <c r="H133" s="75"/>
      <c r="I133" s="77"/>
      <c r="J133" s="76" t="str">
        <f t="shared" ca="1" si="5"/>
        <v/>
      </c>
      <c r="K133" s="75"/>
      <c r="L133" s="75"/>
      <c r="M133" s="80"/>
      <c r="N133" s="80"/>
      <c r="O133" s="80"/>
      <c r="P133" s="81" t="str">
        <f>IF(M133="","",'GİDER AYARLARI'!$B$10)</f>
        <v/>
      </c>
      <c r="Q133" s="81" t="str">
        <f ca="1">IF(OR(M133="",J133=""),"",M133*'GİDER AYARLARI'!$B$8*J133/30)</f>
        <v/>
      </c>
      <c r="R133" s="81" t="str">
        <f t="shared" si="6"/>
        <v/>
      </c>
      <c r="S133" s="86" t="str">
        <f t="shared" si="7"/>
        <v/>
      </c>
    </row>
    <row r="134" spans="1:19">
      <c r="A134" s="85" t="str">
        <f t="shared" si="4"/>
        <v/>
      </c>
      <c r="B134" s="75"/>
      <c r="C134" s="78"/>
      <c r="D134" s="79"/>
      <c r="E134" s="75"/>
      <c r="F134" s="75"/>
      <c r="G134" s="75"/>
      <c r="H134" s="75"/>
      <c r="I134" s="77"/>
      <c r="J134" s="76" t="str">
        <f t="shared" ca="1" si="5"/>
        <v/>
      </c>
      <c r="K134" s="75"/>
      <c r="L134" s="75"/>
      <c r="M134" s="80"/>
      <c r="N134" s="80"/>
      <c r="O134" s="80"/>
      <c r="P134" s="81" t="str">
        <f>IF(M134="","",'GİDER AYARLARI'!$B$10)</f>
        <v/>
      </c>
      <c r="Q134" s="81" t="str">
        <f ca="1">IF(OR(M134="",J134=""),"",M134*'GİDER AYARLARI'!$B$8*J134/30)</f>
        <v/>
      </c>
      <c r="R134" s="81" t="str">
        <f t="shared" si="6"/>
        <v/>
      </c>
      <c r="S134" s="86" t="str">
        <f t="shared" si="7"/>
        <v/>
      </c>
    </row>
    <row r="135" spans="1:19">
      <c r="A135" s="85" t="str">
        <f t="shared" ref="A135:A198" si="8">IF(B135="","",ROW()-6)</f>
        <v/>
      </c>
      <c r="B135" s="75"/>
      <c r="C135" s="78"/>
      <c r="D135" s="79"/>
      <c r="E135" s="75"/>
      <c r="F135" s="75"/>
      <c r="G135" s="75"/>
      <c r="H135" s="75"/>
      <c r="I135" s="77"/>
      <c r="J135" s="76" t="str">
        <f t="shared" ref="J135:J198" ca="1" si="9">IF(I135="","",MAX(0,TODAY()-I135))</f>
        <v/>
      </c>
      <c r="K135" s="75"/>
      <c r="L135" s="75"/>
      <c r="M135" s="80"/>
      <c r="N135" s="80"/>
      <c r="O135" s="80"/>
      <c r="P135" s="81" t="str">
        <f>IF(M135="","",'GİDER AYARLARI'!$B$10)</f>
        <v/>
      </c>
      <c r="Q135" s="81" t="str">
        <f ca="1">IF(OR(M135="",J135=""),"",M135*'GİDER AYARLARI'!$B$8*J135/30)</f>
        <v/>
      </c>
      <c r="R135" s="81" t="str">
        <f t="shared" ref="R135:R198" si="10">IF(M135="","",M135+P135+Q135)</f>
        <v/>
      </c>
      <c r="S135" s="86" t="str">
        <f t="shared" ref="S135:S198" si="11">IF(OR(N135="",R135=""),"",N135-R135)</f>
        <v/>
      </c>
    </row>
    <row r="136" spans="1:19">
      <c r="A136" s="85" t="str">
        <f t="shared" si="8"/>
        <v/>
      </c>
      <c r="B136" s="75"/>
      <c r="C136" s="78"/>
      <c r="D136" s="79"/>
      <c r="E136" s="75"/>
      <c r="F136" s="75"/>
      <c r="G136" s="75"/>
      <c r="H136" s="75"/>
      <c r="I136" s="77"/>
      <c r="J136" s="76" t="str">
        <f t="shared" ca="1" si="9"/>
        <v/>
      </c>
      <c r="K136" s="75"/>
      <c r="L136" s="75"/>
      <c r="M136" s="80"/>
      <c r="N136" s="80"/>
      <c r="O136" s="80"/>
      <c r="P136" s="81" t="str">
        <f>IF(M136="","",'GİDER AYARLARI'!$B$10)</f>
        <v/>
      </c>
      <c r="Q136" s="81" t="str">
        <f ca="1">IF(OR(M136="",J136=""),"",M136*'GİDER AYARLARI'!$B$8*J136/30)</f>
        <v/>
      </c>
      <c r="R136" s="81" t="str">
        <f t="shared" si="10"/>
        <v/>
      </c>
      <c r="S136" s="86" t="str">
        <f t="shared" si="11"/>
        <v/>
      </c>
    </row>
    <row r="137" spans="1:19">
      <c r="A137" s="85" t="str">
        <f t="shared" si="8"/>
        <v/>
      </c>
      <c r="B137" s="75"/>
      <c r="C137" s="78"/>
      <c r="D137" s="79"/>
      <c r="E137" s="75"/>
      <c r="F137" s="75"/>
      <c r="G137" s="75"/>
      <c r="H137" s="75"/>
      <c r="I137" s="77"/>
      <c r="J137" s="76" t="str">
        <f t="shared" ca="1" si="9"/>
        <v/>
      </c>
      <c r="K137" s="75"/>
      <c r="L137" s="75"/>
      <c r="M137" s="80"/>
      <c r="N137" s="80"/>
      <c r="O137" s="80"/>
      <c r="P137" s="81" t="str">
        <f>IF(M137="","",'GİDER AYARLARI'!$B$10)</f>
        <v/>
      </c>
      <c r="Q137" s="81" t="str">
        <f ca="1">IF(OR(M137="",J137=""),"",M137*'GİDER AYARLARI'!$B$8*J137/30)</f>
        <v/>
      </c>
      <c r="R137" s="81" t="str">
        <f t="shared" si="10"/>
        <v/>
      </c>
      <c r="S137" s="86" t="str">
        <f t="shared" si="11"/>
        <v/>
      </c>
    </row>
    <row r="138" spans="1:19">
      <c r="A138" s="85" t="str">
        <f t="shared" si="8"/>
        <v/>
      </c>
      <c r="B138" s="75"/>
      <c r="C138" s="78"/>
      <c r="D138" s="79"/>
      <c r="E138" s="75"/>
      <c r="F138" s="75"/>
      <c r="G138" s="75"/>
      <c r="H138" s="75"/>
      <c r="I138" s="77"/>
      <c r="J138" s="76" t="str">
        <f t="shared" ca="1" si="9"/>
        <v/>
      </c>
      <c r="K138" s="75"/>
      <c r="L138" s="75"/>
      <c r="M138" s="80"/>
      <c r="N138" s="80"/>
      <c r="O138" s="80"/>
      <c r="P138" s="81" t="str">
        <f>IF(M138="","",'GİDER AYARLARI'!$B$10)</f>
        <v/>
      </c>
      <c r="Q138" s="81" t="str">
        <f ca="1">IF(OR(M138="",J138=""),"",M138*'GİDER AYARLARI'!$B$8*J138/30)</f>
        <v/>
      </c>
      <c r="R138" s="81" t="str">
        <f t="shared" si="10"/>
        <v/>
      </c>
      <c r="S138" s="86" t="str">
        <f t="shared" si="11"/>
        <v/>
      </c>
    </row>
    <row r="139" spans="1:19">
      <c r="A139" s="85" t="str">
        <f t="shared" si="8"/>
        <v/>
      </c>
      <c r="B139" s="75"/>
      <c r="C139" s="78"/>
      <c r="D139" s="79"/>
      <c r="E139" s="75"/>
      <c r="F139" s="75"/>
      <c r="G139" s="75"/>
      <c r="H139" s="75"/>
      <c r="I139" s="77"/>
      <c r="J139" s="76" t="str">
        <f t="shared" ca="1" si="9"/>
        <v/>
      </c>
      <c r="K139" s="75"/>
      <c r="L139" s="75"/>
      <c r="M139" s="80"/>
      <c r="N139" s="80"/>
      <c r="O139" s="80"/>
      <c r="P139" s="81" t="str">
        <f>IF(M139="","",'GİDER AYARLARI'!$B$10)</f>
        <v/>
      </c>
      <c r="Q139" s="81" t="str">
        <f ca="1">IF(OR(M139="",J139=""),"",M139*'GİDER AYARLARI'!$B$8*J139/30)</f>
        <v/>
      </c>
      <c r="R139" s="81" t="str">
        <f t="shared" si="10"/>
        <v/>
      </c>
      <c r="S139" s="86" t="str">
        <f t="shared" si="11"/>
        <v/>
      </c>
    </row>
    <row r="140" spans="1:19">
      <c r="A140" s="85" t="str">
        <f t="shared" si="8"/>
        <v/>
      </c>
      <c r="B140" s="75"/>
      <c r="C140" s="78"/>
      <c r="D140" s="79"/>
      <c r="E140" s="75"/>
      <c r="F140" s="75"/>
      <c r="G140" s="75"/>
      <c r="H140" s="75"/>
      <c r="I140" s="77"/>
      <c r="J140" s="76" t="str">
        <f t="shared" ca="1" si="9"/>
        <v/>
      </c>
      <c r="K140" s="75"/>
      <c r="L140" s="75"/>
      <c r="M140" s="80"/>
      <c r="N140" s="80"/>
      <c r="O140" s="80"/>
      <c r="P140" s="81" t="str">
        <f>IF(M140="","",'GİDER AYARLARI'!$B$10)</f>
        <v/>
      </c>
      <c r="Q140" s="81" t="str">
        <f ca="1">IF(OR(M140="",J140=""),"",M140*'GİDER AYARLARI'!$B$8*J140/30)</f>
        <v/>
      </c>
      <c r="R140" s="81" t="str">
        <f t="shared" si="10"/>
        <v/>
      </c>
      <c r="S140" s="86" t="str">
        <f t="shared" si="11"/>
        <v/>
      </c>
    </row>
    <row r="141" spans="1:19">
      <c r="A141" s="85" t="str">
        <f t="shared" si="8"/>
        <v/>
      </c>
      <c r="B141" s="75"/>
      <c r="C141" s="78"/>
      <c r="D141" s="79"/>
      <c r="E141" s="75"/>
      <c r="F141" s="75"/>
      <c r="G141" s="75"/>
      <c r="H141" s="75"/>
      <c r="I141" s="77"/>
      <c r="J141" s="76" t="str">
        <f t="shared" ca="1" si="9"/>
        <v/>
      </c>
      <c r="K141" s="75"/>
      <c r="L141" s="75"/>
      <c r="M141" s="80"/>
      <c r="N141" s="80"/>
      <c r="O141" s="80"/>
      <c r="P141" s="81" t="str">
        <f>IF(M141="","",'GİDER AYARLARI'!$B$10)</f>
        <v/>
      </c>
      <c r="Q141" s="81" t="str">
        <f ca="1">IF(OR(M141="",J141=""),"",M141*'GİDER AYARLARI'!$B$8*J141/30)</f>
        <v/>
      </c>
      <c r="R141" s="81" t="str">
        <f t="shared" si="10"/>
        <v/>
      </c>
      <c r="S141" s="86" t="str">
        <f t="shared" si="11"/>
        <v/>
      </c>
    </row>
    <row r="142" spans="1:19">
      <c r="A142" s="85" t="str">
        <f t="shared" si="8"/>
        <v/>
      </c>
      <c r="B142" s="75"/>
      <c r="C142" s="78"/>
      <c r="D142" s="79"/>
      <c r="E142" s="75"/>
      <c r="F142" s="75"/>
      <c r="G142" s="75"/>
      <c r="H142" s="75"/>
      <c r="I142" s="77"/>
      <c r="J142" s="76" t="str">
        <f t="shared" ca="1" si="9"/>
        <v/>
      </c>
      <c r="K142" s="75"/>
      <c r="L142" s="75"/>
      <c r="M142" s="80"/>
      <c r="N142" s="80"/>
      <c r="O142" s="80"/>
      <c r="P142" s="81" t="str">
        <f>IF(M142="","",'GİDER AYARLARI'!$B$10)</f>
        <v/>
      </c>
      <c r="Q142" s="81" t="str">
        <f ca="1">IF(OR(M142="",J142=""),"",M142*'GİDER AYARLARI'!$B$8*J142/30)</f>
        <v/>
      </c>
      <c r="R142" s="81" t="str">
        <f t="shared" si="10"/>
        <v/>
      </c>
      <c r="S142" s="86" t="str">
        <f t="shared" si="11"/>
        <v/>
      </c>
    </row>
    <row r="143" spans="1:19">
      <c r="A143" s="85" t="str">
        <f t="shared" si="8"/>
        <v/>
      </c>
      <c r="B143" s="75"/>
      <c r="C143" s="78"/>
      <c r="D143" s="79"/>
      <c r="E143" s="75"/>
      <c r="F143" s="75"/>
      <c r="G143" s="75"/>
      <c r="H143" s="75"/>
      <c r="I143" s="77"/>
      <c r="J143" s="76" t="str">
        <f t="shared" ca="1" si="9"/>
        <v/>
      </c>
      <c r="K143" s="75"/>
      <c r="L143" s="75"/>
      <c r="M143" s="80"/>
      <c r="N143" s="80"/>
      <c r="O143" s="80"/>
      <c r="P143" s="81" t="str">
        <f>IF(M143="","",'GİDER AYARLARI'!$B$10)</f>
        <v/>
      </c>
      <c r="Q143" s="81" t="str">
        <f ca="1">IF(OR(M143="",J143=""),"",M143*'GİDER AYARLARI'!$B$8*J143/30)</f>
        <v/>
      </c>
      <c r="R143" s="81" t="str">
        <f t="shared" si="10"/>
        <v/>
      </c>
      <c r="S143" s="86" t="str">
        <f t="shared" si="11"/>
        <v/>
      </c>
    </row>
    <row r="144" spans="1:19">
      <c r="A144" s="85" t="str">
        <f t="shared" si="8"/>
        <v/>
      </c>
      <c r="B144" s="75"/>
      <c r="C144" s="78"/>
      <c r="D144" s="79"/>
      <c r="E144" s="75"/>
      <c r="F144" s="75"/>
      <c r="G144" s="75"/>
      <c r="H144" s="75"/>
      <c r="I144" s="77"/>
      <c r="J144" s="76" t="str">
        <f t="shared" ca="1" si="9"/>
        <v/>
      </c>
      <c r="K144" s="75"/>
      <c r="L144" s="75"/>
      <c r="M144" s="80"/>
      <c r="N144" s="80"/>
      <c r="O144" s="80"/>
      <c r="P144" s="81" t="str">
        <f>IF(M144="","",'GİDER AYARLARI'!$B$10)</f>
        <v/>
      </c>
      <c r="Q144" s="81" t="str">
        <f ca="1">IF(OR(M144="",J144=""),"",M144*'GİDER AYARLARI'!$B$8*J144/30)</f>
        <v/>
      </c>
      <c r="R144" s="81" t="str">
        <f t="shared" si="10"/>
        <v/>
      </c>
      <c r="S144" s="86" t="str">
        <f t="shared" si="11"/>
        <v/>
      </c>
    </row>
    <row r="145" spans="1:19">
      <c r="A145" s="85" t="str">
        <f t="shared" si="8"/>
        <v/>
      </c>
      <c r="B145" s="75"/>
      <c r="C145" s="78"/>
      <c r="D145" s="79"/>
      <c r="E145" s="75"/>
      <c r="F145" s="75"/>
      <c r="G145" s="75"/>
      <c r="H145" s="75"/>
      <c r="I145" s="77"/>
      <c r="J145" s="76" t="str">
        <f t="shared" ca="1" si="9"/>
        <v/>
      </c>
      <c r="K145" s="75"/>
      <c r="L145" s="75"/>
      <c r="M145" s="80"/>
      <c r="N145" s="80"/>
      <c r="O145" s="80"/>
      <c r="P145" s="81" t="str">
        <f>IF(M145="","",'GİDER AYARLARI'!$B$10)</f>
        <v/>
      </c>
      <c r="Q145" s="81" t="str">
        <f ca="1">IF(OR(M145="",J145=""),"",M145*'GİDER AYARLARI'!$B$8*J145/30)</f>
        <v/>
      </c>
      <c r="R145" s="81" t="str">
        <f t="shared" si="10"/>
        <v/>
      </c>
      <c r="S145" s="86" t="str">
        <f t="shared" si="11"/>
        <v/>
      </c>
    </row>
    <row r="146" spans="1:19">
      <c r="A146" s="85" t="str">
        <f t="shared" si="8"/>
        <v/>
      </c>
      <c r="B146" s="75"/>
      <c r="C146" s="78"/>
      <c r="D146" s="79"/>
      <c r="E146" s="75"/>
      <c r="F146" s="75"/>
      <c r="G146" s="75"/>
      <c r="H146" s="75"/>
      <c r="I146" s="77"/>
      <c r="J146" s="76" t="str">
        <f t="shared" ca="1" si="9"/>
        <v/>
      </c>
      <c r="K146" s="75"/>
      <c r="L146" s="75"/>
      <c r="M146" s="80"/>
      <c r="N146" s="80"/>
      <c r="O146" s="80"/>
      <c r="P146" s="81" t="str">
        <f>IF(M146="","",'GİDER AYARLARI'!$B$10)</f>
        <v/>
      </c>
      <c r="Q146" s="81" t="str">
        <f ca="1">IF(OR(M146="",J146=""),"",M146*'GİDER AYARLARI'!$B$8*J146/30)</f>
        <v/>
      </c>
      <c r="R146" s="81" t="str">
        <f t="shared" si="10"/>
        <v/>
      </c>
      <c r="S146" s="86" t="str">
        <f t="shared" si="11"/>
        <v/>
      </c>
    </row>
    <row r="147" spans="1:19">
      <c r="A147" s="85" t="str">
        <f t="shared" si="8"/>
        <v/>
      </c>
      <c r="B147" s="75"/>
      <c r="C147" s="78"/>
      <c r="D147" s="79"/>
      <c r="E147" s="75"/>
      <c r="F147" s="75"/>
      <c r="G147" s="75"/>
      <c r="H147" s="75"/>
      <c r="I147" s="77"/>
      <c r="J147" s="76" t="str">
        <f t="shared" ca="1" si="9"/>
        <v/>
      </c>
      <c r="K147" s="75"/>
      <c r="L147" s="75"/>
      <c r="M147" s="80"/>
      <c r="N147" s="80"/>
      <c r="O147" s="80"/>
      <c r="P147" s="81" t="str">
        <f>IF(M147="","",'GİDER AYARLARI'!$B$10)</f>
        <v/>
      </c>
      <c r="Q147" s="81" t="str">
        <f ca="1">IF(OR(M147="",J147=""),"",M147*'GİDER AYARLARI'!$B$8*J147/30)</f>
        <v/>
      </c>
      <c r="R147" s="81" t="str">
        <f t="shared" si="10"/>
        <v/>
      </c>
      <c r="S147" s="86" t="str">
        <f t="shared" si="11"/>
        <v/>
      </c>
    </row>
    <row r="148" spans="1:19">
      <c r="A148" s="85" t="str">
        <f t="shared" si="8"/>
        <v/>
      </c>
      <c r="B148" s="75"/>
      <c r="C148" s="78"/>
      <c r="D148" s="79"/>
      <c r="E148" s="75"/>
      <c r="F148" s="75"/>
      <c r="G148" s="75"/>
      <c r="H148" s="75"/>
      <c r="I148" s="77"/>
      <c r="J148" s="76" t="str">
        <f t="shared" ca="1" si="9"/>
        <v/>
      </c>
      <c r="K148" s="75"/>
      <c r="L148" s="75"/>
      <c r="M148" s="80"/>
      <c r="N148" s="80"/>
      <c r="O148" s="80"/>
      <c r="P148" s="81" t="str">
        <f>IF(M148="","",'GİDER AYARLARI'!$B$10)</f>
        <v/>
      </c>
      <c r="Q148" s="81" t="str">
        <f ca="1">IF(OR(M148="",J148=""),"",M148*'GİDER AYARLARI'!$B$8*J148/30)</f>
        <v/>
      </c>
      <c r="R148" s="81" t="str">
        <f t="shared" si="10"/>
        <v/>
      </c>
      <c r="S148" s="86" t="str">
        <f t="shared" si="11"/>
        <v/>
      </c>
    </row>
    <row r="149" spans="1:19">
      <c r="A149" s="85" t="str">
        <f t="shared" si="8"/>
        <v/>
      </c>
      <c r="B149" s="75"/>
      <c r="C149" s="78"/>
      <c r="D149" s="79"/>
      <c r="E149" s="75"/>
      <c r="F149" s="75"/>
      <c r="G149" s="75"/>
      <c r="H149" s="75"/>
      <c r="I149" s="77"/>
      <c r="J149" s="76" t="str">
        <f t="shared" ca="1" si="9"/>
        <v/>
      </c>
      <c r="K149" s="75"/>
      <c r="L149" s="75"/>
      <c r="M149" s="80"/>
      <c r="N149" s="80"/>
      <c r="O149" s="80"/>
      <c r="P149" s="81" t="str">
        <f>IF(M149="","",'GİDER AYARLARI'!$B$10)</f>
        <v/>
      </c>
      <c r="Q149" s="81" t="str">
        <f ca="1">IF(OR(M149="",J149=""),"",M149*'GİDER AYARLARI'!$B$8*J149/30)</f>
        <v/>
      </c>
      <c r="R149" s="81" t="str">
        <f t="shared" si="10"/>
        <v/>
      </c>
      <c r="S149" s="86" t="str">
        <f t="shared" si="11"/>
        <v/>
      </c>
    </row>
    <row r="150" spans="1:19">
      <c r="A150" s="85" t="str">
        <f t="shared" si="8"/>
        <v/>
      </c>
      <c r="B150" s="75"/>
      <c r="C150" s="78"/>
      <c r="D150" s="79"/>
      <c r="E150" s="75"/>
      <c r="F150" s="75"/>
      <c r="G150" s="75"/>
      <c r="H150" s="75"/>
      <c r="I150" s="77"/>
      <c r="J150" s="76" t="str">
        <f t="shared" ca="1" si="9"/>
        <v/>
      </c>
      <c r="K150" s="75"/>
      <c r="L150" s="75"/>
      <c r="M150" s="80"/>
      <c r="N150" s="80"/>
      <c r="O150" s="80"/>
      <c r="P150" s="81" t="str">
        <f>IF(M150="","",'GİDER AYARLARI'!$B$10)</f>
        <v/>
      </c>
      <c r="Q150" s="81" t="str">
        <f ca="1">IF(OR(M150="",J150=""),"",M150*'GİDER AYARLARI'!$B$8*J150/30)</f>
        <v/>
      </c>
      <c r="R150" s="81" t="str">
        <f t="shared" si="10"/>
        <v/>
      </c>
      <c r="S150" s="86" t="str">
        <f t="shared" si="11"/>
        <v/>
      </c>
    </row>
    <row r="151" spans="1:19">
      <c r="A151" s="85" t="str">
        <f t="shared" si="8"/>
        <v/>
      </c>
      <c r="B151" s="75"/>
      <c r="C151" s="78"/>
      <c r="D151" s="79"/>
      <c r="E151" s="75"/>
      <c r="F151" s="75"/>
      <c r="G151" s="75"/>
      <c r="H151" s="75"/>
      <c r="I151" s="77"/>
      <c r="J151" s="76" t="str">
        <f t="shared" ca="1" si="9"/>
        <v/>
      </c>
      <c r="K151" s="75"/>
      <c r="L151" s="75"/>
      <c r="M151" s="80"/>
      <c r="N151" s="80"/>
      <c r="O151" s="80"/>
      <c r="P151" s="81" t="str">
        <f>IF(M151="","",'GİDER AYARLARI'!$B$10)</f>
        <v/>
      </c>
      <c r="Q151" s="81" t="str">
        <f ca="1">IF(OR(M151="",J151=""),"",M151*'GİDER AYARLARI'!$B$8*J151/30)</f>
        <v/>
      </c>
      <c r="R151" s="81" t="str">
        <f t="shared" si="10"/>
        <v/>
      </c>
      <c r="S151" s="86" t="str">
        <f t="shared" si="11"/>
        <v/>
      </c>
    </row>
    <row r="152" spans="1:19">
      <c r="A152" s="85" t="str">
        <f t="shared" si="8"/>
        <v/>
      </c>
      <c r="B152" s="75"/>
      <c r="C152" s="78"/>
      <c r="D152" s="79"/>
      <c r="E152" s="75"/>
      <c r="F152" s="75"/>
      <c r="G152" s="75"/>
      <c r="H152" s="75"/>
      <c r="I152" s="77"/>
      <c r="J152" s="76" t="str">
        <f t="shared" ca="1" si="9"/>
        <v/>
      </c>
      <c r="K152" s="75"/>
      <c r="L152" s="75"/>
      <c r="M152" s="80"/>
      <c r="N152" s="80"/>
      <c r="O152" s="80"/>
      <c r="P152" s="81" t="str">
        <f>IF(M152="","",'GİDER AYARLARI'!$B$10)</f>
        <v/>
      </c>
      <c r="Q152" s="81" t="str">
        <f ca="1">IF(OR(M152="",J152=""),"",M152*'GİDER AYARLARI'!$B$8*J152/30)</f>
        <v/>
      </c>
      <c r="R152" s="81" t="str">
        <f t="shared" si="10"/>
        <v/>
      </c>
      <c r="S152" s="86" t="str">
        <f t="shared" si="11"/>
        <v/>
      </c>
    </row>
    <row r="153" spans="1:19">
      <c r="A153" s="85" t="str">
        <f t="shared" si="8"/>
        <v/>
      </c>
      <c r="B153" s="75"/>
      <c r="C153" s="78"/>
      <c r="D153" s="79"/>
      <c r="E153" s="75"/>
      <c r="F153" s="75"/>
      <c r="G153" s="75"/>
      <c r="H153" s="75"/>
      <c r="I153" s="77"/>
      <c r="J153" s="76" t="str">
        <f t="shared" ca="1" si="9"/>
        <v/>
      </c>
      <c r="K153" s="75"/>
      <c r="L153" s="75"/>
      <c r="M153" s="80"/>
      <c r="N153" s="80"/>
      <c r="O153" s="80"/>
      <c r="P153" s="81" t="str">
        <f>IF(M153="","",'GİDER AYARLARI'!$B$10)</f>
        <v/>
      </c>
      <c r="Q153" s="81" t="str">
        <f ca="1">IF(OR(M153="",J153=""),"",M153*'GİDER AYARLARI'!$B$8*J153/30)</f>
        <v/>
      </c>
      <c r="R153" s="81" t="str">
        <f t="shared" si="10"/>
        <v/>
      </c>
      <c r="S153" s="86" t="str">
        <f t="shared" si="11"/>
        <v/>
      </c>
    </row>
    <row r="154" spans="1:19">
      <c r="A154" s="85" t="str">
        <f t="shared" si="8"/>
        <v/>
      </c>
      <c r="B154" s="75"/>
      <c r="C154" s="78"/>
      <c r="D154" s="79"/>
      <c r="E154" s="75"/>
      <c r="F154" s="75"/>
      <c r="G154" s="75"/>
      <c r="H154" s="75"/>
      <c r="I154" s="77"/>
      <c r="J154" s="76" t="str">
        <f t="shared" ca="1" si="9"/>
        <v/>
      </c>
      <c r="K154" s="75"/>
      <c r="L154" s="75"/>
      <c r="M154" s="80"/>
      <c r="N154" s="80"/>
      <c r="O154" s="80"/>
      <c r="P154" s="81" t="str">
        <f>IF(M154="","",'GİDER AYARLARI'!$B$10)</f>
        <v/>
      </c>
      <c r="Q154" s="81" t="str">
        <f ca="1">IF(OR(M154="",J154=""),"",M154*'GİDER AYARLARI'!$B$8*J154/30)</f>
        <v/>
      </c>
      <c r="R154" s="81" t="str">
        <f t="shared" si="10"/>
        <v/>
      </c>
      <c r="S154" s="86" t="str">
        <f t="shared" si="11"/>
        <v/>
      </c>
    </row>
    <row r="155" spans="1:19">
      <c r="A155" s="85" t="str">
        <f t="shared" si="8"/>
        <v/>
      </c>
      <c r="B155" s="75"/>
      <c r="C155" s="78"/>
      <c r="D155" s="79"/>
      <c r="E155" s="75"/>
      <c r="F155" s="75"/>
      <c r="G155" s="75"/>
      <c r="H155" s="75"/>
      <c r="I155" s="77"/>
      <c r="J155" s="76" t="str">
        <f t="shared" ca="1" si="9"/>
        <v/>
      </c>
      <c r="K155" s="75"/>
      <c r="L155" s="75"/>
      <c r="M155" s="80"/>
      <c r="N155" s="80"/>
      <c r="O155" s="80"/>
      <c r="P155" s="81" t="str">
        <f>IF(M155="","",'GİDER AYARLARI'!$B$10)</f>
        <v/>
      </c>
      <c r="Q155" s="81" t="str">
        <f ca="1">IF(OR(M155="",J155=""),"",M155*'GİDER AYARLARI'!$B$8*J155/30)</f>
        <v/>
      </c>
      <c r="R155" s="81" t="str">
        <f t="shared" si="10"/>
        <v/>
      </c>
      <c r="S155" s="86" t="str">
        <f t="shared" si="11"/>
        <v/>
      </c>
    </row>
    <row r="156" spans="1:19">
      <c r="A156" s="85" t="str">
        <f t="shared" si="8"/>
        <v/>
      </c>
      <c r="B156" s="75"/>
      <c r="C156" s="78"/>
      <c r="D156" s="79"/>
      <c r="E156" s="75"/>
      <c r="F156" s="75"/>
      <c r="G156" s="75"/>
      <c r="H156" s="75"/>
      <c r="I156" s="77"/>
      <c r="J156" s="76" t="str">
        <f t="shared" ca="1" si="9"/>
        <v/>
      </c>
      <c r="K156" s="75"/>
      <c r="L156" s="75"/>
      <c r="M156" s="80"/>
      <c r="N156" s="80"/>
      <c r="O156" s="80"/>
      <c r="P156" s="81" t="str">
        <f>IF(M156="","",'GİDER AYARLARI'!$B$10)</f>
        <v/>
      </c>
      <c r="Q156" s="81" t="str">
        <f ca="1">IF(OR(M156="",J156=""),"",M156*'GİDER AYARLARI'!$B$8*J156/30)</f>
        <v/>
      </c>
      <c r="R156" s="81" t="str">
        <f t="shared" si="10"/>
        <v/>
      </c>
      <c r="S156" s="86" t="str">
        <f t="shared" si="11"/>
        <v/>
      </c>
    </row>
    <row r="157" spans="1:19">
      <c r="A157" s="85" t="str">
        <f t="shared" si="8"/>
        <v/>
      </c>
      <c r="B157" s="75"/>
      <c r="C157" s="78"/>
      <c r="D157" s="79"/>
      <c r="E157" s="75"/>
      <c r="F157" s="75"/>
      <c r="G157" s="75"/>
      <c r="H157" s="75"/>
      <c r="I157" s="77"/>
      <c r="J157" s="76" t="str">
        <f t="shared" ca="1" si="9"/>
        <v/>
      </c>
      <c r="K157" s="75"/>
      <c r="L157" s="75"/>
      <c r="M157" s="80"/>
      <c r="N157" s="80"/>
      <c r="O157" s="80"/>
      <c r="P157" s="81" t="str">
        <f>IF(M157="","",'GİDER AYARLARI'!$B$10)</f>
        <v/>
      </c>
      <c r="Q157" s="81" t="str">
        <f ca="1">IF(OR(M157="",J157=""),"",M157*'GİDER AYARLARI'!$B$8*J157/30)</f>
        <v/>
      </c>
      <c r="R157" s="81" t="str">
        <f t="shared" si="10"/>
        <v/>
      </c>
      <c r="S157" s="86" t="str">
        <f t="shared" si="11"/>
        <v/>
      </c>
    </row>
    <row r="158" spans="1:19">
      <c r="A158" s="85" t="str">
        <f t="shared" si="8"/>
        <v/>
      </c>
      <c r="B158" s="75"/>
      <c r="C158" s="78"/>
      <c r="D158" s="79"/>
      <c r="E158" s="75"/>
      <c r="F158" s="75"/>
      <c r="G158" s="75"/>
      <c r="H158" s="75"/>
      <c r="I158" s="77"/>
      <c r="J158" s="76" t="str">
        <f t="shared" ca="1" si="9"/>
        <v/>
      </c>
      <c r="K158" s="75"/>
      <c r="L158" s="75"/>
      <c r="M158" s="80"/>
      <c r="N158" s="80"/>
      <c r="O158" s="80"/>
      <c r="P158" s="81" t="str">
        <f>IF(M158="","",'GİDER AYARLARI'!$B$10)</f>
        <v/>
      </c>
      <c r="Q158" s="81" t="str">
        <f ca="1">IF(OR(M158="",J158=""),"",M158*'GİDER AYARLARI'!$B$8*J158/30)</f>
        <v/>
      </c>
      <c r="R158" s="81" t="str">
        <f t="shared" si="10"/>
        <v/>
      </c>
      <c r="S158" s="86" t="str">
        <f t="shared" si="11"/>
        <v/>
      </c>
    </row>
    <row r="159" spans="1:19">
      <c r="A159" s="85" t="str">
        <f t="shared" si="8"/>
        <v/>
      </c>
      <c r="B159" s="75"/>
      <c r="C159" s="78"/>
      <c r="D159" s="79"/>
      <c r="E159" s="75"/>
      <c r="F159" s="75"/>
      <c r="G159" s="75"/>
      <c r="H159" s="75"/>
      <c r="I159" s="77"/>
      <c r="J159" s="76" t="str">
        <f t="shared" ca="1" si="9"/>
        <v/>
      </c>
      <c r="K159" s="75"/>
      <c r="L159" s="75"/>
      <c r="M159" s="80"/>
      <c r="N159" s="80"/>
      <c r="O159" s="80"/>
      <c r="P159" s="81" t="str">
        <f>IF(M159="","",'GİDER AYARLARI'!$B$10)</f>
        <v/>
      </c>
      <c r="Q159" s="81" t="str">
        <f ca="1">IF(OR(M159="",J159=""),"",M159*'GİDER AYARLARI'!$B$8*J159/30)</f>
        <v/>
      </c>
      <c r="R159" s="81" t="str">
        <f t="shared" si="10"/>
        <v/>
      </c>
      <c r="S159" s="86" t="str">
        <f t="shared" si="11"/>
        <v/>
      </c>
    </row>
    <row r="160" spans="1:19">
      <c r="A160" s="85" t="str">
        <f t="shared" si="8"/>
        <v/>
      </c>
      <c r="B160" s="75"/>
      <c r="C160" s="78"/>
      <c r="D160" s="79"/>
      <c r="E160" s="75"/>
      <c r="F160" s="75"/>
      <c r="G160" s="75"/>
      <c r="H160" s="75"/>
      <c r="I160" s="77"/>
      <c r="J160" s="76" t="str">
        <f t="shared" ca="1" si="9"/>
        <v/>
      </c>
      <c r="K160" s="75"/>
      <c r="L160" s="75"/>
      <c r="M160" s="80"/>
      <c r="N160" s="80"/>
      <c r="O160" s="80"/>
      <c r="P160" s="81" t="str">
        <f>IF(M160="","",'GİDER AYARLARI'!$B$10)</f>
        <v/>
      </c>
      <c r="Q160" s="81" t="str">
        <f ca="1">IF(OR(M160="",J160=""),"",M160*'GİDER AYARLARI'!$B$8*J160/30)</f>
        <v/>
      </c>
      <c r="R160" s="81" t="str">
        <f t="shared" si="10"/>
        <v/>
      </c>
      <c r="S160" s="86" t="str">
        <f t="shared" si="11"/>
        <v/>
      </c>
    </row>
    <row r="161" spans="1:19">
      <c r="A161" s="85" t="str">
        <f t="shared" si="8"/>
        <v/>
      </c>
      <c r="B161" s="75"/>
      <c r="C161" s="78"/>
      <c r="D161" s="79"/>
      <c r="E161" s="75"/>
      <c r="F161" s="75"/>
      <c r="G161" s="75"/>
      <c r="H161" s="75"/>
      <c r="I161" s="77"/>
      <c r="J161" s="76" t="str">
        <f t="shared" ca="1" si="9"/>
        <v/>
      </c>
      <c r="K161" s="75"/>
      <c r="L161" s="75"/>
      <c r="M161" s="80"/>
      <c r="N161" s="80"/>
      <c r="O161" s="80"/>
      <c r="P161" s="81" t="str">
        <f>IF(M161="","",'GİDER AYARLARI'!$B$10)</f>
        <v/>
      </c>
      <c r="Q161" s="81" t="str">
        <f ca="1">IF(OR(M161="",J161=""),"",M161*'GİDER AYARLARI'!$B$8*J161/30)</f>
        <v/>
      </c>
      <c r="R161" s="81" t="str">
        <f t="shared" si="10"/>
        <v/>
      </c>
      <c r="S161" s="86" t="str">
        <f t="shared" si="11"/>
        <v/>
      </c>
    </row>
    <row r="162" spans="1:19">
      <c r="A162" s="85" t="str">
        <f t="shared" si="8"/>
        <v/>
      </c>
      <c r="B162" s="75"/>
      <c r="C162" s="78"/>
      <c r="D162" s="79"/>
      <c r="E162" s="75"/>
      <c r="F162" s="75"/>
      <c r="G162" s="75"/>
      <c r="H162" s="75"/>
      <c r="I162" s="77"/>
      <c r="J162" s="76" t="str">
        <f t="shared" ca="1" si="9"/>
        <v/>
      </c>
      <c r="K162" s="75"/>
      <c r="L162" s="75"/>
      <c r="M162" s="80"/>
      <c r="N162" s="80"/>
      <c r="O162" s="80"/>
      <c r="P162" s="81" t="str">
        <f>IF(M162="","",'GİDER AYARLARI'!$B$10)</f>
        <v/>
      </c>
      <c r="Q162" s="81" t="str">
        <f ca="1">IF(OR(M162="",J162=""),"",M162*'GİDER AYARLARI'!$B$8*J162/30)</f>
        <v/>
      </c>
      <c r="R162" s="81" t="str">
        <f t="shared" si="10"/>
        <v/>
      </c>
      <c r="S162" s="86" t="str">
        <f t="shared" si="11"/>
        <v/>
      </c>
    </row>
    <row r="163" spans="1:19">
      <c r="A163" s="85" t="str">
        <f t="shared" si="8"/>
        <v/>
      </c>
      <c r="B163" s="75"/>
      <c r="C163" s="78"/>
      <c r="D163" s="79"/>
      <c r="E163" s="75"/>
      <c r="F163" s="75"/>
      <c r="G163" s="75"/>
      <c r="H163" s="75"/>
      <c r="I163" s="77"/>
      <c r="J163" s="76" t="str">
        <f t="shared" ca="1" si="9"/>
        <v/>
      </c>
      <c r="K163" s="75"/>
      <c r="L163" s="75"/>
      <c r="M163" s="80"/>
      <c r="N163" s="80"/>
      <c r="O163" s="80"/>
      <c r="P163" s="81" t="str">
        <f>IF(M163="","",'GİDER AYARLARI'!$B$10)</f>
        <v/>
      </c>
      <c r="Q163" s="81" t="str">
        <f ca="1">IF(OR(M163="",J163=""),"",M163*'GİDER AYARLARI'!$B$8*J163/30)</f>
        <v/>
      </c>
      <c r="R163" s="81" t="str">
        <f t="shared" si="10"/>
        <v/>
      </c>
      <c r="S163" s="86" t="str">
        <f t="shared" si="11"/>
        <v/>
      </c>
    </row>
    <row r="164" spans="1:19">
      <c r="A164" s="85" t="str">
        <f t="shared" si="8"/>
        <v/>
      </c>
      <c r="B164" s="75"/>
      <c r="C164" s="78"/>
      <c r="D164" s="79"/>
      <c r="E164" s="75"/>
      <c r="F164" s="75"/>
      <c r="G164" s="75"/>
      <c r="H164" s="75"/>
      <c r="I164" s="77"/>
      <c r="J164" s="76" t="str">
        <f t="shared" ca="1" si="9"/>
        <v/>
      </c>
      <c r="K164" s="75"/>
      <c r="L164" s="75"/>
      <c r="M164" s="80"/>
      <c r="N164" s="80"/>
      <c r="O164" s="80"/>
      <c r="P164" s="81" t="str">
        <f>IF(M164="","",'GİDER AYARLARI'!$B$10)</f>
        <v/>
      </c>
      <c r="Q164" s="81" t="str">
        <f ca="1">IF(OR(M164="",J164=""),"",M164*'GİDER AYARLARI'!$B$8*J164/30)</f>
        <v/>
      </c>
      <c r="R164" s="81" t="str">
        <f t="shared" si="10"/>
        <v/>
      </c>
      <c r="S164" s="86" t="str">
        <f t="shared" si="11"/>
        <v/>
      </c>
    </row>
    <row r="165" spans="1:19">
      <c r="A165" s="85" t="str">
        <f t="shared" si="8"/>
        <v/>
      </c>
      <c r="B165" s="75"/>
      <c r="C165" s="78"/>
      <c r="D165" s="79"/>
      <c r="E165" s="75"/>
      <c r="F165" s="75"/>
      <c r="G165" s="75"/>
      <c r="H165" s="75"/>
      <c r="I165" s="77"/>
      <c r="J165" s="76" t="str">
        <f t="shared" ca="1" si="9"/>
        <v/>
      </c>
      <c r="K165" s="75"/>
      <c r="L165" s="75"/>
      <c r="M165" s="80"/>
      <c r="N165" s="80"/>
      <c r="O165" s="80"/>
      <c r="P165" s="81" t="str">
        <f>IF(M165="","",'GİDER AYARLARI'!$B$10)</f>
        <v/>
      </c>
      <c r="Q165" s="81" t="str">
        <f ca="1">IF(OR(M165="",J165=""),"",M165*'GİDER AYARLARI'!$B$8*J165/30)</f>
        <v/>
      </c>
      <c r="R165" s="81" t="str">
        <f t="shared" si="10"/>
        <v/>
      </c>
      <c r="S165" s="86" t="str">
        <f t="shared" si="11"/>
        <v/>
      </c>
    </row>
    <row r="166" spans="1:19">
      <c r="A166" s="85" t="str">
        <f t="shared" si="8"/>
        <v/>
      </c>
      <c r="B166" s="75"/>
      <c r="C166" s="78"/>
      <c r="D166" s="79"/>
      <c r="E166" s="75"/>
      <c r="F166" s="75"/>
      <c r="G166" s="75"/>
      <c r="H166" s="75"/>
      <c r="I166" s="77"/>
      <c r="J166" s="76" t="str">
        <f t="shared" ca="1" si="9"/>
        <v/>
      </c>
      <c r="K166" s="75"/>
      <c r="L166" s="75"/>
      <c r="M166" s="80"/>
      <c r="N166" s="80"/>
      <c r="O166" s="80"/>
      <c r="P166" s="81" t="str">
        <f>IF(M166="","",'GİDER AYARLARI'!$B$10)</f>
        <v/>
      </c>
      <c r="Q166" s="81" t="str">
        <f ca="1">IF(OR(M166="",J166=""),"",M166*'GİDER AYARLARI'!$B$8*J166/30)</f>
        <v/>
      </c>
      <c r="R166" s="81" t="str">
        <f t="shared" si="10"/>
        <v/>
      </c>
      <c r="S166" s="86" t="str">
        <f t="shared" si="11"/>
        <v/>
      </c>
    </row>
    <row r="167" spans="1:19">
      <c r="A167" s="85" t="str">
        <f t="shared" si="8"/>
        <v/>
      </c>
      <c r="B167" s="75"/>
      <c r="C167" s="78"/>
      <c r="D167" s="79"/>
      <c r="E167" s="75"/>
      <c r="F167" s="75"/>
      <c r="G167" s="75"/>
      <c r="H167" s="75"/>
      <c r="I167" s="77"/>
      <c r="J167" s="76" t="str">
        <f t="shared" ca="1" si="9"/>
        <v/>
      </c>
      <c r="K167" s="75"/>
      <c r="L167" s="75"/>
      <c r="M167" s="80"/>
      <c r="N167" s="80"/>
      <c r="O167" s="80"/>
      <c r="P167" s="81" t="str">
        <f>IF(M167="","",'GİDER AYARLARI'!$B$10)</f>
        <v/>
      </c>
      <c r="Q167" s="81" t="str">
        <f ca="1">IF(OR(M167="",J167=""),"",M167*'GİDER AYARLARI'!$B$8*J167/30)</f>
        <v/>
      </c>
      <c r="R167" s="81" t="str">
        <f t="shared" si="10"/>
        <v/>
      </c>
      <c r="S167" s="86" t="str">
        <f t="shared" si="11"/>
        <v/>
      </c>
    </row>
    <row r="168" spans="1:19">
      <c r="A168" s="85" t="str">
        <f t="shared" si="8"/>
        <v/>
      </c>
      <c r="B168" s="75"/>
      <c r="C168" s="78"/>
      <c r="D168" s="79"/>
      <c r="E168" s="75"/>
      <c r="F168" s="75"/>
      <c r="G168" s="75"/>
      <c r="H168" s="75"/>
      <c r="I168" s="77"/>
      <c r="J168" s="76" t="str">
        <f t="shared" ca="1" si="9"/>
        <v/>
      </c>
      <c r="K168" s="75"/>
      <c r="L168" s="75"/>
      <c r="M168" s="80"/>
      <c r="N168" s="80"/>
      <c r="O168" s="80"/>
      <c r="P168" s="81" t="str">
        <f>IF(M168="","",'GİDER AYARLARI'!$B$10)</f>
        <v/>
      </c>
      <c r="Q168" s="81" t="str">
        <f ca="1">IF(OR(M168="",J168=""),"",M168*'GİDER AYARLARI'!$B$8*J168/30)</f>
        <v/>
      </c>
      <c r="R168" s="81" t="str">
        <f t="shared" si="10"/>
        <v/>
      </c>
      <c r="S168" s="86" t="str">
        <f t="shared" si="11"/>
        <v/>
      </c>
    </row>
    <row r="169" spans="1:19">
      <c r="A169" s="85" t="str">
        <f t="shared" si="8"/>
        <v/>
      </c>
      <c r="B169" s="75"/>
      <c r="C169" s="78"/>
      <c r="D169" s="79"/>
      <c r="E169" s="75"/>
      <c r="F169" s="75"/>
      <c r="G169" s="75"/>
      <c r="H169" s="75"/>
      <c r="I169" s="77"/>
      <c r="J169" s="76" t="str">
        <f t="shared" ca="1" si="9"/>
        <v/>
      </c>
      <c r="K169" s="75"/>
      <c r="L169" s="75"/>
      <c r="M169" s="80"/>
      <c r="N169" s="80"/>
      <c r="O169" s="80"/>
      <c r="P169" s="81" t="str">
        <f>IF(M169="","",'GİDER AYARLARI'!$B$10)</f>
        <v/>
      </c>
      <c r="Q169" s="81" t="str">
        <f ca="1">IF(OR(M169="",J169=""),"",M169*'GİDER AYARLARI'!$B$8*J169/30)</f>
        <v/>
      </c>
      <c r="R169" s="81" t="str">
        <f t="shared" si="10"/>
        <v/>
      </c>
      <c r="S169" s="86" t="str">
        <f t="shared" si="11"/>
        <v/>
      </c>
    </row>
    <row r="170" spans="1:19">
      <c r="A170" s="85" t="str">
        <f t="shared" si="8"/>
        <v/>
      </c>
      <c r="B170" s="75"/>
      <c r="C170" s="78"/>
      <c r="D170" s="79"/>
      <c r="E170" s="75"/>
      <c r="F170" s="75"/>
      <c r="G170" s="75"/>
      <c r="H170" s="75"/>
      <c r="I170" s="77"/>
      <c r="J170" s="76" t="str">
        <f t="shared" ca="1" si="9"/>
        <v/>
      </c>
      <c r="K170" s="75"/>
      <c r="L170" s="75"/>
      <c r="M170" s="80"/>
      <c r="N170" s="80"/>
      <c r="O170" s="80"/>
      <c r="P170" s="81" t="str">
        <f>IF(M170="","",'GİDER AYARLARI'!$B$10)</f>
        <v/>
      </c>
      <c r="Q170" s="81" t="str">
        <f ca="1">IF(OR(M170="",J170=""),"",M170*'GİDER AYARLARI'!$B$8*J170/30)</f>
        <v/>
      </c>
      <c r="R170" s="81" t="str">
        <f t="shared" si="10"/>
        <v/>
      </c>
      <c r="S170" s="86" t="str">
        <f t="shared" si="11"/>
        <v/>
      </c>
    </row>
    <row r="171" spans="1:19">
      <c r="A171" s="85" t="str">
        <f t="shared" si="8"/>
        <v/>
      </c>
      <c r="B171" s="75"/>
      <c r="C171" s="78"/>
      <c r="D171" s="79"/>
      <c r="E171" s="75"/>
      <c r="F171" s="75"/>
      <c r="G171" s="75"/>
      <c r="H171" s="75"/>
      <c r="I171" s="77"/>
      <c r="J171" s="76" t="str">
        <f t="shared" ca="1" si="9"/>
        <v/>
      </c>
      <c r="K171" s="75"/>
      <c r="L171" s="75"/>
      <c r="M171" s="80"/>
      <c r="N171" s="80"/>
      <c r="O171" s="80"/>
      <c r="P171" s="81" t="str">
        <f>IF(M171="","",'GİDER AYARLARI'!$B$10)</f>
        <v/>
      </c>
      <c r="Q171" s="81" t="str">
        <f ca="1">IF(OR(M171="",J171=""),"",M171*'GİDER AYARLARI'!$B$8*J171/30)</f>
        <v/>
      </c>
      <c r="R171" s="81" t="str">
        <f t="shared" si="10"/>
        <v/>
      </c>
      <c r="S171" s="86" t="str">
        <f t="shared" si="11"/>
        <v/>
      </c>
    </row>
    <row r="172" spans="1:19">
      <c r="A172" s="85" t="str">
        <f t="shared" si="8"/>
        <v/>
      </c>
      <c r="B172" s="75"/>
      <c r="C172" s="78"/>
      <c r="D172" s="79"/>
      <c r="E172" s="75"/>
      <c r="F172" s="75"/>
      <c r="G172" s="75"/>
      <c r="H172" s="75"/>
      <c r="I172" s="77"/>
      <c r="J172" s="76" t="str">
        <f t="shared" ca="1" si="9"/>
        <v/>
      </c>
      <c r="K172" s="75"/>
      <c r="L172" s="75"/>
      <c r="M172" s="80"/>
      <c r="N172" s="80"/>
      <c r="O172" s="80"/>
      <c r="P172" s="81" t="str">
        <f>IF(M172="","",'GİDER AYARLARI'!$B$10)</f>
        <v/>
      </c>
      <c r="Q172" s="81" t="str">
        <f ca="1">IF(OR(M172="",J172=""),"",M172*'GİDER AYARLARI'!$B$8*J172/30)</f>
        <v/>
      </c>
      <c r="R172" s="81" t="str">
        <f t="shared" si="10"/>
        <v/>
      </c>
      <c r="S172" s="86" t="str">
        <f t="shared" si="11"/>
        <v/>
      </c>
    </row>
    <row r="173" spans="1:19">
      <c r="A173" s="85" t="str">
        <f t="shared" si="8"/>
        <v/>
      </c>
      <c r="B173" s="75"/>
      <c r="C173" s="78"/>
      <c r="D173" s="79"/>
      <c r="E173" s="75"/>
      <c r="F173" s="75"/>
      <c r="G173" s="75"/>
      <c r="H173" s="75"/>
      <c r="I173" s="77"/>
      <c r="J173" s="76" t="str">
        <f t="shared" ca="1" si="9"/>
        <v/>
      </c>
      <c r="K173" s="75"/>
      <c r="L173" s="75"/>
      <c r="M173" s="80"/>
      <c r="N173" s="80"/>
      <c r="O173" s="80"/>
      <c r="P173" s="81" t="str">
        <f>IF(M173="","",'GİDER AYARLARI'!$B$10)</f>
        <v/>
      </c>
      <c r="Q173" s="81" t="str">
        <f ca="1">IF(OR(M173="",J173=""),"",M173*'GİDER AYARLARI'!$B$8*J173/30)</f>
        <v/>
      </c>
      <c r="R173" s="81" t="str">
        <f t="shared" si="10"/>
        <v/>
      </c>
      <c r="S173" s="86" t="str">
        <f t="shared" si="11"/>
        <v/>
      </c>
    </row>
    <row r="174" spans="1:19">
      <c r="A174" s="85" t="str">
        <f t="shared" si="8"/>
        <v/>
      </c>
      <c r="B174" s="75"/>
      <c r="C174" s="78"/>
      <c r="D174" s="79"/>
      <c r="E174" s="75"/>
      <c r="F174" s="75"/>
      <c r="G174" s="75"/>
      <c r="H174" s="75"/>
      <c r="I174" s="77"/>
      <c r="J174" s="76" t="str">
        <f t="shared" ca="1" si="9"/>
        <v/>
      </c>
      <c r="K174" s="75"/>
      <c r="L174" s="75"/>
      <c r="M174" s="80"/>
      <c r="N174" s="80"/>
      <c r="O174" s="80"/>
      <c r="P174" s="81" t="str">
        <f>IF(M174="","",'GİDER AYARLARI'!$B$10)</f>
        <v/>
      </c>
      <c r="Q174" s="81" t="str">
        <f ca="1">IF(OR(M174="",J174=""),"",M174*'GİDER AYARLARI'!$B$8*J174/30)</f>
        <v/>
      </c>
      <c r="R174" s="81" t="str">
        <f t="shared" si="10"/>
        <v/>
      </c>
      <c r="S174" s="86" t="str">
        <f t="shared" si="11"/>
        <v/>
      </c>
    </row>
    <row r="175" spans="1:19">
      <c r="A175" s="85" t="str">
        <f t="shared" si="8"/>
        <v/>
      </c>
      <c r="B175" s="75"/>
      <c r="C175" s="78"/>
      <c r="D175" s="79"/>
      <c r="E175" s="75"/>
      <c r="F175" s="75"/>
      <c r="G175" s="75"/>
      <c r="H175" s="75"/>
      <c r="I175" s="77"/>
      <c r="J175" s="76" t="str">
        <f t="shared" ca="1" si="9"/>
        <v/>
      </c>
      <c r="K175" s="75"/>
      <c r="L175" s="75"/>
      <c r="M175" s="80"/>
      <c r="N175" s="80"/>
      <c r="O175" s="80"/>
      <c r="P175" s="81" t="str">
        <f>IF(M175="","",'GİDER AYARLARI'!$B$10)</f>
        <v/>
      </c>
      <c r="Q175" s="81" t="str">
        <f ca="1">IF(OR(M175="",J175=""),"",M175*'GİDER AYARLARI'!$B$8*J175/30)</f>
        <v/>
      </c>
      <c r="R175" s="81" t="str">
        <f t="shared" si="10"/>
        <v/>
      </c>
      <c r="S175" s="86" t="str">
        <f t="shared" si="11"/>
        <v/>
      </c>
    </row>
    <row r="176" spans="1:19">
      <c r="A176" s="85" t="str">
        <f t="shared" si="8"/>
        <v/>
      </c>
      <c r="B176" s="75"/>
      <c r="C176" s="78"/>
      <c r="D176" s="79"/>
      <c r="E176" s="75"/>
      <c r="F176" s="75"/>
      <c r="G176" s="75"/>
      <c r="H176" s="75"/>
      <c r="I176" s="77"/>
      <c r="J176" s="76" t="str">
        <f t="shared" ca="1" si="9"/>
        <v/>
      </c>
      <c r="K176" s="75"/>
      <c r="L176" s="75"/>
      <c r="M176" s="80"/>
      <c r="N176" s="80"/>
      <c r="O176" s="80"/>
      <c r="P176" s="81" t="str">
        <f>IF(M176="","",'GİDER AYARLARI'!$B$10)</f>
        <v/>
      </c>
      <c r="Q176" s="81" t="str">
        <f ca="1">IF(OR(M176="",J176=""),"",M176*'GİDER AYARLARI'!$B$8*J176/30)</f>
        <v/>
      </c>
      <c r="R176" s="81" t="str">
        <f t="shared" si="10"/>
        <v/>
      </c>
      <c r="S176" s="86" t="str">
        <f t="shared" si="11"/>
        <v/>
      </c>
    </row>
    <row r="177" spans="1:19">
      <c r="A177" s="85" t="str">
        <f t="shared" si="8"/>
        <v/>
      </c>
      <c r="B177" s="75"/>
      <c r="C177" s="78"/>
      <c r="D177" s="79"/>
      <c r="E177" s="75"/>
      <c r="F177" s="75"/>
      <c r="G177" s="75"/>
      <c r="H177" s="75"/>
      <c r="I177" s="77"/>
      <c r="J177" s="76" t="str">
        <f t="shared" ca="1" si="9"/>
        <v/>
      </c>
      <c r="K177" s="75"/>
      <c r="L177" s="75"/>
      <c r="M177" s="80"/>
      <c r="N177" s="80"/>
      <c r="O177" s="80"/>
      <c r="P177" s="81" t="str">
        <f>IF(M177="","",'GİDER AYARLARI'!$B$10)</f>
        <v/>
      </c>
      <c r="Q177" s="81" t="str">
        <f ca="1">IF(OR(M177="",J177=""),"",M177*'GİDER AYARLARI'!$B$8*J177/30)</f>
        <v/>
      </c>
      <c r="R177" s="81" t="str">
        <f t="shared" si="10"/>
        <v/>
      </c>
      <c r="S177" s="86" t="str">
        <f t="shared" si="11"/>
        <v/>
      </c>
    </row>
    <row r="178" spans="1:19">
      <c r="A178" s="85" t="str">
        <f t="shared" si="8"/>
        <v/>
      </c>
      <c r="B178" s="75"/>
      <c r="C178" s="78"/>
      <c r="D178" s="79"/>
      <c r="E178" s="75"/>
      <c r="F178" s="75"/>
      <c r="G178" s="75"/>
      <c r="H178" s="75"/>
      <c r="I178" s="77"/>
      <c r="J178" s="76" t="str">
        <f t="shared" ca="1" si="9"/>
        <v/>
      </c>
      <c r="K178" s="75"/>
      <c r="L178" s="75"/>
      <c r="M178" s="80"/>
      <c r="N178" s="80"/>
      <c r="O178" s="80"/>
      <c r="P178" s="81" t="str">
        <f>IF(M178="","",'GİDER AYARLARI'!$B$10)</f>
        <v/>
      </c>
      <c r="Q178" s="81" t="str">
        <f ca="1">IF(OR(M178="",J178=""),"",M178*'GİDER AYARLARI'!$B$8*J178/30)</f>
        <v/>
      </c>
      <c r="R178" s="81" t="str">
        <f t="shared" si="10"/>
        <v/>
      </c>
      <c r="S178" s="86" t="str">
        <f t="shared" si="11"/>
        <v/>
      </c>
    </row>
    <row r="179" spans="1:19">
      <c r="A179" s="85" t="str">
        <f t="shared" si="8"/>
        <v/>
      </c>
      <c r="B179" s="75"/>
      <c r="C179" s="78"/>
      <c r="D179" s="79"/>
      <c r="E179" s="75"/>
      <c r="F179" s="75"/>
      <c r="G179" s="75"/>
      <c r="H179" s="75"/>
      <c r="I179" s="77"/>
      <c r="J179" s="76" t="str">
        <f t="shared" ca="1" si="9"/>
        <v/>
      </c>
      <c r="K179" s="75"/>
      <c r="L179" s="75"/>
      <c r="M179" s="80"/>
      <c r="N179" s="80"/>
      <c r="O179" s="80"/>
      <c r="P179" s="81" t="str">
        <f>IF(M179="","",'GİDER AYARLARI'!$B$10)</f>
        <v/>
      </c>
      <c r="Q179" s="81" t="str">
        <f ca="1">IF(OR(M179="",J179=""),"",M179*'GİDER AYARLARI'!$B$8*J179/30)</f>
        <v/>
      </c>
      <c r="R179" s="81" t="str">
        <f t="shared" si="10"/>
        <v/>
      </c>
      <c r="S179" s="86" t="str">
        <f t="shared" si="11"/>
        <v/>
      </c>
    </row>
    <row r="180" spans="1:19">
      <c r="A180" s="85" t="str">
        <f t="shared" si="8"/>
        <v/>
      </c>
      <c r="B180" s="75"/>
      <c r="C180" s="78"/>
      <c r="D180" s="79"/>
      <c r="E180" s="75"/>
      <c r="F180" s="75"/>
      <c r="G180" s="75"/>
      <c r="H180" s="75"/>
      <c r="I180" s="77"/>
      <c r="J180" s="76" t="str">
        <f t="shared" ca="1" si="9"/>
        <v/>
      </c>
      <c r="K180" s="75"/>
      <c r="L180" s="75"/>
      <c r="M180" s="80"/>
      <c r="N180" s="80"/>
      <c r="O180" s="80"/>
      <c r="P180" s="81" t="str">
        <f>IF(M180="","",'GİDER AYARLARI'!$B$10)</f>
        <v/>
      </c>
      <c r="Q180" s="81" t="str">
        <f ca="1">IF(OR(M180="",J180=""),"",M180*'GİDER AYARLARI'!$B$8*J180/30)</f>
        <v/>
      </c>
      <c r="R180" s="81" t="str">
        <f t="shared" si="10"/>
        <v/>
      </c>
      <c r="S180" s="86" t="str">
        <f t="shared" si="11"/>
        <v/>
      </c>
    </row>
    <row r="181" spans="1:19">
      <c r="A181" s="85" t="str">
        <f t="shared" si="8"/>
        <v/>
      </c>
      <c r="B181" s="75"/>
      <c r="C181" s="78"/>
      <c r="D181" s="79"/>
      <c r="E181" s="75"/>
      <c r="F181" s="75"/>
      <c r="G181" s="75"/>
      <c r="H181" s="75"/>
      <c r="I181" s="77"/>
      <c r="J181" s="76" t="str">
        <f t="shared" ca="1" si="9"/>
        <v/>
      </c>
      <c r="K181" s="75"/>
      <c r="L181" s="75"/>
      <c r="M181" s="80"/>
      <c r="N181" s="80"/>
      <c r="O181" s="80"/>
      <c r="P181" s="81" t="str">
        <f>IF(M181="","",'GİDER AYARLARI'!$B$10)</f>
        <v/>
      </c>
      <c r="Q181" s="81" t="str">
        <f ca="1">IF(OR(M181="",J181=""),"",M181*'GİDER AYARLARI'!$B$8*J181/30)</f>
        <v/>
      </c>
      <c r="R181" s="81" t="str">
        <f t="shared" si="10"/>
        <v/>
      </c>
      <c r="S181" s="86" t="str">
        <f t="shared" si="11"/>
        <v/>
      </c>
    </row>
    <row r="182" spans="1:19">
      <c r="A182" s="85" t="str">
        <f t="shared" si="8"/>
        <v/>
      </c>
      <c r="B182" s="75"/>
      <c r="C182" s="78"/>
      <c r="D182" s="79"/>
      <c r="E182" s="75"/>
      <c r="F182" s="75"/>
      <c r="G182" s="75"/>
      <c r="H182" s="75"/>
      <c r="I182" s="77"/>
      <c r="J182" s="76" t="str">
        <f t="shared" ca="1" si="9"/>
        <v/>
      </c>
      <c r="K182" s="75"/>
      <c r="L182" s="75"/>
      <c r="M182" s="80"/>
      <c r="N182" s="80"/>
      <c r="O182" s="80"/>
      <c r="P182" s="81" t="str">
        <f>IF(M182="","",'GİDER AYARLARI'!$B$10)</f>
        <v/>
      </c>
      <c r="Q182" s="81" t="str">
        <f ca="1">IF(OR(M182="",J182=""),"",M182*'GİDER AYARLARI'!$B$8*J182/30)</f>
        <v/>
      </c>
      <c r="R182" s="81" t="str">
        <f t="shared" si="10"/>
        <v/>
      </c>
      <c r="S182" s="86" t="str">
        <f t="shared" si="11"/>
        <v/>
      </c>
    </row>
    <row r="183" spans="1:19">
      <c r="A183" s="85" t="str">
        <f t="shared" si="8"/>
        <v/>
      </c>
      <c r="B183" s="75"/>
      <c r="C183" s="78"/>
      <c r="D183" s="79"/>
      <c r="E183" s="75"/>
      <c r="F183" s="75"/>
      <c r="G183" s="75"/>
      <c r="H183" s="75"/>
      <c r="I183" s="77"/>
      <c r="J183" s="76" t="str">
        <f t="shared" ca="1" si="9"/>
        <v/>
      </c>
      <c r="K183" s="75"/>
      <c r="L183" s="75"/>
      <c r="M183" s="80"/>
      <c r="N183" s="80"/>
      <c r="O183" s="80"/>
      <c r="P183" s="81" t="str">
        <f>IF(M183="","",'GİDER AYARLARI'!$B$10)</f>
        <v/>
      </c>
      <c r="Q183" s="81" t="str">
        <f ca="1">IF(OR(M183="",J183=""),"",M183*'GİDER AYARLARI'!$B$8*J183/30)</f>
        <v/>
      </c>
      <c r="R183" s="81" t="str">
        <f t="shared" si="10"/>
        <v/>
      </c>
      <c r="S183" s="86" t="str">
        <f t="shared" si="11"/>
        <v/>
      </c>
    </row>
    <row r="184" spans="1:19">
      <c r="A184" s="85" t="str">
        <f t="shared" si="8"/>
        <v/>
      </c>
      <c r="B184" s="75"/>
      <c r="C184" s="78"/>
      <c r="D184" s="79"/>
      <c r="E184" s="75"/>
      <c r="F184" s="75"/>
      <c r="G184" s="75"/>
      <c r="H184" s="75"/>
      <c r="I184" s="77"/>
      <c r="J184" s="76" t="str">
        <f t="shared" ca="1" si="9"/>
        <v/>
      </c>
      <c r="K184" s="75"/>
      <c r="L184" s="75"/>
      <c r="M184" s="80"/>
      <c r="N184" s="80"/>
      <c r="O184" s="80"/>
      <c r="P184" s="81" t="str">
        <f>IF(M184="","",'GİDER AYARLARI'!$B$10)</f>
        <v/>
      </c>
      <c r="Q184" s="81" t="str">
        <f ca="1">IF(OR(M184="",J184=""),"",M184*'GİDER AYARLARI'!$B$8*J184/30)</f>
        <v/>
      </c>
      <c r="R184" s="81" t="str">
        <f t="shared" si="10"/>
        <v/>
      </c>
      <c r="S184" s="86" t="str">
        <f t="shared" si="11"/>
        <v/>
      </c>
    </row>
    <row r="185" spans="1:19">
      <c r="A185" s="85" t="str">
        <f t="shared" si="8"/>
        <v/>
      </c>
      <c r="B185" s="75"/>
      <c r="C185" s="78"/>
      <c r="D185" s="79"/>
      <c r="E185" s="75"/>
      <c r="F185" s="75"/>
      <c r="G185" s="75"/>
      <c r="H185" s="75"/>
      <c r="I185" s="77"/>
      <c r="J185" s="76" t="str">
        <f t="shared" ca="1" si="9"/>
        <v/>
      </c>
      <c r="K185" s="75"/>
      <c r="L185" s="75"/>
      <c r="M185" s="80"/>
      <c r="N185" s="80"/>
      <c r="O185" s="80"/>
      <c r="P185" s="81" t="str">
        <f>IF(M185="","",'GİDER AYARLARI'!$B$10)</f>
        <v/>
      </c>
      <c r="Q185" s="81" t="str">
        <f ca="1">IF(OR(M185="",J185=""),"",M185*'GİDER AYARLARI'!$B$8*J185/30)</f>
        <v/>
      </c>
      <c r="R185" s="81" t="str">
        <f t="shared" si="10"/>
        <v/>
      </c>
      <c r="S185" s="86" t="str">
        <f t="shared" si="11"/>
        <v/>
      </c>
    </row>
    <row r="186" spans="1:19">
      <c r="A186" s="85" t="str">
        <f t="shared" si="8"/>
        <v/>
      </c>
      <c r="B186" s="75"/>
      <c r="C186" s="78"/>
      <c r="D186" s="79"/>
      <c r="E186" s="75"/>
      <c r="F186" s="75"/>
      <c r="G186" s="75"/>
      <c r="H186" s="75"/>
      <c r="I186" s="77"/>
      <c r="J186" s="76" t="str">
        <f t="shared" ca="1" si="9"/>
        <v/>
      </c>
      <c r="K186" s="75"/>
      <c r="L186" s="75"/>
      <c r="M186" s="80"/>
      <c r="N186" s="80"/>
      <c r="O186" s="80"/>
      <c r="P186" s="81" t="str">
        <f>IF(M186="","",'GİDER AYARLARI'!$B$10)</f>
        <v/>
      </c>
      <c r="Q186" s="81" t="str">
        <f ca="1">IF(OR(M186="",J186=""),"",M186*'GİDER AYARLARI'!$B$8*J186/30)</f>
        <v/>
      </c>
      <c r="R186" s="81" t="str">
        <f t="shared" si="10"/>
        <v/>
      </c>
      <c r="S186" s="86" t="str">
        <f t="shared" si="11"/>
        <v/>
      </c>
    </row>
    <row r="187" spans="1:19">
      <c r="A187" s="85" t="str">
        <f t="shared" si="8"/>
        <v/>
      </c>
      <c r="B187" s="75"/>
      <c r="C187" s="78"/>
      <c r="D187" s="79"/>
      <c r="E187" s="75"/>
      <c r="F187" s="75"/>
      <c r="G187" s="75"/>
      <c r="H187" s="75"/>
      <c r="I187" s="77"/>
      <c r="J187" s="76" t="str">
        <f t="shared" ca="1" si="9"/>
        <v/>
      </c>
      <c r="K187" s="75"/>
      <c r="L187" s="75"/>
      <c r="M187" s="80"/>
      <c r="N187" s="80"/>
      <c r="O187" s="80"/>
      <c r="P187" s="81" t="str">
        <f>IF(M187="","",'GİDER AYARLARI'!$B$10)</f>
        <v/>
      </c>
      <c r="Q187" s="81" t="str">
        <f ca="1">IF(OR(M187="",J187=""),"",M187*'GİDER AYARLARI'!$B$8*J187/30)</f>
        <v/>
      </c>
      <c r="R187" s="81" t="str">
        <f t="shared" si="10"/>
        <v/>
      </c>
      <c r="S187" s="86" t="str">
        <f t="shared" si="11"/>
        <v/>
      </c>
    </row>
    <row r="188" spans="1:19">
      <c r="A188" s="85" t="str">
        <f t="shared" si="8"/>
        <v/>
      </c>
      <c r="B188" s="75"/>
      <c r="C188" s="78"/>
      <c r="D188" s="79"/>
      <c r="E188" s="75"/>
      <c r="F188" s="75"/>
      <c r="G188" s="75"/>
      <c r="H188" s="75"/>
      <c r="I188" s="77"/>
      <c r="J188" s="76" t="str">
        <f t="shared" ca="1" si="9"/>
        <v/>
      </c>
      <c r="K188" s="75"/>
      <c r="L188" s="75"/>
      <c r="M188" s="80"/>
      <c r="N188" s="80"/>
      <c r="O188" s="80"/>
      <c r="P188" s="81" t="str">
        <f>IF(M188="","",'GİDER AYARLARI'!$B$10)</f>
        <v/>
      </c>
      <c r="Q188" s="81" t="str">
        <f ca="1">IF(OR(M188="",J188=""),"",M188*'GİDER AYARLARI'!$B$8*J188/30)</f>
        <v/>
      </c>
      <c r="R188" s="81" t="str">
        <f t="shared" si="10"/>
        <v/>
      </c>
      <c r="S188" s="86" t="str">
        <f t="shared" si="11"/>
        <v/>
      </c>
    </row>
    <row r="189" spans="1:19">
      <c r="A189" s="85" t="str">
        <f t="shared" si="8"/>
        <v/>
      </c>
      <c r="B189" s="75"/>
      <c r="C189" s="78"/>
      <c r="D189" s="79"/>
      <c r="E189" s="75"/>
      <c r="F189" s="75"/>
      <c r="G189" s="75"/>
      <c r="H189" s="75"/>
      <c r="I189" s="77"/>
      <c r="J189" s="76" t="str">
        <f t="shared" ca="1" si="9"/>
        <v/>
      </c>
      <c r="K189" s="75"/>
      <c r="L189" s="75"/>
      <c r="M189" s="80"/>
      <c r="N189" s="80"/>
      <c r="O189" s="80"/>
      <c r="P189" s="81" t="str">
        <f>IF(M189="","",'GİDER AYARLARI'!$B$10)</f>
        <v/>
      </c>
      <c r="Q189" s="81" t="str">
        <f ca="1">IF(OR(M189="",J189=""),"",M189*'GİDER AYARLARI'!$B$8*J189/30)</f>
        <v/>
      </c>
      <c r="R189" s="81" t="str">
        <f t="shared" si="10"/>
        <v/>
      </c>
      <c r="S189" s="86" t="str">
        <f t="shared" si="11"/>
        <v/>
      </c>
    </row>
    <row r="190" spans="1:19">
      <c r="A190" s="85" t="str">
        <f t="shared" si="8"/>
        <v/>
      </c>
      <c r="B190" s="75"/>
      <c r="C190" s="78"/>
      <c r="D190" s="79"/>
      <c r="E190" s="75"/>
      <c r="F190" s="75"/>
      <c r="G190" s="75"/>
      <c r="H190" s="75"/>
      <c r="I190" s="77"/>
      <c r="J190" s="76" t="str">
        <f t="shared" ca="1" si="9"/>
        <v/>
      </c>
      <c r="K190" s="75"/>
      <c r="L190" s="75"/>
      <c r="M190" s="80"/>
      <c r="N190" s="80"/>
      <c r="O190" s="80"/>
      <c r="P190" s="81" t="str">
        <f>IF(M190="","",'GİDER AYARLARI'!$B$10)</f>
        <v/>
      </c>
      <c r="Q190" s="81" t="str">
        <f ca="1">IF(OR(M190="",J190=""),"",M190*'GİDER AYARLARI'!$B$8*J190/30)</f>
        <v/>
      </c>
      <c r="R190" s="81" t="str">
        <f t="shared" si="10"/>
        <v/>
      </c>
      <c r="S190" s="86" t="str">
        <f t="shared" si="11"/>
        <v/>
      </c>
    </row>
    <row r="191" spans="1:19">
      <c r="A191" s="85" t="str">
        <f t="shared" si="8"/>
        <v/>
      </c>
      <c r="B191" s="75"/>
      <c r="C191" s="78"/>
      <c r="D191" s="79"/>
      <c r="E191" s="75"/>
      <c r="F191" s="75"/>
      <c r="G191" s="75"/>
      <c r="H191" s="75"/>
      <c r="I191" s="77"/>
      <c r="J191" s="76" t="str">
        <f t="shared" ca="1" si="9"/>
        <v/>
      </c>
      <c r="K191" s="75"/>
      <c r="L191" s="75"/>
      <c r="M191" s="80"/>
      <c r="N191" s="80"/>
      <c r="O191" s="80"/>
      <c r="P191" s="81" t="str">
        <f>IF(M191="","",'GİDER AYARLARI'!$B$10)</f>
        <v/>
      </c>
      <c r="Q191" s="81" t="str">
        <f ca="1">IF(OR(M191="",J191=""),"",M191*'GİDER AYARLARI'!$B$8*J191/30)</f>
        <v/>
      </c>
      <c r="R191" s="81" t="str">
        <f t="shared" si="10"/>
        <v/>
      </c>
      <c r="S191" s="86" t="str">
        <f t="shared" si="11"/>
        <v/>
      </c>
    </row>
    <row r="192" spans="1:19">
      <c r="A192" s="85" t="str">
        <f t="shared" si="8"/>
        <v/>
      </c>
      <c r="B192" s="75"/>
      <c r="C192" s="78"/>
      <c r="D192" s="79"/>
      <c r="E192" s="75"/>
      <c r="F192" s="75"/>
      <c r="G192" s="75"/>
      <c r="H192" s="75"/>
      <c r="I192" s="77"/>
      <c r="J192" s="76" t="str">
        <f t="shared" ca="1" si="9"/>
        <v/>
      </c>
      <c r="K192" s="75"/>
      <c r="L192" s="75"/>
      <c r="M192" s="80"/>
      <c r="N192" s="80"/>
      <c r="O192" s="80"/>
      <c r="P192" s="81" t="str">
        <f>IF(M192="","",'GİDER AYARLARI'!$B$10)</f>
        <v/>
      </c>
      <c r="Q192" s="81" t="str">
        <f ca="1">IF(OR(M192="",J192=""),"",M192*'GİDER AYARLARI'!$B$8*J192/30)</f>
        <v/>
      </c>
      <c r="R192" s="81" t="str">
        <f t="shared" si="10"/>
        <v/>
      </c>
      <c r="S192" s="86" t="str">
        <f t="shared" si="11"/>
        <v/>
      </c>
    </row>
    <row r="193" spans="1:19">
      <c r="A193" s="85" t="str">
        <f t="shared" si="8"/>
        <v/>
      </c>
      <c r="B193" s="75"/>
      <c r="C193" s="78"/>
      <c r="D193" s="79"/>
      <c r="E193" s="75"/>
      <c r="F193" s="75"/>
      <c r="G193" s="75"/>
      <c r="H193" s="75"/>
      <c r="I193" s="77"/>
      <c r="J193" s="76" t="str">
        <f t="shared" ca="1" si="9"/>
        <v/>
      </c>
      <c r="K193" s="75"/>
      <c r="L193" s="75"/>
      <c r="M193" s="80"/>
      <c r="N193" s="80"/>
      <c r="O193" s="80"/>
      <c r="P193" s="81" t="str">
        <f>IF(M193="","",'GİDER AYARLARI'!$B$10)</f>
        <v/>
      </c>
      <c r="Q193" s="81" t="str">
        <f ca="1">IF(OR(M193="",J193=""),"",M193*'GİDER AYARLARI'!$B$8*J193/30)</f>
        <v/>
      </c>
      <c r="R193" s="81" t="str">
        <f t="shared" si="10"/>
        <v/>
      </c>
      <c r="S193" s="86" t="str">
        <f t="shared" si="11"/>
        <v/>
      </c>
    </row>
    <row r="194" spans="1:19">
      <c r="A194" s="85" t="str">
        <f t="shared" si="8"/>
        <v/>
      </c>
      <c r="B194" s="75"/>
      <c r="C194" s="78"/>
      <c r="D194" s="79"/>
      <c r="E194" s="75"/>
      <c r="F194" s="75"/>
      <c r="G194" s="75"/>
      <c r="H194" s="75"/>
      <c r="I194" s="77"/>
      <c r="J194" s="76" t="str">
        <f t="shared" ca="1" si="9"/>
        <v/>
      </c>
      <c r="K194" s="75"/>
      <c r="L194" s="75"/>
      <c r="M194" s="80"/>
      <c r="N194" s="80"/>
      <c r="O194" s="80"/>
      <c r="P194" s="81" t="str">
        <f>IF(M194="","",'GİDER AYARLARI'!$B$10)</f>
        <v/>
      </c>
      <c r="Q194" s="81" t="str">
        <f ca="1">IF(OR(M194="",J194=""),"",M194*'GİDER AYARLARI'!$B$8*J194/30)</f>
        <v/>
      </c>
      <c r="R194" s="81" t="str">
        <f t="shared" si="10"/>
        <v/>
      </c>
      <c r="S194" s="86" t="str">
        <f t="shared" si="11"/>
        <v/>
      </c>
    </row>
    <row r="195" spans="1:19">
      <c r="A195" s="85" t="str">
        <f t="shared" si="8"/>
        <v/>
      </c>
      <c r="B195" s="75"/>
      <c r="C195" s="78"/>
      <c r="D195" s="79"/>
      <c r="E195" s="75"/>
      <c r="F195" s="75"/>
      <c r="G195" s="75"/>
      <c r="H195" s="75"/>
      <c r="I195" s="77"/>
      <c r="J195" s="76" t="str">
        <f t="shared" ca="1" si="9"/>
        <v/>
      </c>
      <c r="K195" s="75"/>
      <c r="L195" s="75"/>
      <c r="M195" s="80"/>
      <c r="N195" s="80"/>
      <c r="O195" s="80"/>
      <c r="P195" s="81" t="str">
        <f>IF(M195="","",'GİDER AYARLARI'!$B$10)</f>
        <v/>
      </c>
      <c r="Q195" s="81" t="str">
        <f ca="1">IF(OR(M195="",J195=""),"",M195*'GİDER AYARLARI'!$B$8*J195/30)</f>
        <v/>
      </c>
      <c r="R195" s="81" t="str">
        <f t="shared" si="10"/>
        <v/>
      </c>
      <c r="S195" s="86" t="str">
        <f t="shared" si="11"/>
        <v/>
      </c>
    </row>
    <row r="196" spans="1:19">
      <c r="A196" s="85" t="str">
        <f t="shared" si="8"/>
        <v/>
      </c>
      <c r="B196" s="75"/>
      <c r="C196" s="78"/>
      <c r="D196" s="79"/>
      <c r="E196" s="75"/>
      <c r="F196" s="75"/>
      <c r="G196" s="75"/>
      <c r="H196" s="75"/>
      <c r="I196" s="77"/>
      <c r="J196" s="76" t="str">
        <f t="shared" ca="1" si="9"/>
        <v/>
      </c>
      <c r="K196" s="75"/>
      <c r="L196" s="75"/>
      <c r="M196" s="80"/>
      <c r="N196" s="80"/>
      <c r="O196" s="80"/>
      <c r="P196" s="81" t="str">
        <f>IF(M196="","",'GİDER AYARLARI'!$B$10)</f>
        <v/>
      </c>
      <c r="Q196" s="81" t="str">
        <f ca="1">IF(OR(M196="",J196=""),"",M196*'GİDER AYARLARI'!$B$8*J196/30)</f>
        <v/>
      </c>
      <c r="R196" s="81" t="str">
        <f t="shared" si="10"/>
        <v/>
      </c>
      <c r="S196" s="86" t="str">
        <f t="shared" si="11"/>
        <v/>
      </c>
    </row>
    <row r="197" spans="1:19">
      <c r="A197" s="85" t="str">
        <f t="shared" si="8"/>
        <v/>
      </c>
      <c r="B197" s="75"/>
      <c r="C197" s="78"/>
      <c r="D197" s="79"/>
      <c r="E197" s="75"/>
      <c r="F197" s="75"/>
      <c r="G197" s="75"/>
      <c r="H197" s="75"/>
      <c r="I197" s="77"/>
      <c r="J197" s="76" t="str">
        <f t="shared" ca="1" si="9"/>
        <v/>
      </c>
      <c r="K197" s="75"/>
      <c r="L197" s="75"/>
      <c r="M197" s="80"/>
      <c r="N197" s="80"/>
      <c r="O197" s="80"/>
      <c r="P197" s="81" t="str">
        <f>IF(M197="","",'GİDER AYARLARI'!$B$10)</f>
        <v/>
      </c>
      <c r="Q197" s="81" t="str">
        <f ca="1">IF(OR(M197="",J197=""),"",M197*'GİDER AYARLARI'!$B$8*J197/30)</f>
        <v/>
      </c>
      <c r="R197" s="81" t="str">
        <f t="shared" si="10"/>
        <v/>
      </c>
      <c r="S197" s="86" t="str">
        <f t="shared" si="11"/>
        <v/>
      </c>
    </row>
    <row r="198" spans="1:19">
      <c r="A198" s="85" t="str">
        <f t="shared" si="8"/>
        <v/>
      </c>
      <c r="B198" s="75"/>
      <c r="C198" s="78"/>
      <c r="D198" s="79"/>
      <c r="E198" s="75"/>
      <c r="F198" s="75"/>
      <c r="G198" s="75"/>
      <c r="H198" s="75"/>
      <c r="I198" s="77"/>
      <c r="J198" s="76" t="str">
        <f t="shared" ca="1" si="9"/>
        <v/>
      </c>
      <c r="K198" s="75"/>
      <c r="L198" s="75"/>
      <c r="M198" s="80"/>
      <c r="N198" s="80"/>
      <c r="O198" s="80"/>
      <c r="P198" s="81" t="str">
        <f>IF(M198="","",'GİDER AYARLARI'!$B$10)</f>
        <v/>
      </c>
      <c r="Q198" s="81" t="str">
        <f ca="1">IF(OR(M198="",J198=""),"",M198*'GİDER AYARLARI'!$B$8*J198/30)</f>
        <v/>
      </c>
      <c r="R198" s="81" t="str">
        <f t="shared" si="10"/>
        <v/>
      </c>
      <c r="S198" s="86" t="str">
        <f t="shared" si="11"/>
        <v/>
      </c>
    </row>
    <row r="199" spans="1:19">
      <c r="A199" s="85" t="str">
        <f t="shared" ref="A199:A262" si="12">IF(B199="","",ROW()-6)</f>
        <v/>
      </c>
      <c r="B199" s="75"/>
      <c r="C199" s="78"/>
      <c r="D199" s="79"/>
      <c r="E199" s="75"/>
      <c r="F199" s="75"/>
      <c r="G199" s="75"/>
      <c r="H199" s="75"/>
      <c r="I199" s="77"/>
      <c r="J199" s="76" t="str">
        <f t="shared" ref="J199:J262" ca="1" si="13">IF(I199="","",MAX(0,TODAY()-I199))</f>
        <v/>
      </c>
      <c r="K199" s="75"/>
      <c r="L199" s="75"/>
      <c r="M199" s="80"/>
      <c r="N199" s="80"/>
      <c r="O199" s="80"/>
      <c r="P199" s="81" t="str">
        <f>IF(M199="","",'GİDER AYARLARI'!$B$10)</f>
        <v/>
      </c>
      <c r="Q199" s="81" t="str">
        <f ca="1">IF(OR(M199="",J199=""),"",M199*'GİDER AYARLARI'!$B$8*J199/30)</f>
        <v/>
      </c>
      <c r="R199" s="81" t="str">
        <f t="shared" ref="R199:R262" si="14">IF(M199="","",M199+P199+Q199)</f>
        <v/>
      </c>
      <c r="S199" s="86" t="str">
        <f t="shared" ref="S199:S262" si="15">IF(OR(N199="",R199=""),"",N199-R199)</f>
        <v/>
      </c>
    </row>
    <row r="200" spans="1:19">
      <c r="A200" s="85" t="str">
        <f t="shared" si="12"/>
        <v/>
      </c>
      <c r="B200" s="75"/>
      <c r="C200" s="78"/>
      <c r="D200" s="79"/>
      <c r="E200" s="75"/>
      <c r="F200" s="75"/>
      <c r="G200" s="75"/>
      <c r="H200" s="75"/>
      <c r="I200" s="77"/>
      <c r="J200" s="76" t="str">
        <f t="shared" ca="1" si="13"/>
        <v/>
      </c>
      <c r="K200" s="75"/>
      <c r="L200" s="75"/>
      <c r="M200" s="80"/>
      <c r="N200" s="80"/>
      <c r="O200" s="80"/>
      <c r="P200" s="81" t="str">
        <f>IF(M200="","",'GİDER AYARLARI'!$B$10)</f>
        <v/>
      </c>
      <c r="Q200" s="81" t="str">
        <f ca="1">IF(OR(M200="",J200=""),"",M200*'GİDER AYARLARI'!$B$8*J200/30)</f>
        <v/>
      </c>
      <c r="R200" s="81" t="str">
        <f t="shared" si="14"/>
        <v/>
      </c>
      <c r="S200" s="86" t="str">
        <f t="shared" si="15"/>
        <v/>
      </c>
    </row>
    <row r="201" spans="1:19">
      <c r="A201" s="85" t="str">
        <f t="shared" si="12"/>
        <v/>
      </c>
      <c r="B201" s="75"/>
      <c r="C201" s="78"/>
      <c r="D201" s="79"/>
      <c r="E201" s="75"/>
      <c r="F201" s="75"/>
      <c r="G201" s="75"/>
      <c r="H201" s="75"/>
      <c r="I201" s="77"/>
      <c r="J201" s="76" t="str">
        <f t="shared" ca="1" si="13"/>
        <v/>
      </c>
      <c r="K201" s="75"/>
      <c r="L201" s="75"/>
      <c r="M201" s="80"/>
      <c r="N201" s="80"/>
      <c r="O201" s="80"/>
      <c r="P201" s="81" t="str">
        <f>IF(M201="","",'GİDER AYARLARI'!$B$10)</f>
        <v/>
      </c>
      <c r="Q201" s="81" t="str">
        <f ca="1">IF(OR(M201="",J201=""),"",M201*'GİDER AYARLARI'!$B$8*J201/30)</f>
        <v/>
      </c>
      <c r="R201" s="81" t="str">
        <f t="shared" si="14"/>
        <v/>
      </c>
      <c r="S201" s="86" t="str">
        <f t="shared" si="15"/>
        <v/>
      </c>
    </row>
    <row r="202" spans="1:19">
      <c r="A202" s="85" t="str">
        <f t="shared" si="12"/>
        <v/>
      </c>
      <c r="B202" s="75"/>
      <c r="C202" s="78"/>
      <c r="D202" s="79"/>
      <c r="E202" s="75"/>
      <c r="F202" s="75"/>
      <c r="G202" s="75"/>
      <c r="H202" s="75"/>
      <c r="I202" s="77"/>
      <c r="J202" s="76" t="str">
        <f t="shared" ca="1" si="13"/>
        <v/>
      </c>
      <c r="K202" s="75"/>
      <c r="L202" s="75"/>
      <c r="M202" s="80"/>
      <c r="N202" s="80"/>
      <c r="O202" s="80"/>
      <c r="P202" s="81" t="str">
        <f>IF(M202="","",'GİDER AYARLARI'!$B$10)</f>
        <v/>
      </c>
      <c r="Q202" s="81" t="str">
        <f ca="1">IF(OR(M202="",J202=""),"",M202*'GİDER AYARLARI'!$B$8*J202/30)</f>
        <v/>
      </c>
      <c r="R202" s="81" t="str">
        <f t="shared" si="14"/>
        <v/>
      </c>
      <c r="S202" s="86" t="str">
        <f t="shared" si="15"/>
        <v/>
      </c>
    </row>
    <row r="203" spans="1:19">
      <c r="A203" s="85" t="str">
        <f t="shared" si="12"/>
        <v/>
      </c>
      <c r="B203" s="75"/>
      <c r="C203" s="78"/>
      <c r="D203" s="79"/>
      <c r="E203" s="75"/>
      <c r="F203" s="75"/>
      <c r="G203" s="75"/>
      <c r="H203" s="75"/>
      <c r="I203" s="77"/>
      <c r="J203" s="76" t="str">
        <f t="shared" ca="1" si="13"/>
        <v/>
      </c>
      <c r="K203" s="75"/>
      <c r="L203" s="75"/>
      <c r="M203" s="80"/>
      <c r="N203" s="80"/>
      <c r="O203" s="80"/>
      <c r="P203" s="81" t="str">
        <f>IF(M203="","",'GİDER AYARLARI'!$B$10)</f>
        <v/>
      </c>
      <c r="Q203" s="81" t="str">
        <f ca="1">IF(OR(M203="",J203=""),"",M203*'GİDER AYARLARI'!$B$8*J203/30)</f>
        <v/>
      </c>
      <c r="R203" s="81" t="str">
        <f t="shared" si="14"/>
        <v/>
      </c>
      <c r="S203" s="86" t="str">
        <f t="shared" si="15"/>
        <v/>
      </c>
    </row>
    <row r="204" spans="1:19">
      <c r="A204" s="85" t="str">
        <f t="shared" si="12"/>
        <v/>
      </c>
      <c r="B204" s="75"/>
      <c r="C204" s="78"/>
      <c r="D204" s="79"/>
      <c r="E204" s="75"/>
      <c r="F204" s="75"/>
      <c r="G204" s="75"/>
      <c r="H204" s="75"/>
      <c r="I204" s="77"/>
      <c r="J204" s="76" t="str">
        <f t="shared" ca="1" si="13"/>
        <v/>
      </c>
      <c r="K204" s="75"/>
      <c r="L204" s="75"/>
      <c r="M204" s="80"/>
      <c r="N204" s="80"/>
      <c r="O204" s="80"/>
      <c r="P204" s="81" t="str">
        <f>IF(M204="","",'GİDER AYARLARI'!$B$10)</f>
        <v/>
      </c>
      <c r="Q204" s="81" t="str">
        <f ca="1">IF(OR(M204="",J204=""),"",M204*'GİDER AYARLARI'!$B$8*J204/30)</f>
        <v/>
      </c>
      <c r="R204" s="81" t="str">
        <f t="shared" si="14"/>
        <v/>
      </c>
      <c r="S204" s="86" t="str">
        <f t="shared" si="15"/>
        <v/>
      </c>
    </row>
    <row r="205" spans="1:19">
      <c r="A205" s="85" t="str">
        <f t="shared" si="12"/>
        <v/>
      </c>
      <c r="B205" s="75"/>
      <c r="C205" s="78"/>
      <c r="D205" s="79"/>
      <c r="E205" s="75"/>
      <c r="F205" s="75"/>
      <c r="G205" s="75"/>
      <c r="H205" s="75"/>
      <c r="I205" s="77"/>
      <c r="J205" s="76" t="str">
        <f t="shared" ca="1" si="13"/>
        <v/>
      </c>
      <c r="K205" s="75"/>
      <c r="L205" s="75"/>
      <c r="M205" s="80"/>
      <c r="N205" s="80"/>
      <c r="O205" s="80"/>
      <c r="P205" s="81" t="str">
        <f>IF(M205="","",'GİDER AYARLARI'!$B$10)</f>
        <v/>
      </c>
      <c r="Q205" s="81" t="str">
        <f ca="1">IF(OR(M205="",J205=""),"",M205*'GİDER AYARLARI'!$B$8*J205/30)</f>
        <v/>
      </c>
      <c r="R205" s="81" t="str">
        <f t="shared" si="14"/>
        <v/>
      </c>
      <c r="S205" s="86" t="str">
        <f t="shared" si="15"/>
        <v/>
      </c>
    </row>
    <row r="206" spans="1:19">
      <c r="A206" s="85" t="str">
        <f t="shared" si="12"/>
        <v/>
      </c>
      <c r="B206" s="75"/>
      <c r="C206" s="78"/>
      <c r="D206" s="79"/>
      <c r="E206" s="75"/>
      <c r="F206" s="75"/>
      <c r="G206" s="75"/>
      <c r="H206" s="75"/>
      <c r="I206" s="77"/>
      <c r="J206" s="76" t="str">
        <f t="shared" ca="1" si="13"/>
        <v/>
      </c>
      <c r="K206" s="75"/>
      <c r="L206" s="75"/>
      <c r="M206" s="80"/>
      <c r="N206" s="80"/>
      <c r="O206" s="80"/>
      <c r="P206" s="81" t="str">
        <f>IF(M206="","",'GİDER AYARLARI'!$B$10)</f>
        <v/>
      </c>
      <c r="Q206" s="81" t="str">
        <f ca="1">IF(OR(M206="",J206=""),"",M206*'GİDER AYARLARI'!$B$8*J206/30)</f>
        <v/>
      </c>
      <c r="R206" s="81" t="str">
        <f t="shared" si="14"/>
        <v/>
      </c>
      <c r="S206" s="86" t="str">
        <f t="shared" si="15"/>
        <v/>
      </c>
    </row>
    <row r="207" spans="1:19">
      <c r="A207" s="85" t="str">
        <f t="shared" si="12"/>
        <v/>
      </c>
      <c r="B207" s="75"/>
      <c r="C207" s="78"/>
      <c r="D207" s="79"/>
      <c r="E207" s="75"/>
      <c r="F207" s="75"/>
      <c r="G207" s="75"/>
      <c r="H207" s="75"/>
      <c r="I207" s="77"/>
      <c r="J207" s="76" t="str">
        <f t="shared" ca="1" si="13"/>
        <v/>
      </c>
      <c r="K207" s="75"/>
      <c r="L207" s="75"/>
      <c r="M207" s="80"/>
      <c r="N207" s="80"/>
      <c r="O207" s="80"/>
      <c r="P207" s="81" t="str">
        <f>IF(M207="","",'GİDER AYARLARI'!$B$10)</f>
        <v/>
      </c>
      <c r="Q207" s="81" t="str">
        <f ca="1">IF(OR(M207="",J207=""),"",M207*'GİDER AYARLARI'!$B$8*J207/30)</f>
        <v/>
      </c>
      <c r="R207" s="81" t="str">
        <f t="shared" si="14"/>
        <v/>
      </c>
      <c r="S207" s="86" t="str">
        <f t="shared" si="15"/>
        <v/>
      </c>
    </row>
    <row r="208" spans="1:19">
      <c r="A208" s="85" t="str">
        <f t="shared" si="12"/>
        <v/>
      </c>
      <c r="B208" s="75"/>
      <c r="C208" s="78"/>
      <c r="D208" s="79"/>
      <c r="E208" s="75"/>
      <c r="F208" s="75"/>
      <c r="G208" s="75"/>
      <c r="H208" s="75"/>
      <c r="I208" s="77"/>
      <c r="J208" s="76" t="str">
        <f t="shared" ca="1" si="13"/>
        <v/>
      </c>
      <c r="K208" s="75"/>
      <c r="L208" s="75"/>
      <c r="M208" s="80"/>
      <c r="N208" s="80"/>
      <c r="O208" s="80"/>
      <c r="P208" s="81" t="str">
        <f>IF(M208="","",'GİDER AYARLARI'!$B$10)</f>
        <v/>
      </c>
      <c r="Q208" s="81" t="str">
        <f ca="1">IF(OR(M208="",J208=""),"",M208*'GİDER AYARLARI'!$B$8*J208/30)</f>
        <v/>
      </c>
      <c r="R208" s="81" t="str">
        <f t="shared" si="14"/>
        <v/>
      </c>
      <c r="S208" s="86" t="str">
        <f t="shared" si="15"/>
        <v/>
      </c>
    </row>
    <row r="209" spans="1:19">
      <c r="A209" s="85" t="str">
        <f t="shared" si="12"/>
        <v/>
      </c>
      <c r="B209" s="75"/>
      <c r="C209" s="78"/>
      <c r="D209" s="79"/>
      <c r="E209" s="75"/>
      <c r="F209" s="75"/>
      <c r="G209" s="75"/>
      <c r="H209" s="75"/>
      <c r="I209" s="77"/>
      <c r="J209" s="76" t="str">
        <f t="shared" ca="1" si="13"/>
        <v/>
      </c>
      <c r="K209" s="75"/>
      <c r="L209" s="75"/>
      <c r="M209" s="80"/>
      <c r="N209" s="80"/>
      <c r="O209" s="80"/>
      <c r="P209" s="81" t="str">
        <f>IF(M209="","",'GİDER AYARLARI'!$B$10)</f>
        <v/>
      </c>
      <c r="Q209" s="81" t="str">
        <f ca="1">IF(OR(M209="",J209=""),"",M209*'GİDER AYARLARI'!$B$8*J209/30)</f>
        <v/>
      </c>
      <c r="R209" s="81" t="str">
        <f t="shared" si="14"/>
        <v/>
      </c>
      <c r="S209" s="86" t="str">
        <f t="shared" si="15"/>
        <v/>
      </c>
    </row>
    <row r="210" spans="1:19">
      <c r="A210" s="85" t="str">
        <f t="shared" si="12"/>
        <v/>
      </c>
      <c r="B210" s="75"/>
      <c r="C210" s="78"/>
      <c r="D210" s="79"/>
      <c r="E210" s="75"/>
      <c r="F210" s="75"/>
      <c r="G210" s="75"/>
      <c r="H210" s="75"/>
      <c r="I210" s="77"/>
      <c r="J210" s="76" t="str">
        <f t="shared" ca="1" si="13"/>
        <v/>
      </c>
      <c r="K210" s="75"/>
      <c r="L210" s="75"/>
      <c r="M210" s="80"/>
      <c r="N210" s="80"/>
      <c r="O210" s="80"/>
      <c r="P210" s="81" t="str">
        <f>IF(M210="","",'GİDER AYARLARI'!$B$10)</f>
        <v/>
      </c>
      <c r="Q210" s="81" t="str">
        <f ca="1">IF(OR(M210="",J210=""),"",M210*'GİDER AYARLARI'!$B$8*J210/30)</f>
        <v/>
      </c>
      <c r="R210" s="81" t="str">
        <f t="shared" si="14"/>
        <v/>
      </c>
      <c r="S210" s="86" t="str">
        <f t="shared" si="15"/>
        <v/>
      </c>
    </row>
    <row r="211" spans="1:19">
      <c r="A211" s="85" t="str">
        <f t="shared" si="12"/>
        <v/>
      </c>
      <c r="B211" s="75"/>
      <c r="C211" s="78"/>
      <c r="D211" s="79"/>
      <c r="E211" s="75"/>
      <c r="F211" s="75"/>
      <c r="G211" s="75"/>
      <c r="H211" s="75"/>
      <c r="I211" s="77"/>
      <c r="J211" s="76" t="str">
        <f t="shared" ca="1" si="13"/>
        <v/>
      </c>
      <c r="K211" s="75"/>
      <c r="L211" s="75"/>
      <c r="M211" s="80"/>
      <c r="N211" s="80"/>
      <c r="O211" s="80"/>
      <c r="P211" s="81" t="str">
        <f>IF(M211="","",'GİDER AYARLARI'!$B$10)</f>
        <v/>
      </c>
      <c r="Q211" s="81" t="str">
        <f ca="1">IF(OR(M211="",J211=""),"",M211*'GİDER AYARLARI'!$B$8*J211/30)</f>
        <v/>
      </c>
      <c r="R211" s="81" t="str">
        <f t="shared" si="14"/>
        <v/>
      </c>
      <c r="S211" s="86" t="str">
        <f t="shared" si="15"/>
        <v/>
      </c>
    </row>
    <row r="212" spans="1:19">
      <c r="A212" s="85" t="str">
        <f t="shared" si="12"/>
        <v/>
      </c>
      <c r="B212" s="75"/>
      <c r="C212" s="78"/>
      <c r="D212" s="79"/>
      <c r="E212" s="75"/>
      <c r="F212" s="75"/>
      <c r="G212" s="75"/>
      <c r="H212" s="75"/>
      <c r="I212" s="77"/>
      <c r="J212" s="76" t="str">
        <f t="shared" ca="1" si="13"/>
        <v/>
      </c>
      <c r="K212" s="75"/>
      <c r="L212" s="75"/>
      <c r="M212" s="80"/>
      <c r="N212" s="80"/>
      <c r="O212" s="80"/>
      <c r="P212" s="81" t="str">
        <f>IF(M212="","",'GİDER AYARLARI'!$B$10)</f>
        <v/>
      </c>
      <c r="Q212" s="81" t="str">
        <f ca="1">IF(OR(M212="",J212=""),"",M212*'GİDER AYARLARI'!$B$8*J212/30)</f>
        <v/>
      </c>
      <c r="R212" s="81" t="str">
        <f t="shared" si="14"/>
        <v/>
      </c>
      <c r="S212" s="86" t="str">
        <f t="shared" si="15"/>
        <v/>
      </c>
    </row>
    <row r="213" spans="1:19">
      <c r="A213" s="85" t="str">
        <f t="shared" si="12"/>
        <v/>
      </c>
      <c r="B213" s="75"/>
      <c r="C213" s="78"/>
      <c r="D213" s="79"/>
      <c r="E213" s="75"/>
      <c r="F213" s="75"/>
      <c r="G213" s="75"/>
      <c r="H213" s="75"/>
      <c r="I213" s="77"/>
      <c r="J213" s="76" t="str">
        <f t="shared" ca="1" si="13"/>
        <v/>
      </c>
      <c r="K213" s="75"/>
      <c r="L213" s="75"/>
      <c r="M213" s="80"/>
      <c r="N213" s="80"/>
      <c r="O213" s="80"/>
      <c r="P213" s="81" t="str">
        <f>IF(M213="","",'GİDER AYARLARI'!$B$10)</f>
        <v/>
      </c>
      <c r="Q213" s="81" t="str">
        <f ca="1">IF(OR(M213="",J213=""),"",M213*'GİDER AYARLARI'!$B$8*J213/30)</f>
        <v/>
      </c>
      <c r="R213" s="81" t="str">
        <f t="shared" si="14"/>
        <v/>
      </c>
      <c r="S213" s="86" t="str">
        <f t="shared" si="15"/>
        <v/>
      </c>
    </row>
    <row r="214" spans="1:19">
      <c r="A214" s="85" t="str">
        <f t="shared" si="12"/>
        <v/>
      </c>
      <c r="B214" s="75"/>
      <c r="C214" s="78"/>
      <c r="D214" s="79"/>
      <c r="E214" s="75"/>
      <c r="F214" s="75"/>
      <c r="G214" s="75"/>
      <c r="H214" s="75"/>
      <c r="I214" s="77"/>
      <c r="J214" s="76" t="str">
        <f t="shared" ca="1" si="13"/>
        <v/>
      </c>
      <c r="K214" s="75"/>
      <c r="L214" s="75"/>
      <c r="M214" s="80"/>
      <c r="N214" s="80"/>
      <c r="O214" s="80"/>
      <c r="P214" s="81" t="str">
        <f>IF(M214="","",'GİDER AYARLARI'!$B$10)</f>
        <v/>
      </c>
      <c r="Q214" s="81" t="str">
        <f ca="1">IF(OR(M214="",J214=""),"",M214*'GİDER AYARLARI'!$B$8*J214/30)</f>
        <v/>
      </c>
      <c r="R214" s="81" t="str">
        <f t="shared" si="14"/>
        <v/>
      </c>
      <c r="S214" s="86" t="str">
        <f t="shared" si="15"/>
        <v/>
      </c>
    </row>
    <row r="215" spans="1:19">
      <c r="A215" s="85" t="str">
        <f t="shared" si="12"/>
        <v/>
      </c>
      <c r="B215" s="75"/>
      <c r="C215" s="78"/>
      <c r="D215" s="79"/>
      <c r="E215" s="75"/>
      <c r="F215" s="75"/>
      <c r="G215" s="75"/>
      <c r="H215" s="75"/>
      <c r="I215" s="77"/>
      <c r="J215" s="76" t="str">
        <f t="shared" ca="1" si="13"/>
        <v/>
      </c>
      <c r="K215" s="75"/>
      <c r="L215" s="75"/>
      <c r="M215" s="80"/>
      <c r="N215" s="80"/>
      <c r="O215" s="80"/>
      <c r="P215" s="81" t="str">
        <f>IF(M215="","",'GİDER AYARLARI'!$B$10)</f>
        <v/>
      </c>
      <c r="Q215" s="81" t="str">
        <f ca="1">IF(OR(M215="",J215=""),"",M215*'GİDER AYARLARI'!$B$8*J215/30)</f>
        <v/>
      </c>
      <c r="R215" s="81" t="str">
        <f t="shared" si="14"/>
        <v/>
      </c>
      <c r="S215" s="86" t="str">
        <f t="shared" si="15"/>
        <v/>
      </c>
    </row>
    <row r="216" spans="1:19">
      <c r="A216" s="85" t="str">
        <f t="shared" si="12"/>
        <v/>
      </c>
      <c r="B216" s="75"/>
      <c r="C216" s="78"/>
      <c r="D216" s="79"/>
      <c r="E216" s="75"/>
      <c r="F216" s="75"/>
      <c r="G216" s="75"/>
      <c r="H216" s="75"/>
      <c r="I216" s="77"/>
      <c r="J216" s="76" t="str">
        <f t="shared" ca="1" si="13"/>
        <v/>
      </c>
      <c r="K216" s="75"/>
      <c r="L216" s="75"/>
      <c r="M216" s="80"/>
      <c r="N216" s="80"/>
      <c r="O216" s="80"/>
      <c r="P216" s="81" t="str">
        <f>IF(M216="","",'GİDER AYARLARI'!$B$10)</f>
        <v/>
      </c>
      <c r="Q216" s="81" t="str">
        <f ca="1">IF(OR(M216="",J216=""),"",M216*'GİDER AYARLARI'!$B$8*J216/30)</f>
        <v/>
      </c>
      <c r="R216" s="81" t="str">
        <f t="shared" si="14"/>
        <v/>
      </c>
      <c r="S216" s="86" t="str">
        <f t="shared" si="15"/>
        <v/>
      </c>
    </row>
    <row r="217" spans="1:19">
      <c r="A217" s="85" t="str">
        <f t="shared" si="12"/>
        <v/>
      </c>
      <c r="B217" s="75"/>
      <c r="C217" s="78"/>
      <c r="D217" s="79"/>
      <c r="E217" s="75"/>
      <c r="F217" s="75"/>
      <c r="G217" s="75"/>
      <c r="H217" s="75"/>
      <c r="I217" s="77"/>
      <c r="J217" s="76" t="str">
        <f t="shared" ca="1" si="13"/>
        <v/>
      </c>
      <c r="K217" s="75"/>
      <c r="L217" s="75"/>
      <c r="M217" s="80"/>
      <c r="N217" s="80"/>
      <c r="O217" s="80"/>
      <c r="P217" s="81" t="str">
        <f>IF(M217="","",'GİDER AYARLARI'!$B$10)</f>
        <v/>
      </c>
      <c r="Q217" s="81" t="str">
        <f ca="1">IF(OR(M217="",J217=""),"",M217*'GİDER AYARLARI'!$B$8*J217/30)</f>
        <v/>
      </c>
      <c r="R217" s="81" t="str">
        <f t="shared" si="14"/>
        <v/>
      </c>
      <c r="S217" s="86" t="str">
        <f t="shared" si="15"/>
        <v/>
      </c>
    </row>
    <row r="218" spans="1:19">
      <c r="A218" s="85" t="str">
        <f t="shared" si="12"/>
        <v/>
      </c>
      <c r="B218" s="75"/>
      <c r="C218" s="78"/>
      <c r="D218" s="79"/>
      <c r="E218" s="75"/>
      <c r="F218" s="75"/>
      <c r="G218" s="75"/>
      <c r="H218" s="75"/>
      <c r="I218" s="77"/>
      <c r="J218" s="76" t="str">
        <f t="shared" ca="1" si="13"/>
        <v/>
      </c>
      <c r="K218" s="75"/>
      <c r="L218" s="75"/>
      <c r="M218" s="80"/>
      <c r="N218" s="80"/>
      <c r="O218" s="80"/>
      <c r="P218" s="81" t="str">
        <f>IF(M218="","",'GİDER AYARLARI'!$B$10)</f>
        <v/>
      </c>
      <c r="Q218" s="81" t="str">
        <f ca="1">IF(OR(M218="",J218=""),"",M218*'GİDER AYARLARI'!$B$8*J218/30)</f>
        <v/>
      </c>
      <c r="R218" s="81" t="str">
        <f t="shared" si="14"/>
        <v/>
      </c>
      <c r="S218" s="86" t="str">
        <f t="shared" si="15"/>
        <v/>
      </c>
    </row>
    <row r="219" spans="1:19">
      <c r="A219" s="85" t="str">
        <f t="shared" si="12"/>
        <v/>
      </c>
      <c r="B219" s="75"/>
      <c r="C219" s="78"/>
      <c r="D219" s="79"/>
      <c r="E219" s="75"/>
      <c r="F219" s="75"/>
      <c r="G219" s="75"/>
      <c r="H219" s="75"/>
      <c r="I219" s="77"/>
      <c r="J219" s="76" t="str">
        <f t="shared" ca="1" si="13"/>
        <v/>
      </c>
      <c r="K219" s="75"/>
      <c r="L219" s="75"/>
      <c r="M219" s="80"/>
      <c r="N219" s="80"/>
      <c r="O219" s="80"/>
      <c r="P219" s="81" t="str">
        <f>IF(M219="","",'GİDER AYARLARI'!$B$10)</f>
        <v/>
      </c>
      <c r="Q219" s="81" t="str">
        <f ca="1">IF(OR(M219="",J219=""),"",M219*'GİDER AYARLARI'!$B$8*J219/30)</f>
        <v/>
      </c>
      <c r="R219" s="81" t="str">
        <f t="shared" si="14"/>
        <v/>
      </c>
      <c r="S219" s="86" t="str">
        <f t="shared" si="15"/>
        <v/>
      </c>
    </row>
    <row r="220" spans="1:19">
      <c r="A220" s="85" t="str">
        <f t="shared" si="12"/>
        <v/>
      </c>
      <c r="B220" s="75"/>
      <c r="C220" s="78"/>
      <c r="D220" s="79"/>
      <c r="E220" s="75"/>
      <c r="F220" s="75"/>
      <c r="G220" s="75"/>
      <c r="H220" s="75"/>
      <c r="I220" s="77"/>
      <c r="J220" s="76" t="str">
        <f t="shared" ca="1" si="13"/>
        <v/>
      </c>
      <c r="K220" s="75"/>
      <c r="L220" s="75"/>
      <c r="M220" s="80"/>
      <c r="N220" s="80"/>
      <c r="O220" s="80"/>
      <c r="P220" s="81" t="str">
        <f>IF(M220="","",'GİDER AYARLARI'!$B$10)</f>
        <v/>
      </c>
      <c r="Q220" s="81" t="str">
        <f ca="1">IF(OR(M220="",J220=""),"",M220*'GİDER AYARLARI'!$B$8*J220/30)</f>
        <v/>
      </c>
      <c r="R220" s="81" t="str">
        <f t="shared" si="14"/>
        <v/>
      </c>
      <c r="S220" s="86" t="str">
        <f t="shared" si="15"/>
        <v/>
      </c>
    </row>
    <row r="221" spans="1:19">
      <c r="A221" s="85" t="str">
        <f t="shared" si="12"/>
        <v/>
      </c>
      <c r="B221" s="75"/>
      <c r="C221" s="78"/>
      <c r="D221" s="79"/>
      <c r="E221" s="75"/>
      <c r="F221" s="75"/>
      <c r="G221" s="75"/>
      <c r="H221" s="75"/>
      <c r="I221" s="77"/>
      <c r="J221" s="76" t="str">
        <f t="shared" ca="1" si="13"/>
        <v/>
      </c>
      <c r="K221" s="75"/>
      <c r="L221" s="75"/>
      <c r="M221" s="80"/>
      <c r="N221" s="80"/>
      <c r="O221" s="80"/>
      <c r="P221" s="81" t="str">
        <f>IF(M221="","",'GİDER AYARLARI'!$B$10)</f>
        <v/>
      </c>
      <c r="Q221" s="81" t="str">
        <f ca="1">IF(OR(M221="",J221=""),"",M221*'GİDER AYARLARI'!$B$8*J221/30)</f>
        <v/>
      </c>
      <c r="R221" s="81" t="str">
        <f t="shared" si="14"/>
        <v/>
      </c>
      <c r="S221" s="86" t="str">
        <f t="shared" si="15"/>
        <v/>
      </c>
    </row>
    <row r="222" spans="1:19">
      <c r="A222" s="85" t="str">
        <f t="shared" si="12"/>
        <v/>
      </c>
      <c r="B222" s="75"/>
      <c r="C222" s="78"/>
      <c r="D222" s="79"/>
      <c r="E222" s="75"/>
      <c r="F222" s="75"/>
      <c r="G222" s="75"/>
      <c r="H222" s="75"/>
      <c r="I222" s="77"/>
      <c r="J222" s="76" t="str">
        <f t="shared" ca="1" si="13"/>
        <v/>
      </c>
      <c r="K222" s="75"/>
      <c r="L222" s="75"/>
      <c r="M222" s="80"/>
      <c r="N222" s="80"/>
      <c r="O222" s="80"/>
      <c r="P222" s="81" t="str">
        <f>IF(M222="","",'GİDER AYARLARI'!$B$10)</f>
        <v/>
      </c>
      <c r="Q222" s="81" t="str">
        <f ca="1">IF(OR(M222="",J222=""),"",M222*'GİDER AYARLARI'!$B$8*J222/30)</f>
        <v/>
      </c>
      <c r="R222" s="81" t="str">
        <f t="shared" si="14"/>
        <v/>
      </c>
      <c r="S222" s="86" t="str">
        <f t="shared" si="15"/>
        <v/>
      </c>
    </row>
    <row r="223" spans="1:19">
      <c r="A223" s="85" t="str">
        <f t="shared" si="12"/>
        <v/>
      </c>
      <c r="B223" s="75"/>
      <c r="C223" s="78"/>
      <c r="D223" s="79"/>
      <c r="E223" s="75"/>
      <c r="F223" s="75"/>
      <c r="G223" s="75"/>
      <c r="H223" s="75"/>
      <c r="I223" s="77"/>
      <c r="J223" s="76" t="str">
        <f t="shared" ca="1" si="13"/>
        <v/>
      </c>
      <c r="K223" s="75"/>
      <c r="L223" s="75"/>
      <c r="M223" s="80"/>
      <c r="N223" s="80"/>
      <c r="O223" s="80"/>
      <c r="P223" s="81" t="str">
        <f>IF(M223="","",'GİDER AYARLARI'!$B$10)</f>
        <v/>
      </c>
      <c r="Q223" s="81" t="str">
        <f ca="1">IF(OR(M223="",J223=""),"",M223*'GİDER AYARLARI'!$B$8*J223/30)</f>
        <v/>
      </c>
      <c r="R223" s="81" t="str">
        <f t="shared" si="14"/>
        <v/>
      </c>
      <c r="S223" s="86" t="str">
        <f t="shared" si="15"/>
        <v/>
      </c>
    </row>
    <row r="224" spans="1:19">
      <c r="A224" s="85" t="str">
        <f t="shared" si="12"/>
        <v/>
      </c>
      <c r="B224" s="75"/>
      <c r="C224" s="78"/>
      <c r="D224" s="79"/>
      <c r="E224" s="75"/>
      <c r="F224" s="75"/>
      <c r="G224" s="75"/>
      <c r="H224" s="75"/>
      <c r="I224" s="77"/>
      <c r="J224" s="76" t="str">
        <f t="shared" ca="1" si="13"/>
        <v/>
      </c>
      <c r="K224" s="75"/>
      <c r="L224" s="75"/>
      <c r="M224" s="80"/>
      <c r="N224" s="80"/>
      <c r="O224" s="80"/>
      <c r="P224" s="81" t="str">
        <f>IF(M224="","",'GİDER AYARLARI'!$B$10)</f>
        <v/>
      </c>
      <c r="Q224" s="81" t="str">
        <f ca="1">IF(OR(M224="",J224=""),"",M224*'GİDER AYARLARI'!$B$8*J224/30)</f>
        <v/>
      </c>
      <c r="R224" s="81" t="str">
        <f t="shared" si="14"/>
        <v/>
      </c>
      <c r="S224" s="86" t="str">
        <f t="shared" si="15"/>
        <v/>
      </c>
    </row>
    <row r="225" spans="1:19">
      <c r="A225" s="85" t="str">
        <f t="shared" si="12"/>
        <v/>
      </c>
      <c r="B225" s="75"/>
      <c r="C225" s="78"/>
      <c r="D225" s="79"/>
      <c r="E225" s="75"/>
      <c r="F225" s="75"/>
      <c r="G225" s="75"/>
      <c r="H225" s="75"/>
      <c r="I225" s="77"/>
      <c r="J225" s="76" t="str">
        <f t="shared" ca="1" si="13"/>
        <v/>
      </c>
      <c r="K225" s="75"/>
      <c r="L225" s="75"/>
      <c r="M225" s="80"/>
      <c r="N225" s="80"/>
      <c r="O225" s="80"/>
      <c r="P225" s="81" t="str">
        <f>IF(M225="","",'GİDER AYARLARI'!$B$10)</f>
        <v/>
      </c>
      <c r="Q225" s="81" t="str">
        <f ca="1">IF(OR(M225="",J225=""),"",M225*'GİDER AYARLARI'!$B$8*J225/30)</f>
        <v/>
      </c>
      <c r="R225" s="81" t="str">
        <f t="shared" si="14"/>
        <v/>
      </c>
      <c r="S225" s="86" t="str">
        <f t="shared" si="15"/>
        <v/>
      </c>
    </row>
    <row r="226" spans="1:19">
      <c r="A226" s="85" t="str">
        <f t="shared" si="12"/>
        <v/>
      </c>
      <c r="B226" s="75"/>
      <c r="C226" s="78"/>
      <c r="D226" s="79"/>
      <c r="E226" s="75"/>
      <c r="F226" s="75"/>
      <c r="G226" s="75"/>
      <c r="H226" s="75"/>
      <c r="I226" s="77"/>
      <c r="J226" s="76" t="str">
        <f t="shared" ca="1" si="13"/>
        <v/>
      </c>
      <c r="K226" s="75"/>
      <c r="L226" s="75"/>
      <c r="M226" s="80"/>
      <c r="N226" s="80"/>
      <c r="O226" s="80"/>
      <c r="P226" s="81" t="str">
        <f>IF(M226="","",'GİDER AYARLARI'!$B$10)</f>
        <v/>
      </c>
      <c r="Q226" s="81" t="str">
        <f ca="1">IF(OR(M226="",J226=""),"",M226*'GİDER AYARLARI'!$B$8*J226/30)</f>
        <v/>
      </c>
      <c r="R226" s="81" t="str">
        <f t="shared" si="14"/>
        <v/>
      </c>
      <c r="S226" s="86" t="str">
        <f t="shared" si="15"/>
        <v/>
      </c>
    </row>
    <row r="227" spans="1:19">
      <c r="A227" s="85" t="str">
        <f t="shared" si="12"/>
        <v/>
      </c>
      <c r="B227" s="75"/>
      <c r="C227" s="78"/>
      <c r="D227" s="79"/>
      <c r="E227" s="75"/>
      <c r="F227" s="75"/>
      <c r="G227" s="75"/>
      <c r="H227" s="75"/>
      <c r="I227" s="77"/>
      <c r="J227" s="76" t="str">
        <f t="shared" ca="1" si="13"/>
        <v/>
      </c>
      <c r="K227" s="75"/>
      <c r="L227" s="75"/>
      <c r="M227" s="80"/>
      <c r="N227" s="80"/>
      <c r="O227" s="80"/>
      <c r="P227" s="81" t="str">
        <f>IF(M227="","",'GİDER AYARLARI'!$B$10)</f>
        <v/>
      </c>
      <c r="Q227" s="81" t="str">
        <f ca="1">IF(OR(M227="",J227=""),"",M227*'GİDER AYARLARI'!$B$8*J227/30)</f>
        <v/>
      </c>
      <c r="R227" s="81" t="str">
        <f t="shared" si="14"/>
        <v/>
      </c>
      <c r="S227" s="86" t="str">
        <f t="shared" si="15"/>
        <v/>
      </c>
    </row>
    <row r="228" spans="1:19">
      <c r="A228" s="85" t="str">
        <f t="shared" si="12"/>
        <v/>
      </c>
      <c r="B228" s="75"/>
      <c r="C228" s="78"/>
      <c r="D228" s="79"/>
      <c r="E228" s="75"/>
      <c r="F228" s="75"/>
      <c r="G228" s="75"/>
      <c r="H228" s="75"/>
      <c r="I228" s="77"/>
      <c r="J228" s="76" t="str">
        <f t="shared" ca="1" si="13"/>
        <v/>
      </c>
      <c r="K228" s="75"/>
      <c r="L228" s="75"/>
      <c r="M228" s="80"/>
      <c r="N228" s="80"/>
      <c r="O228" s="80"/>
      <c r="P228" s="81" t="str">
        <f>IF(M228="","",'GİDER AYARLARI'!$B$10)</f>
        <v/>
      </c>
      <c r="Q228" s="81" t="str">
        <f ca="1">IF(OR(M228="",J228=""),"",M228*'GİDER AYARLARI'!$B$8*J228/30)</f>
        <v/>
      </c>
      <c r="R228" s="81" t="str">
        <f t="shared" si="14"/>
        <v/>
      </c>
      <c r="S228" s="86" t="str">
        <f t="shared" si="15"/>
        <v/>
      </c>
    </row>
    <row r="229" spans="1:19">
      <c r="A229" s="85" t="str">
        <f t="shared" si="12"/>
        <v/>
      </c>
      <c r="B229" s="75"/>
      <c r="C229" s="78"/>
      <c r="D229" s="79"/>
      <c r="E229" s="75"/>
      <c r="F229" s="75"/>
      <c r="G229" s="75"/>
      <c r="H229" s="75"/>
      <c r="I229" s="77"/>
      <c r="J229" s="76" t="str">
        <f t="shared" ca="1" si="13"/>
        <v/>
      </c>
      <c r="K229" s="75"/>
      <c r="L229" s="75"/>
      <c r="M229" s="80"/>
      <c r="N229" s="80"/>
      <c r="O229" s="80"/>
      <c r="P229" s="81" t="str">
        <f>IF(M229="","",'GİDER AYARLARI'!$B$10)</f>
        <v/>
      </c>
      <c r="Q229" s="81" t="str">
        <f ca="1">IF(OR(M229="",J229=""),"",M229*'GİDER AYARLARI'!$B$8*J229/30)</f>
        <v/>
      </c>
      <c r="R229" s="81" t="str">
        <f t="shared" si="14"/>
        <v/>
      </c>
      <c r="S229" s="86" t="str">
        <f t="shared" si="15"/>
        <v/>
      </c>
    </row>
    <row r="230" spans="1:19">
      <c r="A230" s="85" t="str">
        <f t="shared" si="12"/>
        <v/>
      </c>
      <c r="B230" s="75"/>
      <c r="C230" s="78"/>
      <c r="D230" s="79"/>
      <c r="E230" s="75"/>
      <c r="F230" s="75"/>
      <c r="G230" s="75"/>
      <c r="H230" s="75"/>
      <c r="I230" s="77"/>
      <c r="J230" s="76" t="str">
        <f t="shared" ca="1" si="13"/>
        <v/>
      </c>
      <c r="K230" s="75"/>
      <c r="L230" s="75"/>
      <c r="M230" s="80"/>
      <c r="N230" s="80"/>
      <c r="O230" s="80"/>
      <c r="P230" s="81" t="str">
        <f>IF(M230="","",'GİDER AYARLARI'!$B$10)</f>
        <v/>
      </c>
      <c r="Q230" s="81" t="str">
        <f ca="1">IF(OR(M230="",J230=""),"",M230*'GİDER AYARLARI'!$B$8*J230/30)</f>
        <v/>
      </c>
      <c r="R230" s="81" t="str">
        <f t="shared" si="14"/>
        <v/>
      </c>
      <c r="S230" s="86" t="str">
        <f t="shared" si="15"/>
        <v/>
      </c>
    </row>
    <row r="231" spans="1:19">
      <c r="A231" s="85" t="str">
        <f t="shared" si="12"/>
        <v/>
      </c>
      <c r="B231" s="75"/>
      <c r="C231" s="78"/>
      <c r="D231" s="79"/>
      <c r="E231" s="75"/>
      <c r="F231" s="75"/>
      <c r="G231" s="75"/>
      <c r="H231" s="75"/>
      <c r="I231" s="77"/>
      <c r="J231" s="76" t="str">
        <f t="shared" ca="1" si="13"/>
        <v/>
      </c>
      <c r="K231" s="75"/>
      <c r="L231" s="75"/>
      <c r="M231" s="80"/>
      <c r="N231" s="80"/>
      <c r="O231" s="80"/>
      <c r="P231" s="81" t="str">
        <f>IF(M231="","",'GİDER AYARLARI'!$B$10)</f>
        <v/>
      </c>
      <c r="Q231" s="81" t="str">
        <f ca="1">IF(OR(M231="",J231=""),"",M231*'GİDER AYARLARI'!$B$8*J231/30)</f>
        <v/>
      </c>
      <c r="R231" s="81" t="str">
        <f t="shared" si="14"/>
        <v/>
      </c>
      <c r="S231" s="86" t="str">
        <f t="shared" si="15"/>
        <v/>
      </c>
    </row>
    <row r="232" spans="1:19">
      <c r="A232" s="85" t="str">
        <f t="shared" si="12"/>
        <v/>
      </c>
      <c r="B232" s="75"/>
      <c r="C232" s="78"/>
      <c r="D232" s="79"/>
      <c r="E232" s="75"/>
      <c r="F232" s="75"/>
      <c r="G232" s="75"/>
      <c r="H232" s="75"/>
      <c r="I232" s="77"/>
      <c r="J232" s="76" t="str">
        <f t="shared" ca="1" si="13"/>
        <v/>
      </c>
      <c r="K232" s="75"/>
      <c r="L232" s="75"/>
      <c r="M232" s="80"/>
      <c r="N232" s="80"/>
      <c r="O232" s="80"/>
      <c r="P232" s="81" t="str">
        <f>IF(M232="","",'GİDER AYARLARI'!$B$10)</f>
        <v/>
      </c>
      <c r="Q232" s="81" t="str">
        <f ca="1">IF(OR(M232="",J232=""),"",M232*'GİDER AYARLARI'!$B$8*J232/30)</f>
        <v/>
      </c>
      <c r="R232" s="81" t="str">
        <f t="shared" si="14"/>
        <v/>
      </c>
      <c r="S232" s="86" t="str">
        <f t="shared" si="15"/>
        <v/>
      </c>
    </row>
    <row r="233" spans="1:19">
      <c r="A233" s="85" t="str">
        <f t="shared" si="12"/>
        <v/>
      </c>
      <c r="B233" s="75"/>
      <c r="C233" s="78"/>
      <c r="D233" s="79"/>
      <c r="E233" s="75"/>
      <c r="F233" s="75"/>
      <c r="G233" s="75"/>
      <c r="H233" s="75"/>
      <c r="I233" s="77"/>
      <c r="J233" s="76" t="str">
        <f t="shared" ca="1" si="13"/>
        <v/>
      </c>
      <c r="K233" s="75"/>
      <c r="L233" s="75"/>
      <c r="M233" s="80"/>
      <c r="N233" s="80"/>
      <c r="O233" s="80"/>
      <c r="P233" s="81" t="str">
        <f>IF(M233="","",'GİDER AYARLARI'!$B$10)</f>
        <v/>
      </c>
      <c r="Q233" s="81" t="str">
        <f ca="1">IF(OR(M233="",J233=""),"",M233*'GİDER AYARLARI'!$B$8*J233/30)</f>
        <v/>
      </c>
      <c r="R233" s="81" t="str">
        <f t="shared" si="14"/>
        <v/>
      </c>
      <c r="S233" s="86" t="str">
        <f t="shared" si="15"/>
        <v/>
      </c>
    </row>
    <row r="234" spans="1:19">
      <c r="A234" s="85" t="str">
        <f t="shared" si="12"/>
        <v/>
      </c>
      <c r="B234" s="75"/>
      <c r="C234" s="78"/>
      <c r="D234" s="79"/>
      <c r="E234" s="75"/>
      <c r="F234" s="75"/>
      <c r="G234" s="75"/>
      <c r="H234" s="75"/>
      <c r="I234" s="77"/>
      <c r="J234" s="76" t="str">
        <f t="shared" ca="1" si="13"/>
        <v/>
      </c>
      <c r="K234" s="75"/>
      <c r="L234" s="75"/>
      <c r="M234" s="80"/>
      <c r="N234" s="80"/>
      <c r="O234" s="80"/>
      <c r="P234" s="81" t="str">
        <f>IF(M234="","",'GİDER AYARLARI'!$B$10)</f>
        <v/>
      </c>
      <c r="Q234" s="81" t="str">
        <f ca="1">IF(OR(M234="",J234=""),"",M234*'GİDER AYARLARI'!$B$8*J234/30)</f>
        <v/>
      </c>
      <c r="R234" s="81" t="str">
        <f t="shared" si="14"/>
        <v/>
      </c>
      <c r="S234" s="86" t="str">
        <f t="shared" si="15"/>
        <v/>
      </c>
    </row>
    <row r="235" spans="1:19">
      <c r="A235" s="85" t="str">
        <f t="shared" si="12"/>
        <v/>
      </c>
      <c r="B235" s="75"/>
      <c r="C235" s="78"/>
      <c r="D235" s="79"/>
      <c r="E235" s="75"/>
      <c r="F235" s="75"/>
      <c r="G235" s="75"/>
      <c r="H235" s="75"/>
      <c r="I235" s="77"/>
      <c r="J235" s="76" t="str">
        <f t="shared" ca="1" si="13"/>
        <v/>
      </c>
      <c r="K235" s="75"/>
      <c r="L235" s="75"/>
      <c r="M235" s="80"/>
      <c r="N235" s="80"/>
      <c r="O235" s="80"/>
      <c r="P235" s="81" t="str">
        <f>IF(M235="","",'GİDER AYARLARI'!$B$10)</f>
        <v/>
      </c>
      <c r="Q235" s="81" t="str">
        <f ca="1">IF(OR(M235="",J235=""),"",M235*'GİDER AYARLARI'!$B$8*J235/30)</f>
        <v/>
      </c>
      <c r="R235" s="81" t="str">
        <f t="shared" si="14"/>
        <v/>
      </c>
      <c r="S235" s="86" t="str">
        <f t="shared" si="15"/>
        <v/>
      </c>
    </row>
    <row r="236" spans="1:19">
      <c r="A236" s="85" t="str">
        <f t="shared" si="12"/>
        <v/>
      </c>
      <c r="B236" s="75"/>
      <c r="C236" s="78"/>
      <c r="D236" s="79"/>
      <c r="E236" s="75"/>
      <c r="F236" s="75"/>
      <c r="G236" s="75"/>
      <c r="H236" s="75"/>
      <c r="I236" s="77"/>
      <c r="J236" s="76" t="str">
        <f t="shared" ca="1" si="13"/>
        <v/>
      </c>
      <c r="K236" s="75"/>
      <c r="L236" s="75"/>
      <c r="M236" s="80"/>
      <c r="N236" s="80"/>
      <c r="O236" s="80"/>
      <c r="P236" s="81" t="str">
        <f>IF(M236="","",'GİDER AYARLARI'!$B$10)</f>
        <v/>
      </c>
      <c r="Q236" s="81" t="str">
        <f ca="1">IF(OR(M236="",J236=""),"",M236*'GİDER AYARLARI'!$B$8*J236/30)</f>
        <v/>
      </c>
      <c r="R236" s="81" t="str">
        <f t="shared" si="14"/>
        <v/>
      </c>
      <c r="S236" s="86" t="str">
        <f t="shared" si="15"/>
        <v/>
      </c>
    </row>
    <row r="237" spans="1:19">
      <c r="A237" s="85" t="str">
        <f t="shared" si="12"/>
        <v/>
      </c>
      <c r="B237" s="75"/>
      <c r="C237" s="78"/>
      <c r="D237" s="79"/>
      <c r="E237" s="75"/>
      <c r="F237" s="75"/>
      <c r="G237" s="75"/>
      <c r="H237" s="75"/>
      <c r="I237" s="77"/>
      <c r="J237" s="76" t="str">
        <f t="shared" ca="1" si="13"/>
        <v/>
      </c>
      <c r="K237" s="75"/>
      <c r="L237" s="75"/>
      <c r="M237" s="80"/>
      <c r="N237" s="80"/>
      <c r="O237" s="80"/>
      <c r="P237" s="81" t="str">
        <f>IF(M237="","",'GİDER AYARLARI'!$B$10)</f>
        <v/>
      </c>
      <c r="Q237" s="81" t="str">
        <f ca="1">IF(OR(M237="",J237=""),"",M237*'GİDER AYARLARI'!$B$8*J237/30)</f>
        <v/>
      </c>
      <c r="R237" s="81" t="str">
        <f t="shared" si="14"/>
        <v/>
      </c>
      <c r="S237" s="86" t="str">
        <f t="shared" si="15"/>
        <v/>
      </c>
    </row>
    <row r="238" spans="1:19">
      <c r="A238" s="85" t="str">
        <f t="shared" si="12"/>
        <v/>
      </c>
      <c r="B238" s="75"/>
      <c r="C238" s="78"/>
      <c r="D238" s="79"/>
      <c r="E238" s="75"/>
      <c r="F238" s="75"/>
      <c r="G238" s="75"/>
      <c r="H238" s="75"/>
      <c r="I238" s="77"/>
      <c r="J238" s="76" t="str">
        <f t="shared" ca="1" si="13"/>
        <v/>
      </c>
      <c r="K238" s="75"/>
      <c r="L238" s="75"/>
      <c r="M238" s="80"/>
      <c r="N238" s="80"/>
      <c r="O238" s="80"/>
      <c r="P238" s="81" t="str">
        <f>IF(M238="","",'GİDER AYARLARI'!$B$10)</f>
        <v/>
      </c>
      <c r="Q238" s="81" t="str">
        <f ca="1">IF(OR(M238="",J238=""),"",M238*'GİDER AYARLARI'!$B$8*J238/30)</f>
        <v/>
      </c>
      <c r="R238" s="81" t="str">
        <f t="shared" si="14"/>
        <v/>
      </c>
      <c r="S238" s="86" t="str">
        <f t="shared" si="15"/>
        <v/>
      </c>
    </row>
    <row r="239" spans="1:19">
      <c r="A239" s="85" t="str">
        <f t="shared" si="12"/>
        <v/>
      </c>
      <c r="B239" s="75"/>
      <c r="C239" s="78"/>
      <c r="D239" s="79"/>
      <c r="E239" s="75"/>
      <c r="F239" s="75"/>
      <c r="G239" s="75"/>
      <c r="H239" s="75"/>
      <c r="I239" s="77"/>
      <c r="J239" s="76" t="str">
        <f t="shared" ca="1" si="13"/>
        <v/>
      </c>
      <c r="K239" s="75"/>
      <c r="L239" s="75"/>
      <c r="M239" s="80"/>
      <c r="N239" s="80"/>
      <c r="O239" s="80"/>
      <c r="P239" s="81" t="str">
        <f>IF(M239="","",'GİDER AYARLARI'!$B$10)</f>
        <v/>
      </c>
      <c r="Q239" s="81" t="str">
        <f ca="1">IF(OR(M239="",J239=""),"",M239*'GİDER AYARLARI'!$B$8*J239/30)</f>
        <v/>
      </c>
      <c r="R239" s="81" t="str">
        <f t="shared" si="14"/>
        <v/>
      </c>
      <c r="S239" s="86" t="str">
        <f t="shared" si="15"/>
        <v/>
      </c>
    </row>
    <row r="240" spans="1:19">
      <c r="A240" s="85" t="str">
        <f t="shared" si="12"/>
        <v/>
      </c>
      <c r="B240" s="75"/>
      <c r="C240" s="78"/>
      <c r="D240" s="79"/>
      <c r="E240" s="75"/>
      <c r="F240" s="75"/>
      <c r="G240" s="75"/>
      <c r="H240" s="75"/>
      <c r="I240" s="77"/>
      <c r="J240" s="76" t="str">
        <f t="shared" ca="1" si="13"/>
        <v/>
      </c>
      <c r="K240" s="75"/>
      <c r="L240" s="75"/>
      <c r="M240" s="80"/>
      <c r="N240" s="80"/>
      <c r="O240" s="80"/>
      <c r="P240" s="81" t="str">
        <f>IF(M240="","",'GİDER AYARLARI'!$B$10)</f>
        <v/>
      </c>
      <c r="Q240" s="81" t="str">
        <f ca="1">IF(OR(M240="",J240=""),"",M240*'GİDER AYARLARI'!$B$8*J240/30)</f>
        <v/>
      </c>
      <c r="R240" s="81" t="str">
        <f t="shared" si="14"/>
        <v/>
      </c>
      <c r="S240" s="86" t="str">
        <f t="shared" si="15"/>
        <v/>
      </c>
    </row>
    <row r="241" spans="1:19">
      <c r="A241" s="85" t="str">
        <f t="shared" si="12"/>
        <v/>
      </c>
      <c r="B241" s="75"/>
      <c r="C241" s="78"/>
      <c r="D241" s="79"/>
      <c r="E241" s="75"/>
      <c r="F241" s="75"/>
      <c r="G241" s="75"/>
      <c r="H241" s="75"/>
      <c r="I241" s="77"/>
      <c r="J241" s="76" t="str">
        <f t="shared" ca="1" si="13"/>
        <v/>
      </c>
      <c r="K241" s="75"/>
      <c r="L241" s="75"/>
      <c r="M241" s="80"/>
      <c r="N241" s="80"/>
      <c r="O241" s="80"/>
      <c r="P241" s="81" t="str">
        <f>IF(M241="","",'GİDER AYARLARI'!$B$10)</f>
        <v/>
      </c>
      <c r="Q241" s="81" t="str">
        <f ca="1">IF(OR(M241="",J241=""),"",M241*'GİDER AYARLARI'!$B$8*J241/30)</f>
        <v/>
      </c>
      <c r="R241" s="81" t="str">
        <f t="shared" si="14"/>
        <v/>
      </c>
      <c r="S241" s="86" t="str">
        <f t="shared" si="15"/>
        <v/>
      </c>
    </row>
    <row r="242" spans="1:19">
      <c r="A242" s="85" t="str">
        <f t="shared" si="12"/>
        <v/>
      </c>
      <c r="B242" s="75"/>
      <c r="C242" s="78"/>
      <c r="D242" s="79"/>
      <c r="E242" s="75"/>
      <c r="F242" s="75"/>
      <c r="G242" s="75"/>
      <c r="H242" s="75"/>
      <c r="I242" s="77"/>
      <c r="J242" s="76" t="str">
        <f t="shared" ca="1" si="13"/>
        <v/>
      </c>
      <c r="K242" s="75"/>
      <c r="L242" s="75"/>
      <c r="M242" s="80"/>
      <c r="N242" s="80"/>
      <c r="O242" s="80"/>
      <c r="P242" s="81" t="str">
        <f>IF(M242="","",'GİDER AYARLARI'!$B$10)</f>
        <v/>
      </c>
      <c r="Q242" s="81" t="str">
        <f ca="1">IF(OR(M242="",J242=""),"",M242*'GİDER AYARLARI'!$B$8*J242/30)</f>
        <v/>
      </c>
      <c r="R242" s="81" t="str">
        <f t="shared" si="14"/>
        <v/>
      </c>
      <c r="S242" s="86" t="str">
        <f t="shared" si="15"/>
        <v/>
      </c>
    </row>
    <row r="243" spans="1:19">
      <c r="A243" s="85" t="str">
        <f t="shared" si="12"/>
        <v/>
      </c>
      <c r="B243" s="75"/>
      <c r="C243" s="78"/>
      <c r="D243" s="79"/>
      <c r="E243" s="75"/>
      <c r="F243" s="75"/>
      <c r="G243" s="75"/>
      <c r="H243" s="75"/>
      <c r="I243" s="77"/>
      <c r="J243" s="76" t="str">
        <f t="shared" ca="1" si="13"/>
        <v/>
      </c>
      <c r="K243" s="75"/>
      <c r="L243" s="75"/>
      <c r="M243" s="80"/>
      <c r="N243" s="80"/>
      <c r="O243" s="80"/>
      <c r="P243" s="81" t="str">
        <f>IF(M243="","",'GİDER AYARLARI'!$B$10)</f>
        <v/>
      </c>
      <c r="Q243" s="81" t="str">
        <f ca="1">IF(OR(M243="",J243=""),"",M243*'GİDER AYARLARI'!$B$8*J243/30)</f>
        <v/>
      </c>
      <c r="R243" s="81" t="str">
        <f t="shared" si="14"/>
        <v/>
      </c>
      <c r="S243" s="86" t="str">
        <f t="shared" si="15"/>
        <v/>
      </c>
    </row>
    <row r="244" spans="1:19">
      <c r="A244" s="85" t="str">
        <f t="shared" si="12"/>
        <v/>
      </c>
      <c r="B244" s="75"/>
      <c r="C244" s="78"/>
      <c r="D244" s="79"/>
      <c r="E244" s="75"/>
      <c r="F244" s="75"/>
      <c r="G244" s="75"/>
      <c r="H244" s="75"/>
      <c r="I244" s="77"/>
      <c r="J244" s="76" t="str">
        <f t="shared" ca="1" si="13"/>
        <v/>
      </c>
      <c r="K244" s="75"/>
      <c r="L244" s="75"/>
      <c r="M244" s="80"/>
      <c r="N244" s="80"/>
      <c r="O244" s="80"/>
      <c r="P244" s="81" t="str">
        <f>IF(M244="","",'GİDER AYARLARI'!$B$10)</f>
        <v/>
      </c>
      <c r="Q244" s="81" t="str">
        <f ca="1">IF(OR(M244="",J244=""),"",M244*'GİDER AYARLARI'!$B$8*J244/30)</f>
        <v/>
      </c>
      <c r="R244" s="81" t="str">
        <f t="shared" si="14"/>
        <v/>
      </c>
      <c r="S244" s="86" t="str">
        <f t="shared" si="15"/>
        <v/>
      </c>
    </row>
    <row r="245" spans="1:19">
      <c r="A245" s="85" t="str">
        <f t="shared" si="12"/>
        <v/>
      </c>
      <c r="B245" s="75"/>
      <c r="C245" s="78"/>
      <c r="D245" s="79"/>
      <c r="E245" s="75"/>
      <c r="F245" s="75"/>
      <c r="G245" s="75"/>
      <c r="H245" s="75"/>
      <c r="I245" s="77"/>
      <c r="J245" s="76" t="str">
        <f t="shared" ca="1" si="13"/>
        <v/>
      </c>
      <c r="K245" s="75"/>
      <c r="L245" s="75"/>
      <c r="M245" s="80"/>
      <c r="N245" s="80"/>
      <c r="O245" s="80"/>
      <c r="P245" s="81" t="str">
        <f>IF(M245="","",'GİDER AYARLARI'!$B$10)</f>
        <v/>
      </c>
      <c r="Q245" s="81" t="str">
        <f ca="1">IF(OR(M245="",J245=""),"",M245*'GİDER AYARLARI'!$B$8*J245/30)</f>
        <v/>
      </c>
      <c r="R245" s="81" t="str">
        <f t="shared" si="14"/>
        <v/>
      </c>
      <c r="S245" s="86" t="str">
        <f t="shared" si="15"/>
        <v/>
      </c>
    </row>
    <row r="246" spans="1:19">
      <c r="A246" s="85" t="str">
        <f t="shared" si="12"/>
        <v/>
      </c>
      <c r="B246" s="75"/>
      <c r="C246" s="78"/>
      <c r="D246" s="79"/>
      <c r="E246" s="75"/>
      <c r="F246" s="75"/>
      <c r="G246" s="75"/>
      <c r="H246" s="75"/>
      <c r="I246" s="77"/>
      <c r="J246" s="76" t="str">
        <f t="shared" ca="1" si="13"/>
        <v/>
      </c>
      <c r="K246" s="75"/>
      <c r="L246" s="75"/>
      <c r="M246" s="80"/>
      <c r="N246" s="80"/>
      <c r="O246" s="80"/>
      <c r="P246" s="81" t="str">
        <f>IF(M246="","",'GİDER AYARLARI'!$B$10)</f>
        <v/>
      </c>
      <c r="Q246" s="81" t="str">
        <f ca="1">IF(OR(M246="",J246=""),"",M246*'GİDER AYARLARI'!$B$8*J246/30)</f>
        <v/>
      </c>
      <c r="R246" s="81" t="str">
        <f t="shared" si="14"/>
        <v/>
      </c>
      <c r="S246" s="86" t="str">
        <f t="shared" si="15"/>
        <v/>
      </c>
    </row>
    <row r="247" spans="1:19">
      <c r="A247" s="85" t="str">
        <f t="shared" si="12"/>
        <v/>
      </c>
      <c r="B247" s="75"/>
      <c r="C247" s="78"/>
      <c r="D247" s="79"/>
      <c r="E247" s="75"/>
      <c r="F247" s="75"/>
      <c r="G247" s="75"/>
      <c r="H247" s="75"/>
      <c r="I247" s="77"/>
      <c r="J247" s="76" t="str">
        <f t="shared" ca="1" si="13"/>
        <v/>
      </c>
      <c r="K247" s="75"/>
      <c r="L247" s="75"/>
      <c r="M247" s="80"/>
      <c r="N247" s="80"/>
      <c r="O247" s="80"/>
      <c r="P247" s="81" t="str">
        <f>IF(M247="","",'GİDER AYARLARI'!$B$10)</f>
        <v/>
      </c>
      <c r="Q247" s="81" t="str">
        <f ca="1">IF(OR(M247="",J247=""),"",M247*'GİDER AYARLARI'!$B$8*J247/30)</f>
        <v/>
      </c>
      <c r="R247" s="81" t="str">
        <f t="shared" si="14"/>
        <v/>
      </c>
      <c r="S247" s="86" t="str">
        <f t="shared" si="15"/>
        <v/>
      </c>
    </row>
    <row r="248" spans="1:19">
      <c r="A248" s="85" t="str">
        <f t="shared" si="12"/>
        <v/>
      </c>
      <c r="B248" s="75"/>
      <c r="C248" s="78"/>
      <c r="D248" s="79"/>
      <c r="E248" s="75"/>
      <c r="F248" s="75"/>
      <c r="G248" s="75"/>
      <c r="H248" s="75"/>
      <c r="I248" s="77"/>
      <c r="J248" s="76" t="str">
        <f t="shared" ca="1" si="13"/>
        <v/>
      </c>
      <c r="K248" s="75"/>
      <c r="L248" s="75"/>
      <c r="M248" s="80"/>
      <c r="N248" s="80"/>
      <c r="O248" s="80"/>
      <c r="P248" s="81" t="str">
        <f>IF(M248="","",'GİDER AYARLARI'!$B$10)</f>
        <v/>
      </c>
      <c r="Q248" s="81" t="str">
        <f ca="1">IF(OR(M248="",J248=""),"",M248*'GİDER AYARLARI'!$B$8*J248/30)</f>
        <v/>
      </c>
      <c r="R248" s="81" t="str">
        <f t="shared" si="14"/>
        <v/>
      </c>
      <c r="S248" s="86" t="str">
        <f t="shared" si="15"/>
        <v/>
      </c>
    </row>
    <row r="249" spans="1:19">
      <c r="A249" s="85" t="str">
        <f t="shared" si="12"/>
        <v/>
      </c>
      <c r="B249" s="75"/>
      <c r="C249" s="78"/>
      <c r="D249" s="79"/>
      <c r="E249" s="75"/>
      <c r="F249" s="75"/>
      <c r="G249" s="75"/>
      <c r="H249" s="75"/>
      <c r="I249" s="77"/>
      <c r="J249" s="76" t="str">
        <f t="shared" ca="1" si="13"/>
        <v/>
      </c>
      <c r="K249" s="75"/>
      <c r="L249" s="75"/>
      <c r="M249" s="80"/>
      <c r="N249" s="80"/>
      <c r="O249" s="80"/>
      <c r="P249" s="81" t="str">
        <f>IF(M249="","",'GİDER AYARLARI'!$B$10)</f>
        <v/>
      </c>
      <c r="Q249" s="81" t="str">
        <f ca="1">IF(OR(M249="",J249=""),"",M249*'GİDER AYARLARI'!$B$8*J249/30)</f>
        <v/>
      </c>
      <c r="R249" s="81" t="str">
        <f t="shared" si="14"/>
        <v/>
      </c>
      <c r="S249" s="86" t="str">
        <f t="shared" si="15"/>
        <v/>
      </c>
    </row>
    <row r="250" spans="1:19">
      <c r="A250" s="85" t="str">
        <f t="shared" si="12"/>
        <v/>
      </c>
      <c r="B250" s="75"/>
      <c r="C250" s="78"/>
      <c r="D250" s="79"/>
      <c r="E250" s="75"/>
      <c r="F250" s="75"/>
      <c r="G250" s="75"/>
      <c r="H250" s="75"/>
      <c r="I250" s="77"/>
      <c r="J250" s="76" t="str">
        <f t="shared" ca="1" si="13"/>
        <v/>
      </c>
      <c r="K250" s="75"/>
      <c r="L250" s="75"/>
      <c r="M250" s="80"/>
      <c r="N250" s="80"/>
      <c r="O250" s="80"/>
      <c r="P250" s="81" t="str">
        <f>IF(M250="","",'GİDER AYARLARI'!$B$10)</f>
        <v/>
      </c>
      <c r="Q250" s="81" t="str">
        <f ca="1">IF(OR(M250="",J250=""),"",M250*'GİDER AYARLARI'!$B$8*J250/30)</f>
        <v/>
      </c>
      <c r="R250" s="81" t="str">
        <f t="shared" si="14"/>
        <v/>
      </c>
      <c r="S250" s="86" t="str">
        <f t="shared" si="15"/>
        <v/>
      </c>
    </row>
    <row r="251" spans="1:19">
      <c r="A251" s="85" t="str">
        <f t="shared" si="12"/>
        <v/>
      </c>
      <c r="B251" s="75"/>
      <c r="C251" s="78"/>
      <c r="D251" s="79"/>
      <c r="E251" s="75"/>
      <c r="F251" s="75"/>
      <c r="G251" s="75"/>
      <c r="H251" s="75"/>
      <c r="I251" s="77"/>
      <c r="J251" s="76" t="str">
        <f t="shared" ca="1" si="13"/>
        <v/>
      </c>
      <c r="K251" s="75"/>
      <c r="L251" s="75"/>
      <c r="M251" s="80"/>
      <c r="N251" s="80"/>
      <c r="O251" s="80"/>
      <c r="P251" s="81" t="str">
        <f>IF(M251="","",'GİDER AYARLARI'!$B$10)</f>
        <v/>
      </c>
      <c r="Q251" s="81" t="str">
        <f ca="1">IF(OR(M251="",J251=""),"",M251*'GİDER AYARLARI'!$B$8*J251/30)</f>
        <v/>
      </c>
      <c r="R251" s="81" t="str">
        <f t="shared" si="14"/>
        <v/>
      </c>
      <c r="S251" s="86" t="str">
        <f t="shared" si="15"/>
        <v/>
      </c>
    </row>
    <row r="252" spans="1:19">
      <c r="A252" s="85" t="str">
        <f t="shared" si="12"/>
        <v/>
      </c>
      <c r="B252" s="75"/>
      <c r="C252" s="78"/>
      <c r="D252" s="79"/>
      <c r="E252" s="75"/>
      <c r="F252" s="75"/>
      <c r="G252" s="75"/>
      <c r="H252" s="75"/>
      <c r="I252" s="77"/>
      <c r="J252" s="76" t="str">
        <f t="shared" ca="1" si="13"/>
        <v/>
      </c>
      <c r="K252" s="75"/>
      <c r="L252" s="75"/>
      <c r="M252" s="80"/>
      <c r="N252" s="80"/>
      <c r="O252" s="80"/>
      <c r="P252" s="81" t="str">
        <f>IF(M252="","",'GİDER AYARLARI'!$B$10)</f>
        <v/>
      </c>
      <c r="Q252" s="81" t="str">
        <f ca="1">IF(OR(M252="",J252=""),"",M252*'GİDER AYARLARI'!$B$8*J252/30)</f>
        <v/>
      </c>
      <c r="R252" s="81" t="str">
        <f t="shared" si="14"/>
        <v/>
      </c>
      <c r="S252" s="86" t="str">
        <f t="shared" si="15"/>
        <v/>
      </c>
    </row>
    <row r="253" spans="1:19">
      <c r="A253" s="85" t="str">
        <f t="shared" si="12"/>
        <v/>
      </c>
      <c r="B253" s="75"/>
      <c r="C253" s="78"/>
      <c r="D253" s="79"/>
      <c r="E253" s="75"/>
      <c r="F253" s="75"/>
      <c r="G253" s="75"/>
      <c r="H253" s="75"/>
      <c r="I253" s="77"/>
      <c r="J253" s="76" t="str">
        <f t="shared" ca="1" si="13"/>
        <v/>
      </c>
      <c r="K253" s="75"/>
      <c r="L253" s="75"/>
      <c r="M253" s="80"/>
      <c r="N253" s="80"/>
      <c r="O253" s="80"/>
      <c r="P253" s="81" t="str">
        <f>IF(M253="","",'GİDER AYARLARI'!$B$10)</f>
        <v/>
      </c>
      <c r="Q253" s="81" t="str">
        <f ca="1">IF(OR(M253="",J253=""),"",M253*'GİDER AYARLARI'!$B$8*J253/30)</f>
        <v/>
      </c>
      <c r="R253" s="81" t="str">
        <f t="shared" si="14"/>
        <v/>
      </c>
      <c r="S253" s="86" t="str">
        <f t="shared" si="15"/>
        <v/>
      </c>
    </row>
    <row r="254" spans="1:19">
      <c r="A254" s="85" t="str">
        <f t="shared" si="12"/>
        <v/>
      </c>
      <c r="B254" s="75"/>
      <c r="C254" s="78"/>
      <c r="D254" s="79"/>
      <c r="E254" s="75"/>
      <c r="F254" s="75"/>
      <c r="G254" s="75"/>
      <c r="H254" s="75"/>
      <c r="I254" s="77"/>
      <c r="J254" s="76" t="str">
        <f t="shared" ca="1" si="13"/>
        <v/>
      </c>
      <c r="K254" s="75"/>
      <c r="L254" s="75"/>
      <c r="M254" s="80"/>
      <c r="N254" s="80"/>
      <c r="O254" s="80"/>
      <c r="P254" s="81" t="str">
        <f>IF(M254="","",'GİDER AYARLARI'!$B$10)</f>
        <v/>
      </c>
      <c r="Q254" s="81" t="str">
        <f ca="1">IF(OR(M254="",J254=""),"",M254*'GİDER AYARLARI'!$B$8*J254/30)</f>
        <v/>
      </c>
      <c r="R254" s="81" t="str">
        <f t="shared" si="14"/>
        <v/>
      </c>
      <c r="S254" s="86" t="str">
        <f t="shared" si="15"/>
        <v/>
      </c>
    </row>
    <row r="255" spans="1:19">
      <c r="A255" s="85" t="str">
        <f t="shared" si="12"/>
        <v/>
      </c>
      <c r="B255" s="75"/>
      <c r="C255" s="78"/>
      <c r="D255" s="79"/>
      <c r="E255" s="75"/>
      <c r="F255" s="75"/>
      <c r="G255" s="75"/>
      <c r="H255" s="75"/>
      <c r="I255" s="77"/>
      <c r="J255" s="76" t="str">
        <f t="shared" ca="1" si="13"/>
        <v/>
      </c>
      <c r="K255" s="75"/>
      <c r="L255" s="75"/>
      <c r="M255" s="80"/>
      <c r="N255" s="80"/>
      <c r="O255" s="80"/>
      <c r="P255" s="81" t="str">
        <f>IF(M255="","",'GİDER AYARLARI'!$B$10)</f>
        <v/>
      </c>
      <c r="Q255" s="81" t="str">
        <f ca="1">IF(OR(M255="",J255=""),"",M255*'GİDER AYARLARI'!$B$8*J255/30)</f>
        <v/>
      </c>
      <c r="R255" s="81" t="str">
        <f t="shared" si="14"/>
        <v/>
      </c>
      <c r="S255" s="86" t="str">
        <f t="shared" si="15"/>
        <v/>
      </c>
    </row>
    <row r="256" spans="1:19">
      <c r="A256" s="85" t="str">
        <f t="shared" si="12"/>
        <v/>
      </c>
      <c r="B256" s="75"/>
      <c r="C256" s="78"/>
      <c r="D256" s="79"/>
      <c r="E256" s="75"/>
      <c r="F256" s="75"/>
      <c r="G256" s="75"/>
      <c r="H256" s="75"/>
      <c r="I256" s="77"/>
      <c r="J256" s="76" t="str">
        <f t="shared" ca="1" si="13"/>
        <v/>
      </c>
      <c r="K256" s="75"/>
      <c r="L256" s="75"/>
      <c r="M256" s="80"/>
      <c r="N256" s="80"/>
      <c r="O256" s="80"/>
      <c r="P256" s="81" t="str">
        <f>IF(M256="","",'GİDER AYARLARI'!$B$10)</f>
        <v/>
      </c>
      <c r="Q256" s="81" t="str">
        <f ca="1">IF(OR(M256="",J256=""),"",M256*'GİDER AYARLARI'!$B$8*J256/30)</f>
        <v/>
      </c>
      <c r="R256" s="81" t="str">
        <f t="shared" si="14"/>
        <v/>
      </c>
      <c r="S256" s="86" t="str">
        <f t="shared" si="15"/>
        <v/>
      </c>
    </row>
    <row r="257" spans="1:19">
      <c r="A257" s="85" t="str">
        <f t="shared" si="12"/>
        <v/>
      </c>
      <c r="B257" s="75"/>
      <c r="C257" s="78"/>
      <c r="D257" s="79"/>
      <c r="E257" s="75"/>
      <c r="F257" s="75"/>
      <c r="G257" s="75"/>
      <c r="H257" s="75"/>
      <c r="I257" s="77"/>
      <c r="J257" s="76" t="str">
        <f t="shared" ca="1" si="13"/>
        <v/>
      </c>
      <c r="K257" s="75"/>
      <c r="L257" s="75"/>
      <c r="M257" s="80"/>
      <c r="N257" s="80"/>
      <c r="O257" s="80"/>
      <c r="P257" s="81" t="str">
        <f>IF(M257="","",'GİDER AYARLARI'!$B$10)</f>
        <v/>
      </c>
      <c r="Q257" s="81" t="str">
        <f ca="1">IF(OR(M257="",J257=""),"",M257*'GİDER AYARLARI'!$B$8*J257/30)</f>
        <v/>
      </c>
      <c r="R257" s="81" t="str">
        <f t="shared" si="14"/>
        <v/>
      </c>
      <c r="S257" s="86" t="str">
        <f t="shared" si="15"/>
        <v/>
      </c>
    </row>
    <row r="258" spans="1:19">
      <c r="A258" s="85" t="str">
        <f t="shared" si="12"/>
        <v/>
      </c>
      <c r="B258" s="75"/>
      <c r="C258" s="78"/>
      <c r="D258" s="79"/>
      <c r="E258" s="75"/>
      <c r="F258" s="75"/>
      <c r="G258" s="75"/>
      <c r="H258" s="75"/>
      <c r="I258" s="77"/>
      <c r="J258" s="76" t="str">
        <f t="shared" ca="1" si="13"/>
        <v/>
      </c>
      <c r="K258" s="75"/>
      <c r="L258" s="75"/>
      <c r="M258" s="80"/>
      <c r="N258" s="80"/>
      <c r="O258" s="80"/>
      <c r="P258" s="81" t="str">
        <f>IF(M258="","",'GİDER AYARLARI'!$B$10)</f>
        <v/>
      </c>
      <c r="Q258" s="81" t="str">
        <f ca="1">IF(OR(M258="",J258=""),"",M258*'GİDER AYARLARI'!$B$8*J258/30)</f>
        <v/>
      </c>
      <c r="R258" s="81" t="str">
        <f t="shared" si="14"/>
        <v/>
      </c>
      <c r="S258" s="86" t="str">
        <f t="shared" si="15"/>
        <v/>
      </c>
    </row>
    <row r="259" spans="1:19">
      <c r="A259" s="85" t="str">
        <f t="shared" si="12"/>
        <v/>
      </c>
      <c r="B259" s="75"/>
      <c r="C259" s="78"/>
      <c r="D259" s="79"/>
      <c r="E259" s="75"/>
      <c r="F259" s="75"/>
      <c r="G259" s="75"/>
      <c r="H259" s="75"/>
      <c r="I259" s="77"/>
      <c r="J259" s="76" t="str">
        <f t="shared" ca="1" si="13"/>
        <v/>
      </c>
      <c r="K259" s="75"/>
      <c r="L259" s="75"/>
      <c r="M259" s="80"/>
      <c r="N259" s="80"/>
      <c r="O259" s="80"/>
      <c r="P259" s="81" t="str">
        <f>IF(M259="","",'GİDER AYARLARI'!$B$10)</f>
        <v/>
      </c>
      <c r="Q259" s="81" t="str">
        <f ca="1">IF(OR(M259="",J259=""),"",M259*'GİDER AYARLARI'!$B$8*J259/30)</f>
        <v/>
      </c>
      <c r="R259" s="81" t="str">
        <f t="shared" si="14"/>
        <v/>
      </c>
      <c r="S259" s="86" t="str">
        <f t="shared" si="15"/>
        <v/>
      </c>
    </row>
    <row r="260" spans="1:19">
      <c r="A260" s="85" t="str">
        <f t="shared" si="12"/>
        <v/>
      </c>
      <c r="B260" s="75"/>
      <c r="C260" s="78"/>
      <c r="D260" s="79"/>
      <c r="E260" s="75"/>
      <c r="F260" s="75"/>
      <c r="G260" s="75"/>
      <c r="H260" s="75"/>
      <c r="I260" s="77"/>
      <c r="J260" s="76" t="str">
        <f t="shared" ca="1" si="13"/>
        <v/>
      </c>
      <c r="K260" s="75"/>
      <c r="L260" s="75"/>
      <c r="M260" s="80"/>
      <c r="N260" s="80"/>
      <c r="O260" s="80"/>
      <c r="P260" s="81" t="str">
        <f>IF(M260="","",'GİDER AYARLARI'!$B$10)</f>
        <v/>
      </c>
      <c r="Q260" s="81" t="str">
        <f ca="1">IF(OR(M260="",J260=""),"",M260*'GİDER AYARLARI'!$B$8*J260/30)</f>
        <v/>
      </c>
      <c r="R260" s="81" t="str">
        <f t="shared" si="14"/>
        <v/>
      </c>
      <c r="S260" s="86" t="str">
        <f t="shared" si="15"/>
        <v/>
      </c>
    </row>
    <row r="261" spans="1:19">
      <c r="A261" s="85" t="str">
        <f t="shared" si="12"/>
        <v/>
      </c>
      <c r="B261" s="75"/>
      <c r="C261" s="78"/>
      <c r="D261" s="79"/>
      <c r="E261" s="75"/>
      <c r="F261" s="75"/>
      <c r="G261" s="75"/>
      <c r="H261" s="75"/>
      <c r="I261" s="77"/>
      <c r="J261" s="76" t="str">
        <f t="shared" ca="1" si="13"/>
        <v/>
      </c>
      <c r="K261" s="75"/>
      <c r="L261" s="75"/>
      <c r="M261" s="80"/>
      <c r="N261" s="80"/>
      <c r="O261" s="80"/>
      <c r="P261" s="81" t="str">
        <f>IF(M261="","",'GİDER AYARLARI'!$B$10)</f>
        <v/>
      </c>
      <c r="Q261" s="81" t="str">
        <f ca="1">IF(OR(M261="",J261=""),"",M261*'GİDER AYARLARI'!$B$8*J261/30)</f>
        <v/>
      </c>
      <c r="R261" s="81" t="str">
        <f t="shared" si="14"/>
        <v/>
      </c>
      <c r="S261" s="86" t="str">
        <f t="shared" si="15"/>
        <v/>
      </c>
    </row>
    <row r="262" spans="1:19">
      <c r="A262" s="85" t="str">
        <f t="shared" si="12"/>
        <v/>
      </c>
      <c r="B262" s="75"/>
      <c r="C262" s="78"/>
      <c r="D262" s="79"/>
      <c r="E262" s="75"/>
      <c r="F262" s="75"/>
      <c r="G262" s="75"/>
      <c r="H262" s="75"/>
      <c r="I262" s="77"/>
      <c r="J262" s="76" t="str">
        <f t="shared" ca="1" si="13"/>
        <v/>
      </c>
      <c r="K262" s="75"/>
      <c r="L262" s="75"/>
      <c r="M262" s="80"/>
      <c r="N262" s="80"/>
      <c r="O262" s="80"/>
      <c r="P262" s="81" t="str">
        <f>IF(M262="","",'GİDER AYARLARI'!$B$10)</f>
        <v/>
      </c>
      <c r="Q262" s="81" t="str">
        <f ca="1">IF(OR(M262="",J262=""),"",M262*'GİDER AYARLARI'!$B$8*J262/30)</f>
        <v/>
      </c>
      <c r="R262" s="81" t="str">
        <f t="shared" si="14"/>
        <v/>
      </c>
      <c r="S262" s="86" t="str">
        <f t="shared" si="15"/>
        <v/>
      </c>
    </row>
    <row r="263" spans="1:19">
      <c r="A263" s="85" t="str">
        <f t="shared" ref="A263:A306" si="16">IF(B263="","",ROW()-6)</f>
        <v/>
      </c>
      <c r="B263" s="75"/>
      <c r="C263" s="78"/>
      <c r="D263" s="79"/>
      <c r="E263" s="75"/>
      <c r="F263" s="75"/>
      <c r="G263" s="75"/>
      <c r="H263" s="75"/>
      <c r="I263" s="77"/>
      <c r="J263" s="76" t="str">
        <f t="shared" ref="J263:J306" ca="1" si="17">IF(I263="","",MAX(0,TODAY()-I263))</f>
        <v/>
      </c>
      <c r="K263" s="75"/>
      <c r="L263" s="75"/>
      <c r="M263" s="80"/>
      <c r="N263" s="80"/>
      <c r="O263" s="80"/>
      <c r="P263" s="81" t="str">
        <f>IF(M263="","",'GİDER AYARLARI'!$B$10)</f>
        <v/>
      </c>
      <c r="Q263" s="81" t="str">
        <f ca="1">IF(OR(M263="",J263=""),"",M263*'GİDER AYARLARI'!$B$8*J263/30)</f>
        <v/>
      </c>
      <c r="R263" s="81" t="str">
        <f t="shared" ref="R263:R306" si="18">IF(M263="","",M263+P263+Q263)</f>
        <v/>
      </c>
      <c r="S263" s="86" t="str">
        <f t="shared" ref="S263:S306" si="19">IF(OR(N263="",R263=""),"",N263-R263)</f>
        <v/>
      </c>
    </row>
    <row r="264" spans="1:19">
      <c r="A264" s="85" t="str">
        <f t="shared" si="16"/>
        <v/>
      </c>
      <c r="B264" s="75"/>
      <c r="C264" s="78"/>
      <c r="D264" s="79"/>
      <c r="E264" s="75"/>
      <c r="F264" s="75"/>
      <c r="G264" s="75"/>
      <c r="H264" s="75"/>
      <c r="I264" s="77"/>
      <c r="J264" s="76" t="str">
        <f t="shared" ca="1" si="17"/>
        <v/>
      </c>
      <c r="K264" s="75"/>
      <c r="L264" s="75"/>
      <c r="M264" s="80"/>
      <c r="N264" s="80"/>
      <c r="O264" s="80"/>
      <c r="P264" s="81" t="str">
        <f>IF(M264="","",'GİDER AYARLARI'!$B$10)</f>
        <v/>
      </c>
      <c r="Q264" s="81" t="str">
        <f ca="1">IF(OR(M264="",J264=""),"",M264*'GİDER AYARLARI'!$B$8*J264/30)</f>
        <v/>
      </c>
      <c r="R264" s="81" t="str">
        <f t="shared" si="18"/>
        <v/>
      </c>
      <c r="S264" s="86" t="str">
        <f t="shared" si="19"/>
        <v/>
      </c>
    </row>
    <row r="265" spans="1:19">
      <c r="A265" s="85" t="str">
        <f t="shared" si="16"/>
        <v/>
      </c>
      <c r="B265" s="75"/>
      <c r="C265" s="78"/>
      <c r="D265" s="79"/>
      <c r="E265" s="75"/>
      <c r="F265" s="75"/>
      <c r="G265" s="75"/>
      <c r="H265" s="75"/>
      <c r="I265" s="77"/>
      <c r="J265" s="76" t="str">
        <f t="shared" ca="1" si="17"/>
        <v/>
      </c>
      <c r="K265" s="75"/>
      <c r="L265" s="75"/>
      <c r="M265" s="80"/>
      <c r="N265" s="80"/>
      <c r="O265" s="80"/>
      <c r="P265" s="81" t="str">
        <f>IF(M265="","",'GİDER AYARLARI'!$B$10)</f>
        <v/>
      </c>
      <c r="Q265" s="81" t="str">
        <f ca="1">IF(OR(M265="",J265=""),"",M265*'GİDER AYARLARI'!$B$8*J265/30)</f>
        <v/>
      </c>
      <c r="R265" s="81" t="str">
        <f t="shared" si="18"/>
        <v/>
      </c>
      <c r="S265" s="86" t="str">
        <f t="shared" si="19"/>
        <v/>
      </c>
    </row>
    <row r="266" spans="1:19">
      <c r="A266" s="85" t="str">
        <f t="shared" si="16"/>
        <v/>
      </c>
      <c r="B266" s="75"/>
      <c r="C266" s="78"/>
      <c r="D266" s="79"/>
      <c r="E266" s="75"/>
      <c r="F266" s="75"/>
      <c r="G266" s="75"/>
      <c r="H266" s="75"/>
      <c r="I266" s="77"/>
      <c r="J266" s="76" t="str">
        <f t="shared" ca="1" si="17"/>
        <v/>
      </c>
      <c r="K266" s="75"/>
      <c r="L266" s="75"/>
      <c r="M266" s="80"/>
      <c r="N266" s="80"/>
      <c r="O266" s="80"/>
      <c r="P266" s="81" t="str">
        <f>IF(M266="","",'GİDER AYARLARI'!$B$10)</f>
        <v/>
      </c>
      <c r="Q266" s="81" t="str">
        <f ca="1">IF(OR(M266="",J266=""),"",M266*'GİDER AYARLARI'!$B$8*J266/30)</f>
        <v/>
      </c>
      <c r="R266" s="81" t="str">
        <f t="shared" si="18"/>
        <v/>
      </c>
      <c r="S266" s="86" t="str">
        <f t="shared" si="19"/>
        <v/>
      </c>
    </row>
    <row r="267" spans="1:19">
      <c r="A267" s="85" t="str">
        <f t="shared" si="16"/>
        <v/>
      </c>
      <c r="B267" s="75"/>
      <c r="C267" s="78"/>
      <c r="D267" s="79"/>
      <c r="E267" s="75"/>
      <c r="F267" s="75"/>
      <c r="G267" s="75"/>
      <c r="H267" s="75"/>
      <c r="I267" s="77"/>
      <c r="J267" s="76" t="str">
        <f t="shared" ca="1" si="17"/>
        <v/>
      </c>
      <c r="K267" s="75"/>
      <c r="L267" s="75"/>
      <c r="M267" s="80"/>
      <c r="N267" s="80"/>
      <c r="O267" s="80"/>
      <c r="P267" s="81" t="str">
        <f>IF(M267="","",'GİDER AYARLARI'!$B$10)</f>
        <v/>
      </c>
      <c r="Q267" s="81" t="str">
        <f ca="1">IF(OR(M267="",J267=""),"",M267*'GİDER AYARLARI'!$B$8*J267/30)</f>
        <v/>
      </c>
      <c r="R267" s="81" t="str">
        <f t="shared" si="18"/>
        <v/>
      </c>
      <c r="S267" s="86" t="str">
        <f t="shared" si="19"/>
        <v/>
      </c>
    </row>
    <row r="268" spans="1:19">
      <c r="A268" s="85" t="str">
        <f t="shared" si="16"/>
        <v/>
      </c>
      <c r="B268" s="75"/>
      <c r="C268" s="78"/>
      <c r="D268" s="79"/>
      <c r="E268" s="75"/>
      <c r="F268" s="75"/>
      <c r="G268" s="75"/>
      <c r="H268" s="75"/>
      <c r="I268" s="77"/>
      <c r="J268" s="76" t="str">
        <f t="shared" ca="1" si="17"/>
        <v/>
      </c>
      <c r="K268" s="75"/>
      <c r="L268" s="75"/>
      <c r="M268" s="80"/>
      <c r="N268" s="80"/>
      <c r="O268" s="80"/>
      <c r="P268" s="81" t="str">
        <f>IF(M268="","",'GİDER AYARLARI'!$B$10)</f>
        <v/>
      </c>
      <c r="Q268" s="81" t="str">
        <f ca="1">IF(OR(M268="",J268=""),"",M268*'GİDER AYARLARI'!$B$8*J268/30)</f>
        <v/>
      </c>
      <c r="R268" s="81" t="str">
        <f t="shared" si="18"/>
        <v/>
      </c>
      <c r="S268" s="86" t="str">
        <f t="shared" si="19"/>
        <v/>
      </c>
    </row>
    <row r="269" spans="1:19">
      <c r="A269" s="85" t="str">
        <f t="shared" si="16"/>
        <v/>
      </c>
      <c r="B269" s="75"/>
      <c r="C269" s="78"/>
      <c r="D269" s="79"/>
      <c r="E269" s="75"/>
      <c r="F269" s="75"/>
      <c r="G269" s="75"/>
      <c r="H269" s="75"/>
      <c r="I269" s="77"/>
      <c r="J269" s="76" t="str">
        <f t="shared" ca="1" si="17"/>
        <v/>
      </c>
      <c r="K269" s="75"/>
      <c r="L269" s="75"/>
      <c r="M269" s="80"/>
      <c r="N269" s="80"/>
      <c r="O269" s="80"/>
      <c r="P269" s="81" t="str">
        <f>IF(M269="","",'GİDER AYARLARI'!$B$10)</f>
        <v/>
      </c>
      <c r="Q269" s="81" t="str">
        <f ca="1">IF(OR(M269="",J269=""),"",M269*'GİDER AYARLARI'!$B$8*J269/30)</f>
        <v/>
      </c>
      <c r="R269" s="81" t="str">
        <f t="shared" si="18"/>
        <v/>
      </c>
      <c r="S269" s="86" t="str">
        <f t="shared" si="19"/>
        <v/>
      </c>
    </row>
    <row r="270" spans="1:19">
      <c r="A270" s="85" t="str">
        <f t="shared" si="16"/>
        <v/>
      </c>
      <c r="B270" s="75"/>
      <c r="C270" s="78"/>
      <c r="D270" s="79"/>
      <c r="E270" s="75"/>
      <c r="F270" s="75"/>
      <c r="G270" s="75"/>
      <c r="H270" s="75"/>
      <c r="I270" s="77"/>
      <c r="J270" s="76" t="str">
        <f t="shared" ca="1" si="17"/>
        <v/>
      </c>
      <c r="K270" s="75"/>
      <c r="L270" s="75"/>
      <c r="M270" s="80"/>
      <c r="N270" s="80"/>
      <c r="O270" s="80"/>
      <c r="P270" s="81" t="str">
        <f>IF(M270="","",'GİDER AYARLARI'!$B$10)</f>
        <v/>
      </c>
      <c r="Q270" s="81" t="str">
        <f ca="1">IF(OR(M270="",J270=""),"",M270*'GİDER AYARLARI'!$B$8*J270/30)</f>
        <v/>
      </c>
      <c r="R270" s="81" t="str">
        <f t="shared" si="18"/>
        <v/>
      </c>
      <c r="S270" s="86" t="str">
        <f t="shared" si="19"/>
        <v/>
      </c>
    </row>
    <row r="271" spans="1:19">
      <c r="A271" s="85" t="str">
        <f t="shared" si="16"/>
        <v/>
      </c>
      <c r="B271" s="75"/>
      <c r="C271" s="78"/>
      <c r="D271" s="79"/>
      <c r="E271" s="75"/>
      <c r="F271" s="75"/>
      <c r="G271" s="75"/>
      <c r="H271" s="75"/>
      <c r="I271" s="77"/>
      <c r="J271" s="76" t="str">
        <f t="shared" ca="1" si="17"/>
        <v/>
      </c>
      <c r="K271" s="75"/>
      <c r="L271" s="75"/>
      <c r="M271" s="80"/>
      <c r="N271" s="80"/>
      <c r="O271" s="80"/>
      <c r="P271" s="81" t="str">
        <f>IF(M271="","",'GİDER AYARLARI'!$B$10)</f>
        <v/>
      </c>
      <c r="Q271" s="81" t="str">
        <f ca="1">IF(OR(M271="",J271=""),"",M271*'GİDER AYARLARI'!$B$8*J271/30)</f>
        <v/>
      </c>
      <c r="R271" s="81" t="str">
        <f t="shared" si="18"/>
        <v/>
      </c>
      <c r="S271" s="86" t="str">
        <f t="shared" si="19"/>
        <v/>
      </c>
    </row>
    <row r="272" spans="1:19">
      <c r="A272" s="85" t="str">
        <f t="shared" si="16"/>
        <v/>
      </c>
      <c r="B272" s="75"/>
      <c r="C272" s="78"/>
      <c r="D272" s="79"/>
      <c r="E272" s="75"/>
      <c r="F272" s="75"/>
      <c r="G272" s="75"/>
      <c r="H272" s="75"/>
      <c r="I272" s="77"/>
      <c r="J272" s="76" t="str">
        <f t="shared" ca="1" si="17"/>
        <v/>
      </c>
      <c r="K272" s="75"/>
      <c r="L272" s="75"/>
      <c r="M272" s="80"/>
      <c r="N272" s="80"/>
      <c r="O272" s="80"/>
      <c r="P272" s="81" t="str">
        <f>IF(M272="","",'GİDER AYARLARI'!$B$10)</f>
        <v/>
      </c>
      <c r="Q272" s="81" t="str">
        <f ca="1">IF(OR(M272="",J272=""),"",M272*'GİDER AYARLARI'!$B$8*J272/30)</f>
        <v/>
      </c>
      <c r="R272" s="81" t="str">
        <f t="shared" si="18"/>
        <v/>
      </c>
      <c r="S272" s="86" t="str">
        <f t="shared" si="19"/>
        <v/>
      </c>
    </row>
    <row r="273" spans="1:19">
      <c r="A273" s="85" t="str">
        <f t="shared" si="16"/>
        <v/>
      </c>
      <c r="B273" s="75"/>
      <c r="C273" s="78"/>
      <c r="D273" s="79"/>
      <c r="E273" s="75"/>
      <c r="F273" s="75"/>
      <c r="G273" s="75"/>
      <c r="H273" s="75"/>
      <c r="I273" s="77"/>
      <c r="J273" s="76" t="str">
        <f t="shared" ca="1" si="17"/>
        <v/>
      </c>
      <c r="K273" s="75"/>
      <c r="L273" s="75"/>
      <c r="M273" s="80"/>
      <c r="N273" s="80"/>
      <c r="O273" s="80"/>
      <c r="P273" s="81" t="str">
        <f>IF(M273="","",'GİDER AYARLARI'!$B$10)</f>
        <v/>
      </c>
      <c r="Q273" s="81" t="str">
        <f ca="1">IF(OR(M273="",J273=""),"",M273*'GİDER AYARLARI'!$B$8*J273/30)</f>
        <v/>
      </c>
      <c r="R273" s="81" t="str">
        <f t="shared" si="18"/>
        <v/>
      </c>
      <c r="S273" s="86" t="str">
        <f t="shared" si="19"/>
        <v/>
      </c>
    </row>
    <row r="274" spans="1:19">
      <c r="A274" s="85" t="str">
        <f t="shared" si="16"/>
        <v/>
      </c>
      <c r="B274" s="75"/>
      <c r="C274" s="78"/>
      <c r="D274" s="79"/>
      <c r="E274" s="75"/>
      <c r="F274" s="75"/>
      <c r="G274" s="75"/>
      <c r="H274" s="75"/>
      <c r="I274" s="77"/>
      <c r="J274" s="76" t="str">
        <f t="shared" ca="1" si="17"/>
        <v/>
      </c>
      <c r="K274" s="75"/>
      <c r="L274" s="75"/>
      <c r="M274" s="80"/>
      <c r="N274" s="80"/>
      <c r="O274" s="80"/>
      <c r="P274" s="81" t="str">
        <f>IF(M274="","",'GİDER AYARLARI'!$B$10)</f>
        <v/>
      </c>
      <c r="Q274" s="81" t="str">
        <f ca="1">IF(OR(M274="",J274=""),"",M274*'GİDER AYARLARI'!$B$8*J274/30)</f>
        <v/>
      </c>
      <c r="R274" s="81" t="str">
        <f t="shared" si="18"/>
        <v/>
      </c>
      <c r="S274" s="86" t="str">
        <f t="shared" si="19"/>
        <v/>
      </c>
    </row>
    <row r="275" spans="1:19">
      <c r="A275" s="85" t="str">
        <f t="shared" si="16"/>
        <v/>
      </c>
      <c r="B275" s="75"/>
      <c r="C275" s="78"/>
      <c r="D275" s="79"/>
      <c r="E275" s="75"/>
      <c r="F275" s="75"/>
      <c r="G275" s="75"/>
      <c r="H275" s="75"/>
      <c r="I275" s="77"/>
      <c r="J275" s="76" t="str">
        <f t="shared" ca="1" si="17"/>
        <v/>
      </c>
      <c r="K275" s="75"/>
      <c r="L275" s="75"/>
      <c r="M275" s="80"/>
      <c r="N275" s="80"/>
      <c r="O275" s="80"/>
      <c r="P275" s="81" t="str">
        <f>IF(M275="","",'GİDER AYARLARI'!$B$10)</f>
        <v/>
      </c>
      <c r="Q275" s="81" t="str">
        <f ca="1">IF(OR(M275="",J275=""),"",M275*'GİDER AYARLARI'!$B$8*J275/30)</f>
        <v/>
      </c>
      <c r="R275" s="81" t="str">
        <f t="shared" si="18"/>
        <v/>
      </c>
      <c r="S275" s="86" t="str">
        <f t="shared" si="19"/>
        <v/>
      </c>
    </row>
    <row r="276" spans="1:19">
      <c r="A276" s="85" t="str">
        <f t="shared" si="16"/>
        <v/>
      </c>
      <c r="B276" s="75"/>
      <c r="C276" s="78"/>
      <c r="D276" s="79"/>
      <c r="E276" s="75"/>
      <c r="F276" s="75"/>
      <c r="G276" s="75"/>
      <c r="H276" s="75"/>
      <c r="I276" s="77"/>
      <c r="J276" s="76" t="str">
        <f t="shared" ca="1" si="17"/>
        <v/>
      </c>
      <c r="K276" s="75"/>
      <c r="L276" s="75"/>
      <c r="M276" s="80"/>
      <c r="N276" s="80"/>
      <c r="O276" s="80"/>
      <c r="P276" s="81" t="str">
        <f>IF(M276="","",'GİDER AYARLARI'!$B$10)</f>
        <v/>
      </c>
      <c r="Q276" s="81" t="str">
        <f ca="1">IF(OR(M276="",J276=""),"",M276*'GİDER AYARLARI'!$B$8*J276/30)</f>
        <v/>
      </c>
      <c r="R276" s="81" t="str">
        <f t="shared" si="18"/>
        <v/>
      </c>
      <c r="S276" s="86" t="str">
        <f t="shared" si="19"/>
        <v/>
      </c>
    </row>
    <row r="277" spans="1:19">
      <c r="A277" s="85" t="str">
        <f t="shared" si="16"/>
        <v/>
      </c>
      <c r="B277" s="75"/>
      <c r="C277" s="78"/>
      <c r="D277" s="79"/>
      <c r="E277" s="75"/>
      <c r="F277" s="75"/>
      <c r="G277" s="75"/>
      <c r="H277" s="75"/>
      <c r="I277" s="77"/>
      <c r="J277" s="76" t="str">
        <f t="shared" ca="1" si="17"/>
        <v/>
      </c>
      <c r="K277" s="75"/>
      <c r="L277" s="75"/>
      <c r="M277" s="80"/>
      <c r="N277" s="80"/>
      <c r="O277" s="80"/>
      <c r="P277" s="81" t="str">
        <f>IF(M277="","",'GİDER AYARLARI'!$B$10)</f>
        <v/>
      </c>
      <c r="Q277" s="81" t="str">
        <f ca="1">IF(OR(M277="",J277=""),"",M277*'GİDER AYARLARI'!$B$8*J277/30)</f>
        <v/>
      </c>
      <c r="R277" s="81" t="str">
        <f t="shared" si="18"/>
        <v/>
      </c>
      <c r="S277" s="86" t="str">
        <f t="shared" si="19"/>
        <v/>
      </c>
    </row>
    <row r="278" spans="1:19">
      <c r="A278" s="85" t="str">
        <f t="shared" si="16"/>
        <v/>
      </c>
      <c r="B278" s="75"/>
      <c r="C278" s="78"/>
      <c r="D278" s="79"/>
      <c r="E278" s="75"/>
      <c r="F278" s="75"/>
      <c r="G278" s="75"/>
      <c r="H278" s="75"/>
      <c r="I278" s="77"/>
      <c r="J278" s="76" t="str">
        <f t="shared" ca="1" si="17"/>
        <v/>
      </c>
      <c r="K278" s="75"/>
      <c r="L278" s="75"/>
      <c r="M278" s="80"/>
      <c r="N278" s="80"/>
      <c r="O278" s="80"/>
      <c r="P278" s="81" t="str">
        <f>IF(M278="","",'GİDER AYARLARI'!$B$10)</f>
        <v/>
      </c>
      <c r="Q278" s="81" t="str">
        <f ca="1">IF(OR(M278="",J278=""),"",M278*'GİDER AYARLARI'!$B$8*J278/30)</f>
        <v/>
      </c>
      <c r="R278" s="81" t="str">
        <f t="shared" si="18"/>
        <v/>
      </c>
      <c r="S278" s="86" t="str">
        <f t="shared" si="19"/>
        <v/>
      </c>
    </row>
    <row r="279" spans="1:19">
      <c r="A279" s="85" t="str">
        <f t="shared" si="16"/>
        <v/>
      </c>
      <c r="B279" s="75"/>
      <c r="C279" s="78"/>
      <c r="D279" s="79"/>
      <c r="E279" s="75"/>
      <c r="F279" s="75"/>
      <c r="G279" s="75"/>
      <c r="H279" s="75"/>
      <c r="I279" s="77"/>
      <c r="J279" s="76" t="str">
        <f t="shared" ca="1" si="17"/>
        <v/>
      </c>
      <c r="K279" s="75"/>
      <c r="L279" s="75"/>
      <c r="M279" s="80"/>
      <c r="N279" s="80"/>
      <c r="O279" s="80"/>
      <c r="P279" s="81" t="str">
        <f>IF(M279="","",'GİDER AYARLARI'!$B$10)</f>
        <v/>
      </c>
      <c r="Q279" s="81" t="str">
        <f ca="1">IF(OR(M279="",J279=""),"",M279*'GİDER AYARLARI'!$B$8*J279/30)</f>
        <v/>
      </c>
      <c r="R279" s="81" t="str">
        <f t="shared" si="18"/>
        <v/>
      </c>
      <c r="S279" s="86" t="str">
        <f t="shared" si="19"/>
        <v/>
      </c>
    </row>
    <row r="280" spans="1:19">
      <c r="A280" s="85" t="str">
        <f t="shared" si="16"/>
        <v/>
      </c>
      <c r="B280" s="75"/>
      <c r="C280" s="78"/>
      <c r="D280" s="79"/>
      <c r="E280" s="75"/>
      <c r="F280" s="75"/>
      <c r="G280" s="75"/>
      <c r="H280" s="75"/>
      <c r="I280" s="77"/>
      <c r="J280" s="76" t="str">
        <f t="shared" ca="1" si="17"/>
        <v/>
      </c>
      <c r="K280" s="75"/>
      <c r="L280" s="75"/>
      <c r="M280" s="80"/>
      <c r="N280" s="80"/>
      <c r="O280" s="80"/>
      <c r="P280" s="81" t="str">
        <f>IF(M280="","",'GİDER AYARLARI'!$B$10)</f>
        <v/>
      </c>
      <c r="Q280" s="81" t="str">
        <f ca="1">IF(OR(M280="",J280=""),"",M280*'GİDER AYARLARI'!$B$8*J280/30)</f>
        <v/>
      </c>
      <c r="R280" s="81" t="str">
        <f t="shared" si="18"/>
        <v/>
      </c>
      <c r="S280" s="86" t="str">
        <f t="shared" si="19"/>
        <v/>
      </c>
    </row>
    <row r="281" spans="1:19">
      <c r="A281" s="85" t="str">
        <f t="shared" si="16"/>
        <v/>
      </c>
      <c r="B281" s="75"/>
      <c r="C281" s="78"/>
      <c r="D281" s="79"/>
      <c r="E281" s="75"/>
      <c r="F281" s="75"/>
      <c r="G281" s="75"/>
      <c r="H281" s="75"/>
      <c r="I281" s="77"/>
      <c r="J281" s="76" t="str">
        <f t="shared" ca="1" si="17"/>
        <v/>
      </c>
      <c r="K281" s="75"/>
      <c r="L281" s="75"/>
      <c r="M281" s="80"/>
      <c r="N281" s="80"/>
      <c r="O281" s="80"/>
      <c r="P281" s="81" t="str">
        <f>IF(M281="","",'GİDER AYARLARI'!$B$10)</f>
        <v/>
      </c>
      <c r="Q281" s="81" t="str">
        <f ca="1">IF(OR(M281="",J281=""),"",M281*'GİDER AYARLARI'!$B$8*J281/30)</f>
        <v/>
      </c>
      <c r="R281" s="81" t="str">
        <f t="shared" si="18"/>
        <v/>
      </c>
      <c r="S281" s="86" t="str">
        <f t="shared" si="19"/>
        <v/>
      </c>
    </row>
    <row r="282" spans="1:19">
      <c r="A282" s="85" t="str">
        <f t="shared" si="16"/>
        <v/>
      </c>
      <c r="B282" s="75"/>
      <c r="C282" s="78"/>
      <c r="D282" s="79"/>
      <c r="E282" s="75"/>
      <c r="F282" s="75"/>
      <c r="G282" s="75"/>
      <c r="H282" s="75"/>
      <c r="I282" s="77"/>
      <c r="J282" s="76" t="str">
        <f t="shared" ca="1" si="17"/>
        <v/>
      </c>
      <c r="K282" s="75"/>
      <c r="L282" s="75"/>
      <c r="M282" s="80"/>
      <c r="N282" s="80"/>
      <c r="O282" s="80"/>
      <c r="P282" s="81" t="str">
        <f>IF(M282="","",'GİDER AYARLARI'!$B$10)</f>
        <v/>
      </c>
      <c r="Q282" s="81" t="str">
        <f ca="1">IF(OR(M282="",J282=""),"",M282*'GİDER AYARLARI'!$B$8*J282/30)</f>
        <v/>
      </c>
      <c r="R282" s="81" t="str">
        <f t="shared" si="18"/>
        <v/>
      </c>
      <c r="S282" s="86" t="str">
        <f t="shared" si="19"/>
        <v/>
      </c>
    </row>
    <row r="283" spans="1:19">
      <c r="A283" s="85" t="str">
        <f t="shared" si="16"/>
        <v/>
      </c>
      <c r="B283" s="75"/>
      <c r="C283" s="78"/>
      <c r="D283" s="79"/>
      <c r="E283" s="75"/>
      <c r="F283" s="75"/>
      <c r="G283" s="75"/>
      <c r="H283" s="75"/>
      <c r="I283" s="77"/>
      <c r="J283" s="76" t="str">
        <f t="shared" ca="1" si="17"/>
        <v/>
      </c>
      <c r="K283" s="75"/>
      <c r="L283" s="75"/>
      <c r="M283" s="80"/>
      <c r="N283" s="80"/>
      <c r="O283" s="80"/>
      <c r="P283" s="81" t="str">
        <f>IF(M283="","",'GİDER AYARLARI'!$B$10)</f>
        <v/>
      </c>
      <c r="Q283" s="81" t="str">
        <f ca="1">IF(OR(M283="",J283=""),"",M283*'GİDER AYARLARI'!$B$8*J283/30)</f>
        <v/>
      </c>
      <c r="R283" s="81" t="str">
        <f t="shared" si="18"/>
        <v/>
      </c>
      <c r="S283" s="86" t="str">
        <f t="shared" si="19"/>
        <v/>
      </c>
    </row>
    <row r="284" spans="1:19">
      <c r="A284" s="85" t="str">
        <f t="shared" si="16"/>
        <v/>
      </c>
      <c r="B284" s="75"/>
      <c r="C284" s="78"/>
      <c r="D284" s="79"/>
      <c r="E284" s="75"/>
      <c r="F284" s="75"/>
      <c r="G284" s="75"/>
      <c r="H284" s="75"/>
      <c r="I284" s="77"/>
      <c r="J284" s="76" t="str">
        <f t="shared" ca="1" si="17"/>
        <v/>
      </c>
      <c r="K284" s="75"/>
      <c r="L284" s="75"/>
      <c r="M284" s="80"/>
      <c r="N284" s="80"/>
      <c r="O284" s="80"/>
      <c r="P284" s="81" t="str">
        <f>IF(M284="","",'GİDER AYARLARI'!$B$10)</f>
        <v/>
      </c>
      <c r="Q284" s="81" t="str">
        <f ca="1">IF(OR(M284="",J284=""),"",M284*'GİDER AYARLARI'!$B$8*J284/30)</f>
        <v/>
      </c>
      <c r="R284" s="81" t="str">
        <f t="shared" si="18"/>
        <v/>
      </c>
      <c r="S284" s="86" t="str">
        <f t="shared" si="19"/>
        <v/>
      </c>
    </row>
    <row r="285" spans="1:19">
      <c r="A285" s="85" t="str">
        <f t="shared" si="16"/>
        <v/>
      </c>
      <c r="B285" s="75"/>
      <c r="C285" s="78"/>
      <c r="D285" s="79"/>
      <c r="E285" s="75"/>
      <c r="F285" s="75"/>
      <c r="G285" s="75"/>
      <c r="H285" s="75"/>
      <c r="I285" s="77"/>
      <c r="J285" s="76" t="str">
        <f t="shared" ca="1" si="17"/>
        <v/>
      </c>
      <c r="K285" s="75"/>
      <c r="L285" s="75"/>
      <c r="M285" s="80"/>
      <c r="N285" s="80"/>
      <c r="O285" s="80"/>
      <c r="P285" s="81" t="str">
        <f>IF(M285="","",'GİDER AYARLARI'!$B$10)</f>
        <v/>
      </c>
      <c r="Q285" s="81" t="str">
        <f ca="1">IF(OR(M285="",J285=""),"",M285*'GİDER AYARLARI'!$B$8*J285/30)</f>
        <v/>
      </c>
      <c r="R285" s="81" t="str">
        <f t="shared" si="18"/>
        <v/>
      </c>
      <c r="S285" s="86" t="str">
        <f t="shared" si="19"/>
        <v/>
      </c>
    </row>
    <row r="286" spans="1:19">
      <c r="A286" s="85" t="str">
        <f t="shared" si="16"/>
        <v/>
      </c>
      <c r="B286" s="75"/>
      <c r="C286" s="78"/>
      <c r="D286" s="79"/>
      <c r="E286" s="75"/>
      <c r="F286" s="75"/>
      <c r="G286" s="75"/>
      <c r="H286" s="75"/>
      <c r="I286" s="77"/>
      <c r="J286" s="76" t="str">
        <f t="shared" ca="1" si="17"/>
        <v/>
      </c>
      <c r="K286" s="75"/>
      <c r="L286" s="75"/>
      <c r="M286" s="80"/>
      <c r="N286" s="80"/>
      <c r="O286" s="80"/>
      <c r="P286" s="81" t="str">
        <f>IF(M286="","",'GİDER AYARLARI'!$B$10)</f>
        <v/>
      </c>
      <c r="Q286" s="81" t="str">
        <f ca="1">IF(OR(M286="",J286=""),"",M286*'GİDER AYARLARI'!$B$8*J286/30)</f>
        <v/>
      </c>
      <c r="R286" s="81" t="str">
        <f t="shared" si="18"/>
        <v/>
      </c>
      <c r="S286" s="86" t="str">
        <f t="shared" si="19"/>
        <v/>
      </c>
    </row>
    <row r="287" spans="1:19">
      <c r="A287" s="85" t="str">
        <f t="shared" si="16"/>
        <v/>
      </c>
      <c r="B287" s="75"/>
      <c r="C287" s="78"/>
      <c r="D287" s="79"/>
      <c r="E287" s="75"/>
      <c r="F287" s="75"/>
      <c r="G287" s="75"/>
      <c r="H287" s="75"/>
      <c r="I287" s="77"/>
      <c r="J287" s="76" t="str">
        <f t="shared" ca="1" si="17"/>
        <v/>
      </c>
      <c r="K287" s="75"/>
      <c r="L287" s="75"/>
      <c r="M287" s="80"/>
      <c r="N287" s="80"/>
      <c r="O287" s="80"/>
      <c r="P287" s="81" t="str">
        <f>IF(M287="","",'GİDER AYARLARI'!$B$10)</f>
        <v/>
      </c>
      <c r="Q287" s="81" t="str">
        <f ca="1">IF(OR(M287="",J287=""),"",M287*'GİDER AYARLARI'!$B$8*J287/30)</f>
        <v/>
      </c>
      <c r="R287" s="81" t="str">
        <f t="shared" si="18"/>
        <v/>
      </c>
      <c r="S287" s="86" t="str">
        <f t="shared" si="19"/>
        <v/>
      </c>
    </row>
    <row r="288" spans="1:19">
      <c r="A288" s="85" t="str">
        <f t="shared" si="16"/>
        <v/>
      </c>
      <c r="B288" s="75"/>
      <c r="C288" s="78"/>
      <c r="D288" s="79"/>
      <c r="E288" s="75"/>
      <c r="F288" s="75"/>
      <c r="G288" s="75"/>
      <c r="H288" s="75"/>
      <c r="I288" s="77"/>
      <c r="J288" s="76" t="str">
        <f t="shared" ca="1" si="17"/>
        <v/>
      </c>
      <c r="K288" s="75"/>
      <c r="L288" s="75"/>
      <c r="M288" s="80"/>
      <c r="N288" s="80"/>
      <c r="O288" s="80"/>
      <c r="P288" s="81" t="str">
        <f>IF(M288="","",'GİDER AYARLARI'!$B$10)</f>
        <v/>
      </c>
      <c r="Q288" s="81" t="str">
        <f ca="1">IF(OR(M288="",J288=""),"",M288*'GİDER AYARLARI'!$B$8*J288/30)</f>
        <v/>
      </c>
      <c r="R288" s="81" t="str">
        <f t="shared" si="18"/>
        <v/>
      </c>
      <c r="S288" s="86" t="str">
        <f t="shared" si="19"/>
        <v/>
      </c>
    </row>
    <row r="289" spans="1:19">
      <c r="A289" s="85" t="str">
        <f t="shared" si="16"/>
        <v/>
      </c>
      <c r="B289" s="75"/>
      <c r="C289" s="78"/>
      <c r="D289" s="79"/>
      <c r="E289" s="75"/>
      <c r="F289" s="75"/>
      <c r="G289" s="75"/>
      <c r="H289" s="75"/>
      <c r="I289" s="77"/>
      <c r="J289" s="76" t="str">
        <f t="shared" ca="1" si="17"/>
        <v/>
      </c>
      <c r="K289" s="75"/>
      <c r="L289" s="75"/>
      <c r="M289" s="80"/>
      <c r="N289" s="80"/>
      <c r="O289" s="80"/>
      <c r="P289" s="81" t="str">
        <f>IF(M289="","",'GİDER AYARLARI'!$B$10)</f>
        <v/>
      </c>
      <c r="Q289" s="81" t="str">
        <f ca="1">IF(OR(M289="",J289=""),"",M289*'GİDER AYARLARI'!$B$8*J289/30)</f>
        <v/>
      </c>
      <c r="R289" s="81" t="str">
        <f t="shared" si="18"/>
        <v/>
      </c>
      <c r="S289" s="86" t="str">
        <f t="shared" si="19"/>
        <v/>
      </c>
    </row>
    <row r="290" spans="1:19">
      <c r="A290" s="85" t="str">
        <f t="shared" si="16"/>
        <v/>
      </c>
      <c r="B290" s="75"/>
      <c r="C290" s="78"/>
      <c r="D290" s="79"/>
      <c r="E290" s="75"/>
      <c r="F290" s="75"/>
      <c r="G290" s="75"/>
      <c r="H290" s="75"/>
      <c r="I290" s="77"/>
      <c r="J290" s="76" t="str">
        <f t="shared" ca="1" si="17"/>
        <v/>
      </c>
      <c r="K290" s="75"/>
      <c r="L290" s="75"/>
      <c r="M290" s="80"/>
      <c r="N290" s="80"/>
      <c r="O290" s="80"/>
      <c r="P290" s="81" t="str">
        <f>IF(M290="","",'GİDER AYARLARI'!$B$10)</f>
        <v/>
      </c>
      <c r="Q290" s="81" t="str">
        <f ca="1">IF(OR(M290="",J290=""),"",M290*'GİDER AYARLARI'!$B$8*J290/30)</f>
        <v/>
      </c>
      <c r="R290" s="81" t="str">
        <f t="shared" si="18"/>
        <v/>
      </c>
      <c r="S290" s="86" t="str">
        <f t="shared" si="19"/>
        <v/>
      </c>
    </row>
    <row r="291" spans="1:19">
      <c r="A291" s="85" t="str">
        <f t="shared" si="16"/>
        <v/>
      </c>
      <c r="B291" s="75"/>
      <c r="C291" s="78"/>
      <c r="D291" s="79"/>
      <c r="E291" s="75"/>
      <c r="F291" s="75"/>
      <c r="G291" s="75"/>
      <c r="H291" s="75"/>
      <c r="I291" s="77"/>
      <c r="J291" s="76" t="str">
        <f t="shared" ca="1" si="17"/>
        <v/>
      </c>
      <c r="K291" s="75"/>
      <c r="L291" s="75"/>
      <c r="M291" s="80"/>
      <c r="N291" s="80"/>
      <c r="O291" s="80"/>
      <c r="P291" s="81" t="str">
        <f>IF(M291="","",'GİDER AYARLARI'!$B$10)</f>
        <v/>
      </c>
      <c r="Q291" s="81" t="str">
        <f ca="1">IF(OR(M291="",J291=""),"",M291*'GİDER AYARLARI'!$B$8*J291/30)</f>
        <v/>
      </c>
      <c r="R291" s="81" t="str">
        <f t="shared" si="18"/>
        <v/>
      </c>
      <c r="S291" s="86" t="str">
        <f t="shared" si="19"/>
        <v/>
      </c>
    </row>
    <row r="292" spans="1:19">
      <c r="A292" s="85" t="str">
        <f t="shared" si="16"/>
        <v/>
      </c>
      <c r="B292" s="75"/>
      <c r="C292" s="78"/>
      <c r="D292" s="79"/>
      <c r="E292" s="75"/>
      <c r="F292" s="75"/>
      <c r="G292" s="75"/>
      <c r="H292" s="75"/>
      <c r="I292" s="77"/>
      <c r="J292" s="76" t="str">
        <f t="shared" ca="1" si="17"/>
        <v/>
      </c>
      <c r="K292" s="75"/>
      <c r="L292" s="75"/>
      <c r="M292" s="80"/>
      <c r="N292" s="80"/>
      <c r="O292" s="80"/>
      <c r="P292" s="81" t="str">
        <f>IF(M292="","",'GİDER AYARLARI'!$B$10)</f>
        <v/>
      </c>
      <c r="Q292" s="81" t="str">
        <f ca="1">IF(OR(M292="",J292=""),"",M292*'GİDER AYARLARI'!$B$8*J292/30)</f>
        <v/>
      </c>
      <c r="R292" s="81" t="str">
        <f t="shared" si="18"/>
        <v/>
      </c>
      <c r="S292" s="86" t="str">
        <f t="shared" si="19"/>
        <v/>
      </c>
    </row>
    <row r="293" spans="1:19">
      <c r="A293" s="85" t="str">
        <f t="shared" si="16"/>
        <v/>
      </c>
      <c r="B293" s="75"/>
      <c r="C293" s="78"/>
      <c r="D293" s="79"/>
      <c r="E293" s="75"/>
      <c r="F293" s="75"/>
      <c r="G293" s="75"/>
      <c r="H293" s="75"/>
      <c r="I293" s="77"/>
      <c r="J293" s="76" t="str">
        <f t="shared" ca="1" si="17"/>
        <v/>
      </c>
      <c r="K293" s="75"/>
      <c r="L293" s="75"/>
      <c r="M293" s="80"/>
      <c r="N293" s="80"/>
      <c r="O293" s="80"/>
      <c r="P293" s="81" t="str">
        <f>IF(M293="","",'GİDER AYARLARI'!$B$10)</f>
        <v/>
      </c>
      <c r="Q293" s="81" t="str">
        <f ca="1">IF(OR(M293="",J293=""),"",M293*'GİDER AYARLARI'!$B$8*J293/30)</f>
        <v/>
      </c>
      <c r="R293" s="81" t="str">
        <f t="shared" si="18"/>
        <v/>
      </c>
      <c r="S293" s="86" t="str">
        <f t="shared" si="19"/>
        <v/>
      </c>
    </row>
    <row r="294" spans="1:19">
      <c r="A294" s="85" t="str">
        <f t="shared" si="16"/>
        <v/>
      </c>
      <c r="B294" s="75"/>
      <c r="C294" s="78"/>
      <c r="D294" s="79"/>
      <c r="E294" s="75"/>
      <c r="F294" s="75"/>
      <c r="G294" s="75"/>
      <c r="H294" s="75"/>
      <c r="I294" s="77"/>
      <c r="J294" s="76" t="str">
        <f t="shared" ca="1" si="17"/>
        <v/>
      </c>
      <c r="K294" s="75"/>
      <c r="L294" s="75"/>
      <c r="M294" s="80"/>
      <c r="N294" s="80"/>
      <c r="O294" s="80"/>
      <c r="P294" s="81" t="str">
        <f>IF(M294="","",'GİDER AYARLARI'!$B$10)</f>
        <v/>
      </c>
      <c r="Q294" s="81" t="str">
        <f ca="1">IF(OR(M294="",J294=""),"",M294*'GİDER AYARLARI'!$B$8*J294/30)</f>
        <v/>
      </c>
      <c r="R294" s="81" t="str">
        <f t="shared" si="18"/>
        <v/>
      </c>
      <c r="S294" s="86" t="str">
        <f t="shared" si="19"/>
        <v/>
      </c>
    </row>
    <row r="295" spans="1:19">
      <c r="A295" s="85" t="str">
        <f t="shared" si="16"/>
        <v/>
      </c>
      <c r="B295" s="75"/>
      <c r="C295" s="78"/>
      <c r="D295" s="79"/>
      <c r="E295" s="75"/>
      <c r="F295" s="75"/>
      <c r="G295" s="75"/>
      <c r="H295" s="75"/>
      <c r="I295" s="77"/>
      <c r="J295" s="76" t="str">
        <f t="shared" ca="1" si="17"/>
        <v/>
      </c>
      <c r="K295" s="75"/>
      <c r="L295" s="75"/>
      <c r="M295" s="80"/>
      <c r="N295" s="80"/>
      <c r="O295" s="80"/>
      <c r="P295" s="81" t="str">
        <f>IF(M295="","",'GİDER AYARLARI'!$B$10)</f>
        <v/>
      </c>
      <c r="Q295" s="81" t="str">
        <f ca="1">IF(OR(M295="",J295=""),"",M295*'GİDER AYARLARI'!$B$8*J295/30)</f>
        <v/>
      </c>
      <c r="R295" s="81" t="str">
        <f t="shared" si="18"/>
        <v/>
      </c>
      <c r="S295" s="86" t="str">
        <f t="shared" si="19"/>
        <v/>
      </c>
    </row>
    <row r="296" spans="1:19">
      <c r="A296" s="85" t="str">
        <f t="shared" si="16"/>
        <v/>
      </c>
      <c r="B296" s="75"/>
      <c r="C296" s="78"/>
      <c r="D296" s="79"/>
      <c r="E296" s="75"/>
      <c r="F296" s="75"/>
      <c r="G296" s="75"/>
      <c r="H296" s="75"/>
      <c r="I296" s="77"/>
      <c r="J296" s="76" t="str">
        <f t="shared" ca="1" si="17"/>
        <v/>
      </c>
      <c r="K296" s="75"/>
      <c r="L296" s="75"/>
      <c r="M296" s="80"/>
      <c r="N296" s="80"/>
      <c r="O296" s="80"/>
      <c r="P296" s="81" t="str">
        <f>IF(M296="","",'GİDER AYARLARI'!$B$10)</f>
        <v/>
      </c>
      <c r="Q296" s="81" t="str">
        <f ca="1">IF(OR(M296="",J296=""),"",M296*'GİDER AYARLARI'!$B$8*J296/30)</f>
        <v/>
      </c>
      <c r="R296" s="81" t="str">
        <f t="shared" si="18"/>
        <v/>
      </c>
      <c r="S296" s="86" t="str">
        <f t="shared" si="19"/>
        <v/>
      </c>
    </row>
    <row r="297" spans="1:19">
      <c r="A297" s="85" t="str">
        <f t="shared" si="16"/>
        <v/>
      </c>
      <c r="B297" s="75"/>
      <c r="C297" s="78"/>
      <c r="D297" s="79"/>
      <c r="E297" s="75"/>
      <c r="F297" s="75"/>
      <c r="G297" s="75"/>
      <c r="H297" s="75"/>
      <c r="I297" s="77"/>
      <c r="J297" s="76" t="str">
        <f t="shared" ca="1" si="17"/>
        <v/>
      </c>
      <c r="K297" s="75"/>
      <c r="L297" s="75"/>
      <c r="M297" s="80"/>
      <c r="N297" s="80"/>
      <c r="O297" s="80"/>
      <c r="P297" s="81" t="str">
        <f>IF(M297="","",'GİDER AYARLARI'!$B$10)</f>
        <v/>
      </c>
      <c r="Q297" s="81" t="str">
        <f ca="1">IF(OR(M297="",J297=""),"",M297*'GİDER AYARLARI'!$B$8*J297/30)</f>
        <v/>
      </c>
      <c r="R297" s="81" t="str">
        <f t="shared" si="18"/>
        <v/>
      </c>
      <c r="S297" s="86" t="str">
        <f t="shared" si="19"/>
        <v/>
      </c>
    </row>
    <row r="298" spans="1:19">
      <c r="A298" s="85" t="str">
        <f t="shared" si="16"/>
        <v/>
      </c>
      <c r="B298" s="75"/>
      <c r="C298" s="78"/>
      <c r="D298" s="79"/>
      <c r="E298" s="75"/>
      <c r="F298" s="75"/>
      <c r="G298" s="75"/>
      <c r="H298" s="75"/>
      <c r="I298" s="77"/>
      <c r="J298" s="76" t="str">
        <f t="shared" ca="1" si="17"/>
        <v/>
      </c>
      <c r="K298" s="75"/>
      <c r="L298" s="75"/>
      <c r="M298" s="80"/>
      <c r="N298" s="80"/>
      <c r="O298" s="80"/>
      <c r="P298" s="81" t="str">
        <f>IF(M298="","",'GİDER AYARLARI'!$B$10)</f>
        <v/>
      </c>
      <c r="Q298" s="81" t="str">
        <f ca="1">IF(OR(M298="",J298=""),"",M298*'GİDER AYARLARI'!$B$8*J298/30)</f>
        <v/>
      </c>
      <c r="R298" s="81" t="str">
        <f t="shared" si="18"/>
        <v/>
      </c>
      <c r="S298" s="86" t="str">
        <f t="shared" si="19"/>
        <v/>
      </c>
    </row>
    <row r="299" spans="1:19">
      <c r="A299" s="85" t="str">
        <f t="shared" si="16"/>
        <v/>
      </c>
      <c r="B299" s="75"/>
      <c r="C299" s="78"/>
      <c r="D299" s="79"/>
      <c r="E299" s="75"/>
      <c r="F299" s="75"/>
      <c r="G299" s="75"/>
      <c r="H299" s="75"/>
      <c r="I299" s="77"/>
      <c r="J299" s="76" t="str">
        <f t="shared" ca="1" si="17"/>
        <v/>
      </c>
      <c r="K299" s="75"/>
      <c r="L299" s="75"/>
      <c r="M299" s="80"/>
      <c r="N299" s="80"/>
      <c r="O299" s="80"/>
      <c r="P299" s="81" t="str">
        <f>IF(M299="","",'GİDER AYARLARI'!$B$10)</f>
        <v/>
      </c>
      <c r="Q299" s="81" t="str">
        <f ca="1">IF(OR(M299="",J299=""),"",M299*'GİDER AYARLARI'!$B$8*J299/30)</f>
        <v/>
      </c>
      <c r="R299" s="81" t="str">
        <f t="shared" si="18"/>
        <v/>
      </c>
      <c r="S299" s="86" t="str">
        <f t="shared" si="19"/>
        <v/>
      </c>
    </row>
    <row r="300" spans="1:19">
      <c r="A300" s="85" t="str">
        <f t="shared" si="16"/>
        <v/>
      </c>
      <c r="B300" s="75"/>
      <c r="C300" s="78"/>
      <c r="D300" s="79"/>
      <c r="E300" s="75"/>
      <c r="F300" s="75"/>
      <c r="G300" s="75"/>
      <c r="H300" s="75"/>
      <c r="I300" s="77"/>
      <c r="J300" s="76" t="str">
        <f t="shared" ca="1" si="17"/>
        <v/>
      </c>
      <c r="K300" s="75"/>
      <c r="L300" s="75"/>
      <c r="M300" s="80"/>
      <c r="N300" s="80"/>
      <c r="O300" s="80"/>
      <c r="P300" s="81" t="str">
        <f>IF(M300="","",'GİDER AYARLARI'!$B$10)</f>
        <v/>
      </c>
      <c r="Q300" s="81" t="str">
        <f ca="1">IF(OR(M300="",J300=""),"",M300*'GİDER AYARLARI'!$B$8*J300/30)</f>
        <v/>
      </c>
      <c r="R300" s="81" t="str">
        <f t="shared" si="18"/>
        <v/>
      </c>
      <c r="S300" s="86" t="str">
        <f t="shared" si="19"/>
        <v/>
      </c>
    </row>
    <row r="301" spans="1:19">
      <c r="A301" s="85" t="str">
        <f t="shared" si="16"/>
        <v/>
      </c>
      <c r="B301" s="75"/>
      <c r="C301" s="78"/>
      <c r="D301" s="79"/>
      <c r="E301" s="75"/>
      <c r="F301" s="75"/>
      <c r="G301" s="75"/>
      <c r="H301" s="75"/>
      <c r="I301" s="77"/>
      <c r="J301" s="76" t="str">
        <f t="shared" ca="1" si="17"/>
        <v/>
      </c>
      <c r="K301" s="75"/>
      <c r="L301" s="75"/>
      <c r="M301" s="80"/>
      <c r="N301" s="80"/>
      <c r="O301" s="80"/>
      <c r="P301" s="81" t="str">
        <f>IF(M301="","",'GİDER AYARLARI'!$B$10)</f>
        <v/>
      </c>
      <c r="Q301" s="81" t="str">
        <f ca="1">IF(OR(M301="",J301=""),"",M301*'GİDER AYARLARI'!$B$8*J301/30)</f>
        <v/>
      </c>
      <c r="R301" s="81" t="str">
        <f t="shared" si="18"/>
        <v/>
      </c>
      <c r="S301" s="86" t="str">
        <f t="shared" si="19"/>
        <v/>
      </c>
    </row>
    <row r="302" spans="1:19">
      <c r="A302" s="85" t="str">
        <f t="shared" si="16"/>
        <v/>
      </c>
      <c r="B302" s="75"/>
      <c r="C302" s="78"/>
      <c r="D302" s="79"/>
      <c r="E302" s="75"/>
      <c r="F302" s="75"/>
      <c r="G302" s="75"/>
      <c r="H302" s="75"/>
      <c r="I302" s="77"/>
      <c r="J302" s="76" t="str">
        <f t="shared" ca="1" si="17"/>
        <v/>
      </c>
      <c r="K302" s="75"/>
      <c r="L302" s="75"/>
      <c r="M302" s="80"/>
      <c r="N302" s="80"/>
      <c r="O302" s="80"/>
      <c r="P302" s="81" t="str">
        <f>IF(M302="","",'GİDER AYARLARI'!$B$10)</f>
        <v/>
      </c>
      <c r="Q302" s="81" t="str">
        <f ca="1">IF(OR(M302="",J302=""),"",M302*'GİDER AYARLARI'!$B$8*J302/30)</f>
        <v/>
      </c>
      <c r="R302" s="81" t="str">
        <f t="shared" si="18"/>
        <v/>
      </c>
      <c r="S302" s="86" t="str">
        <f t="shared" si="19"/>
        <v/>
      </c>
    </row>
    <row r="303" spans="1:19">
      <c r="A303" s="85" t="str">
        <f t="shared" si="16"/>
        <v/>
      </c>
      <c r="B303" s="75"/>
      <c r="C303" s="78"/>
      <c r="D303" s="79"/>
      <c r="E303" s="75"/>
      <c r="F303" s="75"/>
      <c r="G303" s="75"/>
      <c r="H303" s="75"/>
      <c r="I303" s="77"/>
      <c r="J303" s="76" t="str">
        <f t="shared" ca="1" si="17"/>
        <v/>
      </c>
      <c r="K303" s="75"/>
      <c r="L303" s="75"/>
      <c r="M303" s="80"/>
      <c r="N303" s="80"/>
      <c r="O303" s="80"/>
      <c r="P303" s="81" t="str">
        <f>IF(M303="","",'GİDER AYARLARI'!$B$10)</f>
        <v/>
      </c>
      <c r="Q303" s="81" t="str">
        <f ca="1">IF(OR(M303="",J303=""),"",M303*'GİDER AYARLARI'!$B$8*J303/30)</f>
        <v/>
      </c>
      <c r="R303" s="81" t="str">
        <f t="shared" si="18"/>
        <v/>
      </c>
      <c r="S303" s="86" t="str">
        <f t="shared" si="19"/>
        <v/>
      </c>
    </row>
    <row r="304" spans="1:19">
      <c r="A304" s="85" t="str">
        <f t="shared" si="16"/>
        <v/>
      </c>
      <c r="B304" s="75"/>
      <c r="C304" s="78"/>
      <c r="D304" s="79"/>
      <c r="E304" s="75"/>
      <c r="F304" s="75"/>
      <c r="G304" s="75"/>
      <c r="H304" s="75"/>
      <c r="I304" s="77"/>
      <c r="J304" s="76" t="str">
        <f t="shared" ca="1" si="17"/>
        <v/>
      </c>
      <c r="K304" s="75"/>
      <c r="L304" s="75"/>
      <c r="M304" s="80"/>
      <c r="N304" s="80"/>
      <c r="O304" s="80"/>
      <c r="P304" s="81" t="str">
        <f>IF(M304="","",'GİDER AYARLARI'!$B$10)</f>
        <v/>
      </c>
      <c r="Q304" s="81" t="str">
        <f ca="1">IF(OR(M304="",J304=""),"",M304*'GİDER AYARLARI'!$B$8*J304/30)</f>
        <v/>
      </c>
      <c r="R304" s="81" t="str">
        <f t="shared" si="18"/>
        <v/>
      </c>
      <c r="S304" s="86" t="str">
        <f t="shared" si="19"/>
        <v/>
      </c>
    </row>
    <row r="305" spans="1:19">
      <c r="A305" s="85" t="str">
        <f t="shared" si="16"/>
        <v/>
      </c>
      <c r="B305" s="75"/>
      <c r="C305" s="78"/>
      <c r="D305" s="79"/>
      <c r="E305" s="75"/>
      <c r="F305" s="75"/>
      <c r="G305" s="75"/>
      <c r="H305" s="75"/>
      <c r="I305" s="77"/>
      <c r="J305" s="76" t="str">
        <f t="shared" ca="1" si="17"/>
        <v/>
      </c>
      <c r="K305" s="75"/>
      <c r="L305" s="75"/>
      <c r="M305" s="80"/>
      <c r="N305" s="80"/>
      <c r="O305" s="80"/>
      <c r="P305" s="81" t="str">
        <f>IF(M305="","",'GİDER AYARLARI'!$B$10)</f>
        <v/>
      </c>
      <c r="Q305" s="81" t="str">
        <f ca="1">IF(OR(M305="",J305=""),"",M305*'GİDER AYARLARI'!$B$8*J305/30)</f>
        <v/>
      </c>
      <c r="R305" s="81" t="str">
        <f t="shared" si="18"/>
        <v/>
      </c>
      <c r="S305" s="86" t="str">
        <f t="shared" si="19"/>
        <v/>
      </c>
    </row>
    <row r="306" spans="1:19">
      <c r="A306" s="87" t="str">
        <f t="shared" si="16"/>
        <v/>
      </c>
      <c r="B306" s="88"/>
      <c r="C306" s="89"/>
      <c r="D306" s="90"/>
      <c r="E306" s="88"/>
      <c r="F306" s="88"/>
      <c r="G306" s="88"/>
      <c r="H306" s="88"/>
      <c r="I306" s="91"/>
      <c r="J306" s="92" t="str">
        <f t="shared" ca="1" si="17"/>
        <v/>
      </c>
      <c r="K306" s="88"/>
      <c r="L306" s="88"/>
      <c r="M306" s="93"/>
      <c r="N306" s="93"/>
      <c r="O306" s="93"/>
      <c r="P306" s="94" t="str">
        <f>IF(M306="","",'GİDER AYARLARI'!$B$10)</f>
        <v/>
      </c>
      <c r="Q306" s="94" t="str">
        <f ca="1">IF(OR(M306="",J306=""),"",M306*'GİDER AYARLARI'!$B$8*J306/30)</f>
        <v/>
      </c>
      <c r="R306" s="94" t="str">
        <f t="shared" si="18"/>
        <v/>
      </c>
      <c r="S306" s="95" t="str">
        <f t="shared" si="19"/>
        <v/>
      </c>
    </row>
  </sheetData>
  <mergeCells count="2">
    <mergeCell ref="A1:S1"/>
    <mergeCell ref="G3:S4"/>
  </mergeCells>
  <conditionalFormatting sqref="S7:S30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7:J306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2">
    <dataValidation type="list" sqref="K7:K306">
      <formula1>"BENZİN,DİZEL,BENZİN/LPG,ELEKTRİK,HİBRİT"</formula1>
    </dataValidation>
    <dataValidation type="list" sqref="L7:L306">
      <formula1>"MANUEL,OTOMATİK"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AYARLAR</vt:lpstr>
      <vt:lpstr>ARAÇ VERİ GİRİŞİ</vt:lpstr>
      <vt:lpstr>EXPERTİZ TAKİP</vt:lpstr>
      <vt:lpstr>DANIŞMAN PERFORMANS</vt:lpstr>
      <vt:lpstr>DASHBOARD</vt:lpstr>
      <vt:lpstr>GİDER AYARLARI</vt:lpstr>
      <vt:lpstr>ALIM AYARLARI</vt:lpstr>
      <vt:lpstr>SATIŞ AYARLARI</vt:lpstr>
      <vt:lpstr>DANIŞMAN AYARLARI</vt:lpstr>
      <vt:lpstr>EXTRA STOK BİLGİSİ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</dc:creator>
  <cp:lastModifiedBy>ONUR</cp:lastModifiedBy>
  <dcterms:created xsi:type="dcterms:W3CDTF">2026-08-17T07:04:12Z</dcterms:created>
  <dcterms:modified xsi:type="dcterms:W3CDTF">2026-08-17T14:51:43Z</dcterms:modified>
</cp:coreProperties>
</file>