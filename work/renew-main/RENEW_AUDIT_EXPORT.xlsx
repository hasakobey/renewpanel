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NUR\Desktop\"/>
    </mc:Choice>
  </mc:AlternateContent>
  <bookViews>
    <workbookView xWindow="0" yWindow="0" windowWidth="23016" windowHeight="9060" firstSheet="1" activeTab="1"/>
  </bookViews>
  <sheets>
    <sheet name="AYARLAR" sheetId="1" r:id="rId1"/>
    <sheet name="ARAÇ VERİ GİRİŞİ" sheetId="2" r:id="rId2"/>
    <sheet name="EXPERTİZ TAKİP" sheetId="3" r:id="rId3"/>
    <sheet name="DANIŞMAN PERFORMANS" sheetId="4" r:id="rId4"/>
    <sheet name="DASHBOARD" sheetId="5" r:id="rId5"/>
    <sheet name="GİDER AYARLARI" sheetId="6" r:id="rId6"/>
    <sheet name="ALIM AYARLARI" sheetId="7" r:id="rId7"/>
    <sheet name="SATIŞ AYARLARI" sheetId="8" r:id="rId8"/>
    <sheet name="DANIŞMAN AYARLARI" sheetId="9" r:id="rId9"/>
    <sheet name="EXTRA STOK BİLGİSİ" sheetId="10" r:id="rId10"/>
  </sheets>
  <calcPr calcId="162913"/>
</workbook>
</file>

<file path=xl/sharedStrings.xml><?xml version="1.0" encoding="utf-8"?>
<sst xmlns="http://schemas.openxmlformats.org/spreadsheetml/2006/main" count="335" uniqueCount="228">
  <si>
    <t>RENEW PERFORMANS - ANA AYARLAR</t>
  </si>
  <si>
    <t>AKTİF PARAMETRE</t>
  </si>
  <si>
    <t>DEĞER</t>
  </si>
  <si>
    <t>ALT AYAR SEKME</t>
  </si>
  <si>
    <t>İÇERİK</t>
  </si>
  <si>
    <t>DEĞİŞİKLİK ETKİSİ</t>
  </si>
  <si>
    <t>DURUM</t>
  </si>
  <si>
    <t>Noter Masrafı</t>
  </si>
  <si>
    <t>GİDER AYARLARI</t>
  </si>
  <si>
    <t>Noter, ekspertiz, 150 nokta, sigorta, SKS</t>
  </si>
  <si>
    <t>Maliyet ve kârlılık hesaplarına yansır</t>
  </si>
  <si>
    <t>AKTİF</t>
  </si>
  <si>
    <t>Ekspertiz Masrafı</t>
  </si>
  <si>
    <t>ALIM AYARLARI</t>
  </si>
  <si>
    <t>Nakit, takas, ihale, şirket aracı</t>
  </si>
  <si>
    <t>Alım türü ve SKS uygulamasına yansır</t>
  </si>
  <si>
    <t>150 Nokta Kontrol</t>
  </si>
  <si>
    <t>SATIŞ AYARLARI</t>
  </si>
  <si>
    <t>Satış türleri ve ek gelirler</t>
  </si>
  <si>
    <t>Satış ve performans girişlerine yansır</t>
  </si>
  <si>
    <t>Sigorta Gideri</t>
  </si>
  <si>
    <t>DANIŞMAN AYARLARI</t>
  </si>
  <si>
    <t>Danışman listesi ve hedefler</t>
  </si>
  <si>
    <t>Danışman performansına yansır</t>
  </si>
  <si>
    <t>SKS Aylık Finansman Oranı</t>
  </si>
  <si>
    <t>Toplam Sabit Alım Gideri</t>
  </si>
  <si>
    <t>KULLANIM NOTU</t>
  </si>
  <si>
    <t>1</t>
  </si>
  <si>
    <t>Sarı hücreleri değiştirin.</t>
  </si>
  <si>
    <t>2</t>
  </si>
  <si>
    <t>Gider ve SKS oranı değişince formüller otomatik güncellenir.</t>
  </si>
  <si>
    <t>3</t>
  </si>
  <si>
    <t>Alım / satış / danışman listeleri alt sekmelerden yönetilir.</t>
  </si>
  <si>
    <t>4</t>
  </si>
  <si>
    <t>Dashboard ve performans sayfaları değişiklikleri baz alır.</t>
  </si>
  <si>
    <t>RENEW ARAÇ KARLILIK &amp; STOK TAKİP</t>
  </si>
  <si>
    <t>SAYI</t>
  </si>
  <si>
    <t>OTOMOBİL BİLGİLERİ</t>
  </si>
  <si>
    <t>M.YILI</t>
  </si>
  <si>
    <t>PLAKA</t>
  </si>
  <si>
    <t>ALIM TÜRÜ</t>
  </si>
  <si>
    <t>ALIŞ BEDELİ</t>
  </si>
  <si>
    <t>ALIŞ TARİHİ</t>
  </si>
  <si>
    <t>SATIŞ TARİHİ</t>
  </si>
  <si>
    <t>SKS GÜN</t>
  </si>
  <si>
    <t>NOTER</t>
  </si>
  <si>
    <t>EXPERTİZ</t>
  </si>
  <si>
    <t>150 NOKTA</t>
  </si>
  <si>
    <t>SİGORTA GİDERİ</t>
  </si>
  <si>
    <t>EK MASRAF</t>
  </si>
  <si>
    <t>SKS FİNANSMAN GİDERİ</t>
  </si>
  <si>
    <t>TOPLAM GİDER</t>
  </si>
  <si>
    <t>TOPLAM MALİYET</t>
  </si>
  <si>
    <t>MÜŞTERİ BİLGİLERİ</t>
  </si>
  <si>
    <t>SATIŞ TÜRÜ</t>
  </si>
  <si>
    <t>SATIŞ BEDELİ</t>
  </si>
  <si>
    <t>BRÜT KAR</t>
  </si>
  <si>
    <t>NET KAR</t>
  </si>
  <si>
    <t>NET KARLILIK</t>
  </si>
  <si>
    <t>STOK DURUMU</t>
  </si>
  <si>
    <t>SATIŞ DANIŞMANI</t>
  </si>
  <si>
    <t>SİGORTA-KASKO GELİRİ</t>
  </si>
  <si>
    <t>KREDİ GELİRİ</t>
  </si>
  <si>
    <t>UZATILMIŞ GARANTİ GELİRİ</t>
  </si>
  <si>
    <t>TOPLAM EK GELİR</t>
  </si>
  <si>
    <t>PERFORMANS NET KARI</t>
  </si>
  <si>
    <t>SANDERO STEPWAY</t>
  </si>
  <si>
    <t>33BCP119</t>
  </si>
  <si>
    <t>ŞİRKET ARACI</t>
  </si>
  <si>
    <t>Mustafa Yunus Dibek</t>
  </si>
  <si>
    <t>FİNASMAN KURULUŞU</t>
  </si>
  <si>
    <t>ONUR İPEK</t>
  </si>
  <si>
    <t xml:space="preserve"> 1.6 E-Tech Techno (Full Hybrid)</t>
  </si>
  <si>
    <t>33 BBA 692</t>
  </si>
  <si>
    <t>TAKAS</t>
  </si>
  <si>
    <t>Aladdin Turan</t>
  </si>
  <si>
    <t>NAKİT</t>
  </si>
  <si>
    <t>HASAN HÜSEYİN SÜRMELİ</t>
  </si>
  <si>
    <t>Clio 1.0 TCE Evolution X-Tronic</t>
  </si>
  <si>
    <t>34NER488</t>
  </si>
  <si>
    <t>İHALE</t>
  </si>
  <si>
    <t>Sezer Çelik</t>
  </si>
  <si>
    <t>Duster 1.0 Eco-G Evolution</t>
  </si>
  <si>
    <t>33BAS278</t>
  </si>
  <si>
    <t>ORHAN AYDIN</t>
  </si>
  <si>
    <t>CAPTUR</t>
  </si>
  <si>
    <t>33ALZ706</t>
  </si>
  <si>
    <t xml:space="preserve"> Selçuk Özkoç</t>
  </si>
  <si>
    <t>DANIŞMAN BAZLI EXPERTİZ &amp; ALIMA DÖNÜŞÜM TAKİBİ</t>
  </si>
  <si>
    <t>DANIŞMAN</t>
  </si>
  <si>
    <t>YAPILAN
EXPERTİZ</t>
  </si>
  <si>
    <t>ALIMA
DÖNÜŞEN</t>
  </si>
  <si>
    <t>ALIM
ORANI</t>
  </si>
  <si>
    <t>TOPLAM EXPERTİZ
MALİYETİ</t>
  </si>
  <si>
    <t>ALIM BAŞI
EXPERTİZ MALİYETİ</t>
  </si>
  <si>
    <t>EMRE URBAYAR</t>
  </si>
  <si>
    <t>MUSTAFA BALKAN</t>
  </si>
  <si>
    <t>MUSTAFA TEKİN</t>
  </si>
  <si>
    <t>GÖKMEN GENÇCELEP</t>
  </si>
  <si>
    <t>ÇAĞRI ÇİDEM</t>
  </si>
  <si>
    <t>HASAN SÜRMELİ</t>
  </si>
  <si>
    <t>SEVDA GENÇ</t>
  </si>
  <si>
    <t>HATİCE DOĞAN</t>
  </si>
  <si>
    <t>MÜGE KENARLI</t>
  </si>
  <si>
    <t>TOPLAM / ORTALAMA</t>
  </si>
  <si>
    <t>GENEL EXPERTİZ PERFORMANS ÖZETİ</t>
  </si>
  <si>
    <t>TOPLAM EXPERTİZ</t>
  </si>
  <si>
    <t>TOPLAM ALIM</t>
  </si>
  <si>
    <t>ALIMA DÖNÜŞÜM</t>
  </si>
  <si>
    <t>EXPERTİZ MALİYETİ</t>
  </si>
  <si>
    <t>DANIŞMAN SATIŞ &amp; KARLILIK PERFORMANSI</t>
  </si>
  <si>
    <t>SATIŞ ADEDİ</t>
  </si>
  <si>
    <t>TOPLAM CİRO</t>
  </si>
  <si>
    <t>EK GELİR</t>
  </si>
  <si>
    <t>ORT. NET KAR</t>
  </si>
  <si>
    <t>ORT. SKS GÜN</t>
  </si>
  <si>
    <t>SİGORTA-KASKO ADET</t>
  </si>
  <si>
    <t>SİGORTA-KASKO ORANI</t>
  </si>
  <si>
    <t>KREDİ ADET</t>
  </si>
  <si>
    <t>KREDİ ORANI</t>
  </si>
  <si>
    <t>UZ. GARANTİ ORANI</t>
  </si>
  <si>
    <t>HEDEF SATIŞ</t>
  </si>
  <si>
    <t>HEDEF NET KAR</t>
  </si>
  <si>
    <t>HEDEF GERÇEKLEŞME</t>
  </si>
  <si>
    <t>TOPLAM</t>
  </si>
  <si>
    <t>RENEW PERFORMANS DASHBOARD</t>
  </si>
  <si>
    <t>GENEL KPI</t>
  </si>
  <si>
    <t>ALIM DAĞILIMI</t>
  </si>
  <si>
    <t>ADET</t>
  </si>
  <si>
    <t>SATIŞ DAĞILIMI</t>
  </si>
  <si>
    <t>EXPERTİZ KPI</t>
  </si>
  <si>
    <t>Toplam Araç Alımı</t>
  </si>
  <si>
    <t>Yapılan Expertiz</t>
  </si>
  <si>
    <t>Stoktaki Araç</t>
  </si>
  <si>
    <t>Alıma Dönüşen</t>
  </si>
  <si>
    <t>Satılan Araç</t>
  </si>
  <si>
    <t>KREDİ KARTI</t>
  </si>
  <si>
    <t>Alım Oranı</t>
  </si>
  <si>
    <t>Toplam Satış Cirosu</t>
  </si>
  <si>
    <t>KREDİ / FİNANSMAN</t>
  </si>
  <si>
    <t>Expertiz Maliyeti</t>
  </si>
  <si>
    <t>Toplam Net Kâr</t>
  </si>
  <si>
    <t>Toplam Ek Gelir</t>
  </si>
  <si>
    <t>Performans Net Kârı</t>
  </si>
  <si>
    <t>SATIŞ</t>
  </si>
  <si>
    <t>CİRO</t>
  </si>
  <si>
    <t>KARLILIK</t>
  </si>
  <si>
    <t>Genel Net Kârlılık</t>
  </si>
  <si>
    <t>Ortalama SKS Gün</t>
  </si>
  <si>
    <t>Toplam SKS Finansman Gideri</t>
  </si>
  <si>
    <t>GİDER &amp; SKS AYARLARI</t>
  </si>
  <si>
    <t>GİDER KALEMİ</t>
  </si>
  <si>
    <t>TUTAR / ORAN</t>
  </si>
  <si>
    <t>UYGULAMA</t>
  </si>
  <si>
    <t>AÇIKLAMA</t>
  </si>
  <si>
    <t>TÜM ALIMLAR</t>
  </si>
  <si>
    <t>Araç alımında otomatik eklenir</t>
  </si>
  <si>
    <t>NAKİT / TAKAS / İHALE</t>
  </si>
  <si>
    <t>Alış bedeli × oran × gün / 30</t>
  </si>
  <si>
    <t>TOPLAM SABİT ALIM GİDERİ</t>
  </si>
  <si>
    <t>SKS FORMÜLÜ</t>
  </si>
  <si>
    <t>Alış Bedeli × SKS Oranı × (SKS Gün / 30)</t>
  </si>
  <si>
    <t>ALIM TÜRÜ AYARLARI</t>
  </si>
  <si>
    <t>SKS UYGULA</t>
  </si>
  <si>
    <t>SABİT GİDER UYGULA</t>
  </si>
  <si>
    <t>EVET</t>
  </si>
  <si>
    <t>HAYIR</t>
  </si>
  <si>
    <t>SATIŞ &amp; EK GELİR AYARLARI</t>
  </si>
  <si>
    <t>EK GELİR TÜRÜ</t>
  </si>
  <si>
    <t>SİGORTA-KASKO</t>
  </si>
  <si>
    <t>Satıştan oluşan ek gelir</t>
  </si>
  <si>
    <t>KREDİ</t>
  </si>
  <si>
    <t>Kredi / finansman ek geliri</t>
  </si>
  <si>
    <t>UZATILMIŞ GARANTİ</t>
  </si>
  <si>
    <t>Garanti satışından oluşan ek gelir</t>
  </si>
  <si>
    <t xml:space="preserve">KREDİ </t>
  </si>
  <si>
    <t>HEDEF SATIŞ ADEDİ</t>
  </si>
  <si>
    <t>EXTRA STOK BİLGİSİ &amp; KARLILIK TAKİBİ</t>
  </si>
  <si>
    <t>STOK ADEDİ</t>
  </si>
  <si>
    <t>TOPLAM ALIŞ DEĞERİ
(MASRAFLAR DAHİL)</t>
  </si>
  <si>
    <t>TOPLAM SATIŞ DEĞERİ</t>
  </si>
  <si>
    <t>TOPLAM SKS
FİNANSMAN GİDERİ</t>
  </si>
  <si>
    <t>ORTALAMA NET KAR</t>
  </si>
  <si>
    <t>KULLANIM: Sarı hücrelere araç bilgilerini girin. SKS süresi alış tarihinden otomatik hesaplanır. Sabit masraflar ve SKS finansman oranı GİDER AYARLARI sekmesindeki güncel değerleri baz alır.</t>
  </si>
  <si>
    <t>SIRA</t>
  </si>
  <si>
    <t>MODEL YILI</t>
  </si>
  <si>
    <t>KM</t>
  </si>
  <si>
    <t>MARKA</t>
  </si>
  <si>
    <t>MODEL</t>
  </si>
  <si>
    <t>VERSİYON</t>
  </si>
  <si>
    <t>RENK</t>
  </si>
  <si>
    <t>SKS SÜRESİ</t>
  </si>
  <si>
    <t>YAKIT</t>
  </si>
  <si>
    <t>VİTES</t>
  </si>
  <si>
    <t>ALIŞ FİYATI</t>
  </si>
  <si>
    <t>SATIŞ FİYATI</t>
  </si>
  <si>
    <t>HEDEF KAZANÇ</t>
  </si>
  <si>
    <t>SABİT MASRAFLAR</t>
  </si>
  <si>
    <t>MASRAFLAR DAHİL TOPLAM ALIŞ DEĞERİ</t>
  </si>
  <si>
    <t>TAHMİNİ NET KAR</t>
  </si>
  <si>
    <t>DUSTER</t>
  </si>
  <si>
    <t>YEŞİL</t>
  </si>
  <si>
    <t>BENZİN</t>
  </si>
  <si>
    <t>33 ADU 175</t>
  </si>
  <si>
    <t>OPEL</t>
  </si>
  <si>
    <t>COMBO</t>
  </si>
  <si>
    <t>EXELNCE</t>
  </si>
  <si>
    <t>BEYAZ</t>
  </si>
  <si>
    <t>DİZEL</t>
  </si>
  <si>
    <t>MANUEL</t>
  </si>
  <si>
    <t>33 BGF 603</t>
  </si>
  <si>
    <t>RENAULT</t>
  </si>
  <si>
    <t>TEKNO 1.2</t>
  </si>
  <si>
    <t>Meryem YÜKSEL AYTEKİN</t>
  </si>
  <si>
    <t>33BEC675</t>
  </si>
  <si>
    <t xml:space="preserve">RENO 5 </t>
  </si>
  <si>
    <t>33BBS963</t>
  </si>
  <si>
    <t>CENNET GEZER</t>
  </si>
  <si>
    <t>Megane Sedan 1.3 TCe Touch EDC</t>
  </si>
  <si>
    <t>34 MYD 234</t>
  </si>
  <si>
    <t>Erkan Büyüktaş</t>
  </si>
  <si>
    <t xml:space="preserve">Duster 1.2 Mhev Evolution Techno </t>
  </si>
  <si>
    <t>Mehmet Şerif Seyidoğlu</t>
  </si>
  <si>
    <t>DUSTER EXTREM</t>
  </si>
  <si>
    <t>33KHR66</t>
  </si>
  <si>
    <t>CEVDET BERKE ÖZDEMİR</t>
  </si>
  <si>
    <t xml:space="preserve">OPEL COMBO </t>
  </si>
  <si>
    <t>NURCAN ÇELİK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</si>
</sst>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\ &quot;TL&quot;;[Red]\(#,##0\ &quot;TL&quot;\);\-"/>
    <numFmt numFmtId="165" formatCode="0.0%"/>
    <numFmt numFmtId="166" formatCode="0.0%;[Red]\(0.0%\);\-"/>
    <numFmt numFmtId="167" formatCode="dd\.mm\.yyyy"/>
    <numFmt numFmtId="168" formatCode="0.0"/>
  </numFmts>
  <fonts count="1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sz val="18"/>
      <color rgb="FFFFFFFF"/>
      <name val="Carlito"/>
    </font>
    <font>
      <b/>
      <sz val="11"/>
      <color rgb="FF0000FF"/>
      <name val="Carlito"/>
    </font>
    <font>
      <sz val="9"/>
      <color rgb="FF212529"/>
      <name val="Segoe UI"/>
      <family val="2"/>
      <charset val="162"/>
    </font>
    <font>
      <b/>
      <sz val="16"/>
      <color rgb="FFFFFFFF"/>
      <name val="Carlito"/>
    </font>
    <font>
      <b/>
      <sz val="12"/>
      <name val="Carlito"/>
    </font>
    <font>
      <sz val="11"/>
      <color rgb="FF404040"/>
      <name val="Carlito"/>
    </font>
    <font>
      <b/>
      <sz val="11"/>
      <color rgb="FF404040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0" fontId="2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164" fontId="3" fillId="4" borderId="0" xfId="0" applyNumberFormat="1" applyFont="1" applyFill="1" applyBorder="1" applyAlignment="1">
      <alignment wrapText="1"/>
    </xf>
    <xf numFmtId="165" fontId="3" fillId="4" borderId="0" xfId="0" applyNumberFormat="1" applyFont="1" applyFill="1" applyBorder="1" applyAlignment="1">
      <alignment wrapText="1"/>
    </xf>
    <xf numFmtId="164" fontId="4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/>
    <xf numFmtId="164" fontId="8" fillId="0" borderId="0" xfId="0" applyNumberFormat="1" applyFont="1" applyFill="1" applyBorder="1"/>
    <xf numFmtId="164" fontId="7" fillId="0" borderId="0" xfId="0" applyNumberFormat="1" applyFont="1" applyFill="1" applyBorder="1"/>
    <xf numFmtId="166" fontId="7" fillId="0" borderId="0" xfId="0" applyNumberFormat="1" applyFont="1" applyFill="1" applyBorder="1"/>
    <xf numFmtId="167" fontId="3" fillId="0" borderId="0" xfId="0" applyNumberFormat="1" applyFont="1" applyFill="1" applyBorder="1"/>
    <xf numFmtId="1" fontId="7" fillId="0" borderId="0" xfId="0" applyNumberFormat="1" applyFont="1" applyFill="1" applyBorder="1"/>
    <xf numFmtId="1" fontId="3" fillId="0" borderId="0" xfId="0" applyNumberFormat="1" applyFont="1" applyFill="1" applyBorder="1"/>
    <xf numFmtId="0" fontId="9" fillId="5" borderId="0" xfId="0" applyNumberFormat="1" applyFont="1" applyFill="1" applyBorder="1"/>
    <xf numFmtId="166" fontId="0" fillId="0" borderId="0" xfId="0" applyNumberFormat="1" applyFont="1" applyFill="1" applyBorder="1"/>
    <xf numFmtId="166" fontId="9" fillId="5" borderId="0" xfId="0" applyNumberFormat="1" applyFont="1" applyFill="1" applyBorder="1"/>
    <xf numFmtId="164" fontId="0" fillId="0" borderId="0" xfId="0" applyNumberFormat="1" applyFont="1" applyFill="1" applyBorder="1"/>
    <xf numFmtId="164" fontId="9" fillId="5" borderId="0" xfId="0" applyNumberFormat="1" applyFont="1" applyFill="1" applyBorder="1"/>
    <xf numFmtId="168" fontId="0" fillId="0" borderId="0" xfId="0" applyNumberFormat="1" applyFont="1" applyFill="1" applyBorder="1"/>
    <xf numFmtId="168" fontId="9" fillId="5" borderId="0" xfId="0" applyNumberFormat="1" applyFont="1" applyFill="1" applyBorder="1"/>
    <xf numFmtId="0" fontId="9" fillId="0" borderId="1" xfId="0" applyNumberFormat="1" applyFont="1" applyFill="1" applyBorder="1"/>
    <xf numFmtId="0" fontId="0" fillId="0" borderId="2" xfId="0" applyNumberFormat="1" applyFont="1" applyFill="1" applyBorder="1"/>
    <xf numFmtId="0" fontId="9" fillId="0" borderId="3" xfId="0" applyNumberFormat="1" applyFont="1" applyFill="1" applyBorder="1"/>
    <xf numFmtId="0" fontId="0" fillId="0" borderId="4" xfId="0" applyNumberFormat="1" applyFont="1" applyFill="1" applyBorder="1"/>
    <xf numFmtId="0" fontId="9" fillId="0" borderId="5" xfId="0" applyNumberFormat="1" applyFont="1" applyFill="1" applyBorder="1"/>
    <xf numFmtId="164" fontId="0" fillId="0" borderId="4" xfId="0" applyNumberFormat="1" applyFont="1" applyFill="1" applyBorder="1"/>
    <xf numFmtId="164" fontId="0" fillId="0" borderId="6" xfId="0" applyNumberFormat="1" applyFont="1" applyFill="1" applyBorder="1"/>
    <xf numFmtId="166" fontId="0" fillId="0" borderId="4" xfId="0" applyNumberFormat="1" applyFont="1" applyFill="1" applyBorder="1"/>
    <xf numFmtId="168" fontId="0" fillId="0" borderId="4" xfId="0" applyNumberFormat="1" applyFont="1" applyFill="1" applyBorder="1"/>
    <xf numFmtId="0" fontId="2" fillId="8" borderId="0" xfId="0" applyNumberFormat="1" applyFont="1" applyFill="1" applyBorder="1"/>
    <xf numFmtId="0" fontId="2" fillId="8" borderId="0" xfId="0" applyNumberFormat="1" applyFont="1" applyFill="1" applyBorder="1" applyAlignment="1">
      <alignment wrapText="1"/>
    </xf>
    <xf numFmtId="0" fontId="2" fillId="8" borderId="0" xfId="0" applyNumberFormat="1" applyFont="1" applyFill="1" applyBorder="1" applyAlignment="1">
      <alignment horizontal="center" wrapText="1"/>
    </xf>
    <xf numFmtId="0" fontId="9" fillId="9" borderId="0" xfId="0" applyNumberFormat="1" applyFont="1" applyFill="1" applyBorder="1"/>
    <xf numFmtId="0" fontId="3" fillId="10" borderId="0" xfId="0" applyNumberFormat="1" applyFont="1" applyFill="1" applyBorder="1"/>
    <xf numFmtId="164" fontId="3" fillId="10" borderId="0" xfId="0" applyNumberFormat="1" applyFont="1" applyFill="1" applyBorder="1"/>
    <xf numFmtId="165" fontId="3" fillId="10" borderId="0" xfId="0" applyNumberFormat="1" applyFont="1" applyFill="1" applyBorder="1"/>
    <xf numFmtId="164" fontId="9" fillId="9" borderId="0" xfId="0" applyNumberFormat="1" applyFont="1" applyFill="1" applyBorder="1"/>
    <xf numFmtId="0" fontId="2" fillId="8" borderId="0" xfId="0" applyNumberFormat="1" applyFont="1" applyFill="1" applyBorder="1" applyAlignment="1">
      <alignment horizontal="center"/>
    </xf>
    <xf numFmtId="0" fontId="5" fillId="7" borderId="0" xfId="0" applyNumberFormat="1" applyFont="1" applyFill="1" applyBorder="1" applyAlignment="1">
      <alignment horizontal="center" wrapText="1"/>
    </xf>
    <xf numFmtId="0" fontId="2" fillId="13" borderId="7" xfId="0" applyNumberFormat="1" applyFont="1" applyFill="1" applyBorder="1" applyAlignment="1">
      <alignment horizontal="center" vertical="center" wrapText="1"/>
    </xf>
    <xf numFmtId="0" fontId="2" fillId="13" borderId="8" xfId="0" applyNumberFormat="1" applyFont="1" applyFill="1" applyBorder="1" applyAlignment="1">
      <alignment horizontal="center" vertical="center" wrapText="1"/>
    </xf>
    <xf numFmtId="0" fontId="2" fillId="13" borderId="9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3" fillId="14" borderId="0" xfId="0" applyNumberFormat="1" applyFont="1" applyFill="1" applyAlignment="1">
      <alignment horizontal="center"/>
    </xf>
    <xf numFmtId="166" fontId="0" fillId="0" borderId="0" xfId="0" applyNumberFormat="1" applyFont="1" applyFill="1"/>
    <xf numFmtId="164" fontId="0" fillId="0" borderId="0" xfId="0" applyNumberFormat="1" applyFont="1" applyFill="1"/>
    <xf numFmtId="164" fontId="0" fillId="0" borderId="11" xfId="0" applyNumberFormat="1" applyFont="1" applyFill="1" applyBorder="1"/>
    <xf numFmtId="0" fontId="9" fillId="5" borderId="10" xfId="0" applyNumberFormat="1" applyFont="1" applyFill="1" applyBorder="1"/>
    <xf numFmtId="0" fontId="11" fillId="14" borderId="0" xfId="0" applyNumberFormat="1" applyFont="1" applyFill="1" applyAlignment="1">
      <alignment horizontal="center"/>
    </xf>
    <xf numFmtId="166" fontId="9" fillId="5" borderId="0" xfId="0" applyNumberFormat="1" applyFont="1" applyFill="1"/>
    <xf numFmtId="164" fontId="9" fillId="5" borderId="0" xfId="0" applyNumberFormat="1" applyFont="1" applyFill="1"/>
    <xf numFmtId="164" fontId="9" fillId="5" borderId="11" xfId="0" applyNumberFormat="1" applyFont="1" applyFill="1" applyBorder="1"/>
    <xf numFmtId="0" fontId="0" fillId="0" borderId="0" xfId="0" applyNumberFormat="1" applyFont="1" applyFill="1"/>
    <xf numFmtId="0" fontId="9" fillId="15" borderId="12" xfId="0" applyNumberFormat="1" applyFont="1" applyFill="1" applyBorder="1" applyAlignment="1">
      <alignment horizontal="center"/>
    </xf>
    <xf numFmtId="0" fontId="9" fillId="15" borderId="13" xfId="0" applyNumberFormat="1" applyFont="1" applyFill="1" applyBorder="1" applyAlignment="1">
      <alignment horizontal="center"/>
    </xf>
    <xf numFmtId="166" fontId="9" fillId="15" borderId="13" xfId="0" applyNumberFormat="1" applyFont="1" applyFill="1" applyBorder="1" applyAlignment="1">
      <alignment horizontal="center"/>
    </xf>
    <xf numFmtId="164" fontId="9" fillId="15" borderId="13" xfId="0" applyNumberFormat="1" applyFont="1" applyFill="1" applyBorder="1" applyAlignment="1">
      <alignment horizontal="center"/>
    </xf>
    <xf numFmtId="164" fontId="9" fillId="15" borderId="14" xfId="0" applyNumberFormat="1" applyFont="1" applyFill="1" applyBorder="1" applyAlignment="1">
      <alignment horizontal="center"/>
    </xf>
    <xf numFmtId="0" fontId="2" fillId="13" borderId="7" xfId="0" applyNumberFormat="1" applyFont="1" applyFill="1" applyBorder="1" applyAlignment="1">
      <alignment horizontal="center" wrapText="1"/>
    </xf>
    <xf numFmtId="0" fontId="2" fillId="13" borderId="8" xfId="0" applyNumberFormat="1" applyFont="1" applyFill="1" applyBorder="1" applyAlignment="1">
      <alignment horizontal="center" wrapText="1"/>
    </xf>
    <xf numFmtId="0" fontId="2" fillId="13" borderId="9" xfId="0" applyNumberFormat="1" applyFont="1" applyFill="1" applyBorder="1" applyAlignment="1">
      <alignment horizontal="center" wrapText="1"/>
    </xf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166" fontId="0" fillId="0" borderId="13" xfId="0" applyNumberFormat="1" applyFont="1" applyFill="1" applyBorder="1"/>
    <xf numFmtId="164" fontId="0" fillId="0" borderId="14" xfId="0" applyNumberFormat="1" applyFont="1" applyFill="1" applyBorder="1"/>
    <xf numFmtId="0" fontId="12" fillId="0" borderId="0" xfId="0" applyFont="1"/>
    <xf numFmtId="0" fontId="2" fillId="17" borderId="0" xfId="0" applyNumberFormat="1" applyFont="1" applyFill="1" applyBorder="1" applyAlignment="1">
      <alignment horizontal="center" vertical="center" wrapText="1"/>
    </xf>
    <xf numFmtId="164" fontId="14" fillId="18" borderId="0" xfId="0" applyNumberFormat="1" applyFont="1" applyFill="1" applyBorder="1" applyAlignment="1">
      <alignment horizontal="center" vertical="center"/>
    </xf>
    <xf numFmtId="1" fontId="14" fillId="18" borderId="0" xfId="0" applyNumberFormat="1" applyFont="1" applyFill="1" applyBorder="1" applyAlignment="1">
      <alignment horizontal="center" vertical="center"/>
    </xf>
    <xf numFmtId="0" fontId="3" fillId="19" borderId="0" xfId="0" applyNumberFormat="1" applyFont="1" applyFill="1" applyBorder="1"/>
    <xf numFmtId="0" fontId="15" fillId="0" borderId="0" xfId="0" applyNumberFormat="1" applyFont="1" applyFill="1" applyBorder="1"/>
    <xf numFmtId="167" fontId="3" fillId="19" borderId="0" xfId="0" applyNumberFormat="1" applyFont="1" applyFill="1" applyBorder="1"/>
    <xf numFmtId="1" fontId="3" fillId="19" borderId="0" xfId="0" applyNumberFormat="1" applyFont="1" applyFill="1" applyBorder="1"/>
    <xf numFmtId="3" fontId="3" fillId="19" borderId="0" xfId="0" applyNumberFormat="1" applyFont="1" applyFill="1" applyBorder="1"/>
    <xf numFmtId="164" fontId="3" fillId="19" borderId="0" xfId="0" applyNumberFormat="1" applyFont="1" applyFill="1" applyBorder="1"/>
    <xf numFmtId="164" fontId="15" fillId="0" borderId="0" xfId="0" applyNumberFormat="1" applyFont="1" applyFill="1" applyBorder="1"/>
    <xf numFmtId="0" fontId="6" fillId="17" borderId="15" xfId="0" applyNumberFormat="1" applyFont="1" applyFill="1" applyBorder="1" applyAlignment="1">
      <alignment horizontal="center" vertical="center" wrapText="1"/>
    </xf>
    <xf numFmtId="0" fontId="6" fillId="17" borderId="16" xfId="0" applyNumberFormat="1" applyFont="1" applyFill="1" applyBorder="1" applyAlignment="1">
      <alignment horizontal="center" vertical="center" wrapText="1"/>
    </xf>
    <xf numFmtId="0" fontId="6" fillId="17" borderId="17" xfId="0" applyNumberFormat="1" applyFont="1" applyFill="1" applyBorder="1" applyAlignment="1">
      <alignment horizontal="center" vertical="center" wrapText="1"/>
    </xf>
    <xf numFmtId="0" fontId="15" fillId="0" borderId="18" xfId="0" applyNumberFormat="1" applyFont="1" applyFill="1" applyBorder="1"/>
    <xf numFmtId="164" fontId="15" fillId="0" borderId="19" xfId="0" applyNumberFormat="1" applyFont="1" applyFill="1" applyBorder="1"/>
    <xf numFmtId="0" fontId="15" fillId="0" borderId="20" xfId="0" applyNumberFormat="1" applyFont="1" applyFill="1" applyBorder="1"/>
    <xf numFmtId="0" fontId="3" fillId="19" borderId="21" xfId="0" applyNumberFormat="1" applyFont="1" applyFill="1" applyBorder="1"/>
    <xf numFmtId="1" fontId="3" fillId="19" borderId="21" xfId="0" applyNumberFormat="1" applyFont="1" applyFill="1" applyBorder="1"/>
    <xf numFmtId="3" fontId="3" fillId="19" borderId="21" xfId="0" applyNumberFormat="1" applyFont="1" applyFill="1" applyBorder="1"/>
    <xf numFmtId="167" fontId="3" fillId="19" borderId="21" xfId="0" applyNumberFormat="1" applyFont="1" applyFill="1" applyBorder="1"/>
    <xf numFmtId="0" fontId="15" fillId="0" borderId="21" xfId="0" applyNumberFormat="1" applyFont="1" applyFill="1" applyBorder="1"/>
    <xf numFmtId="164" fontId="3" fillId="19" borderId="21" xfId="0" applyNumberFormat="1" applyFont="1" applyFill="1" applyBorder="1"/>
    <xf numFmtId="164" fontId="15" fillId="0" borderId="21" xfId="0" applyNumberFormat="1" applyFont="1" applyFill="1" applyBorder="1"/>
    <xf numFmtId="164" fontId="15" fillId="0" borderId="22" xfId="0" applyNumberFormat="1" applyFont="1" applyFill="1" applyBorder="1"/>
    <xf numFmtId="0" fontId="5" fillId="7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/>
    <xf numFmtId="0" fontId="2" fillId="11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center" vertical="center"/>
    </xf>
    <xf numFmtId="0" fontId="2" fillId="1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10" fillId="2" borderId="0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/>
    </xf>
    <xf numFmtId="0" fontId="13" fillId="16" borderId="0" xfId="0" applyNumberFormat="1" applyFont="1" applyFill="1" applyBorder="1" applyAlignment="1">
      <alignment horizontal="center" vertical="center"/>
    </xf>
    <xf numFmtId="0" fontId="16" fillId="2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Alım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DASHBOARD!$D$4:$D$7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İHALE</c:v>
                </c:pt>
                <c:pt idx="3">
                  <c:v>ŞİRKET ARACI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6B3-87D0-484C7B9D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Satış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DASHBOARD!$G$4:$G$7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KREDİ KARTI</c:v>
                </c:pt>
                <c:pt idx="3">
                  <c:v>KREDİ / FİNANSMAN</c:v>
                </c:pt>
              </c:strCache>
            </c:strRef>
          </c:cat>
          <c:val>
            <c:numRef>
              <c:f>DASHBOARD!$H$4:$H$7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1-4FEF-9494-0908E1B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Danışman Satış / Kârlılık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SATIŞ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DASHBOARD!$E$11:$E$12</c:f>
              <c:numCache>
                <c:formatCode>General</c:formatCode>
                <c:ptCount val="2"/>
                <c:pt idx="0">
                  <c:v>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0-4C1A-8FE6-3FF751A97B0B}"/>
            </c:ext>
          </c:extLst>
        </c:ser>
        <c:ser>
          <c:idx val="1"/>
          <c:order val="1"/>
          <c:tx>
            <c:v>CİRO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DASHBOARD!$F$11:$F$12</c:f>
              <c:numCache>
                <c:formatCode>#,##0\ "TL";[Red]\(#,##0\ "TL"\);\-</c:formatCode>
                <c:ptCount val="2"/>
                <c:pt idx="0">
                  <c:v>12675000</c:v>
                </c:pt>
                <c:pt idx="1">
                  <c:v>2640000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0-4C1A-8FE6-3FF751A97B0B}"/>
            </c:ext>
          </c:extLst>
        </c:ser>
        <c:ser>
          <c:idx val="2"/>
          <c:order val="2"/>
          <c:tx>
            <c:v>NET KAR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DASHBOARD!$G$11:$G$12</c:f>
              <c:numCache>
                <c:formatCode>#,##0\ "TL";[Red]\(#,##0\ "TL"\);\-</c:formatCode>
                <c:ptCount val="2"/>
                <c:pt idx="0">
                  <c:v>471590</c:v>
                </c:pt>
                <c:pt idx="1">
                  <c:v>188196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0-4C1A-8FE6-3FF751A9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racTakipTablosu" displayName="AracTakipTablosu" ref="A3:AD303" totalsRowShown="0">
  <tableColumns count="30">
    <tableColumn id="1" name="SAYI"/>
    <tableColumn id="2" name="OTOMOBİL BİLGİLERİ"/>
    <tableColumn id="3" name="M.YILI"/>
    <tableColumn id="4" name="PLAKA"/>
    <tableColumn id="5" name="ALIM TÜRÜ"/>
    <tableColumn id="6" name="ALIŞ BEDELİ"/>
    <tableColumn id="7" name="ALIŞ TARİHİ"/>
    <tableColumn id="8" name="SATIŞ TARİHİ"/>
    <tableColumn id="9" name="SKS GÜN"/>
    <tableColumn id="10" name="NOTER"/>
    <tableColumn id="11" name="EXPERTİZ"/>
    <tableColumn id="12" name="150 NOKTA"/>
    <tableColumn id="13" name="SİGORTA GİDERİ"/>
    <tableColumn id="14" name="EK MASRAF"/>
    <tableColumn id="15" name="SKS FİNANSMAN GİDERİ"/>
    <tableColumn id="16" name="TOPLAM GİDER"/>
    <tableColumn id="17" name="TOPLAM MALİYET"/>
    <tableColumn id="18" name="MÜŞTERİ BİLGİLERİ"/>
    <tableColumn id="19" name="SATIŞ TÜRÜ"/>
    <tableColumn id="20" name="SATIŞ BEDELİ"/>
    <tableColumn id="21" name="BRÜT KAR"/>
    <tableColumn id="22" name="NET KAR"/>
    <tableColumn id="23" name="NET KARLILIK"/>
    <tableColumn id="24" name="STOK DURUMU"/>
    <tableColumn id="25" name="SATIŞ DANIŞMANI"/>
    <tableColumn id="26" name="SİGORTA-KASKO GELİRİ"/>
    <tableColumn id="27" name="KREDİ GELİRİ"/>
    <tableColumn id="28" name="UZATILMIŞ GARANTİ GELİRİ"/>
    <tableColumn id="29" name="TOPLAM EK GELİR"/>
    <tableColumn id="30" name="PERFORMANS NET KAR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traStokTablosu" displayName="ExtraStokTablosu" ref="A6:S306" totalsRowShown="0">
  <tableColumns count="19">
    <tableColumn id="1" name="SIRA"/>
    <tableColumn id="2" name="PLAKA"/>
    <tableColumn id="3" name="MODEL YILI"/>
    <tableColumn id="4" name="KM"/>
    <tableColumn id="5" name="MARKA"/>
    <tableColumn id="6" name="MODEL"/>
    <tableColumn id="7" name="VERSİYON"/>
    <tableColumn id="8" name="RENK"/>
    <tableColumn id="9" name="ALIŞ TARİHİ"/>
    <tableColumn id="10" name="SKS SÜRESİ"/>
    <tableColumn id="11" name="YAKIT"/>
    <tableColumn id="12" name="VİTES"/>
    <tableColumn id="13" name="ALIŞ FİYATI"/>
    <tableColumn id="14" name="SATIŞ FİYATI"/>
    <tableColumn id="15" name="HEDEF KAZANÇ"/>
    <tableColumn id="16" name="SABİT MASRAFLAR"/>
    <tableColumn id="17" name="SKS FİNANSMAN GİDERİ"/>
    <tableColumn id="18" name="MASRAFLAR DAHİL TOPLAM ALIŞ DEĞERİ"/>
    <tableColumn id="19" name="TAHMİNİ NET K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RowHeight="13.8"/>
  <cols>
    <col min="1" max="1" width="28" customWidth="1"/>
    <col min="2" max="2" width="18" customWidth="1"/>
    <col min="4" max="4" width="24" customWidth="1"/>
    <col min="5" max="5" width="34" customWidth="1"/>
    <col min="6" max="6" width="40" customWidth="1"/>
    <col min="7" max="7" width="14" customWidth="1"/>
    <col min="8" max="8" width="24" customWidth="1"/>
    <col min="10" max="10" width="24" customWidth="1"/>
  </cols>
  <sheetData>
    <row r="1" spans="1:10" ht="19.2">
      <c r="A1" s="96" t="s">
        <v>0</v>
      </c>
      <c r="B1" s="96"/>
      <c r="C1" s="96"/>
      <c r="D1" s="96"/>
      <c r="E1" s="44"/>
      <c r="F1" s="44"/>
      <c r="G1" s="44"/>
      <c r="H1" s="44"/>
      <c r="I1" s="44"/>
      <c r="J1" s="44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>
      <c r="A3" s="37" t="s">
        <v>1</v>
      </c>
      <c r="B3" s="37" t="s">
        <v>2</v>
      </c>
      <c r="C3" s="5"/>
      <c r="D3" s="36" t="s">
        <v>3</v>
      </c>
      <c r="E3" s="36" t="s">
        <v>4</v>
      </c>
      <c r="F3" s="36" t="s">
        <v>5</v>
      </c>
      <c r="G3" s="36" t="s">
        <v>6</v>
      </c>
      <c r="H3" s="7"/>
      <c r="I3" s="5"/>
      <c r="J3" s="7"/>
    </row>
    <row r="4" spans="1:10">
      <c r="A4" s="5" t="s">
        <v>7</v>
      </c>
      <c r="B4" s="8">
        <f>'GİDER AYARLARI'!B4</f>
        <v>2602</v>
      </c>
      <c r="C4" s="5"/>
      <c r="D4" s="5" t="s">
        <v>8</v>
      </c>
      <c r="E4" s="5" t="s">
        <v>9</v>
      </c>
      <c r="F4" s="5" t="s">
        <v>10</v>
      </c>
      <c r="G4" s="5" t="s">
        <v>11</v>
      </c>
      <c r="H4" s="5"/>
      <c r="I4" s="5"/>
      <c r="J4" s="5"/>
    </row>
    <row r="5" spans="1:10">
      <c r="A5" s="5" t="s">
        <v>12</v>
      </c>
      <c r="B5" s="8">
        <f>'GİDER AYARLARI'!B5</f>
        <v>3900</v>
      </c>
      <c r="C5" s="5"/>
      <c r="D5" s="5" t="s">
        <v>13</v>
      </c>
      <c r="E5" s="5" t="s">
        <v>14</v>
      </c>
      <c r="F5" s="5" t="s">
        <v>15</v>
      </c>
      <c r="G5" s="5" t="s">
        <v>11</v>
      </c>
      <c r="H5" s="5"/>
      <c r="I5" s="5"/>
      <c r="J5" s="5"/>
    </row>
    <row r="6" spans="1:10">
      <c r="A6" s="5" t="s">
        <v>16</v>
      </c>
      <c r="B6" s="8">
        <f>'GİDER AYARLARI'!B6</f>
        <v>1900</v>
      </c>
      <c r="C6" s="5"/>
      <c r="D6" s="5" t="s">
        <v>17</v>
      </c>
      <c r="E6" s="5" t="s">
        <v>18</v>
      </c>
      <c r="F6" s="5" t="s">
        <v>19</v>
      </c>
      <c r="G6" s="5" t="s">
        <v>11</v>
      </c>
      <c r="H6" s="5"/>
      <c r="I6" s="5"/>
      <c r="J6" s="5"/>
    </row>
    <row r="7" spans="1:10">
      <c r="A7" s="5" t="s">
        <v>20</v>
      </c>
      <c r="B7" s="8">
        <f>'GİDER AYARLARI'!B7</f>
        <v>2500</v>
      </c>
      <c r="C7" s="5"/>
      <c r="D7" s="5" t="s">
        <v>21</v>
      </c>
      <c r="E7" s="5" t="s">
        <v>22</v>
      </c>
      <c r="F7" s="5" t="s">
        <v>23</v>
      </c>
      <c r="G7" s="5" t="s">
        <v>11</v>
      </c>
      <c r="H7" s="5"/>
      <c r="I7" s="5"/>
      <c r="J7" s="5"/>
    </row>
    <row r="8" spans="1:10">
      <c r="A8" s="5" t="s">
        <v>24</v>
      </c>
      <c r="B8" s="9">
        <f>'GİDER AYARLARI'!B8</f>
        <v>0</v>
      </c>
      <c r="C8" s="5"/>
      <c r="D8" s="5"/>
      <c r="E8" s="5"/>
      <c r="F8" s="5"/>
      <c r="G8" s="5"/>
      <c r="H8" s="5"/>
      <c r="I8" s="5"/>
      <c r="J8" s="5"/>
    </row>
    <row r="9" spans="1:10">
      <c r="A9" s="5" t="s">
        <v>25</v>
      </c>
      <c r="B9" s="10">
        <f>'GİDER AYARLARI'!B10</f>
        <v>10902</v>
      </c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99" t="s">
        <v>26</v>
      </c>
      <c r="E10" s="99"/>
      <c r="F10" s="99"/>
      <c r="G10" s="99"/>
      <c r="H10" s="5"/>
      <c r="I10" s="5"/>
      <c r="J10" s="5"/>
    </row>
    <row r="11" spans="1:10">
      <c r="A11" s="97"/>
      <c r="B11" s="97"/>
      <c r="C11" s="97"/>
      <c r="D11" s="97" t="s">
        <v>27</v>
      </c>
      <c r="E11" s="5" t="s">
        <v>28</v>
      </c>
      <c r="F11" s="5"/>
      <c r="G11" s="5"/>
      <c r="H11" s="5"/>
      <c r="I11" s="5"/>
      <c r="J11" s="5"/>
    </row>
    <row r="12" spans="1:10" ht="27.6">
      <c r="A12" s="5"/>
      <c r="B12" s="5"/>
      <c r="C12" s="5"/>
      <c r="D12" s="5" t="s">
        <v>29</v>
      </c>
      <c r="E12" s="5" t="s">
        <v>30</v>
      </c>
      <c r="F12" s="5"/>
      <c r="G12" s="5"/>
      <c r="H12" s="5"/>
      <c r="I12" s="5"/>
      <c r="J12" s="5"/>
    </row>
    <row r="13" spans="1:10" ht="27.6">
      <c r="A13" s="5"/>
      <c r="B13" s="5"/>
      <c r="C13" s="5"/>
      <c r="D13" s="5" t="s">
        <v>31</v>
      </c>
      <c r="E13" s="5" t="s">
        <v>32</v>
      </c>
      <c r="F13" s="5"/>
      <c r="G13" s="5"/>
      <c r="H13" s="5"/>
      <c r="I13" s="5"/>
      <c r="J13" s="5"/>
    </row>
    <row r="14" spans="1:10" ht="27.6">
      <c r="A14" s="5"/>
      <c r="B14" s="5"/>
      <c r="C14" s="5"/>
      <c r="D14" s="5" t="s">
        <v>33</v>
      </c>
      <c r="E14" s="5" t="s">
        <v>34</v>
      </c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7" spans="1:4">
      <c r="A17" s="98"/>
      <c r="B17" s="98"/>
      <c r="C17" s="98"/>
      <c r="D17" s="98"/>
    </row>
  </sheetData>
  <mergeCells count="4">
    <mergeCell ref="A1:D1"/>
    <mergeCell ref="A11:D11"/>
    <mergeCell ref="A17:D17"/>
    <mergeCell ref="D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AD303"/>
  <sheetViews>
    <sheetView tabSelected="1" workbookViewId="0">
      <selection activeCell="AD14" sqref="AD14"/>
    </sheetView>
  </sheetViews>
  <sheetFormatPr defaultRowHeight="13.8"/>
  <cols>
    <col min="1" max="1" width="7" customWidth="1"/>
    <col min="2" max="2" width="29.5" customWidth="1"/>
    <col min="3" max="3" width="9" customWidth="1"/>
    <col min="4" max="4" width="12" customWidth="1"/>
    <col min="5" max="5" width="16" customWidth="1"/>
    <col min="6" max="6" width="15" customWidth="1"/>
    <col min="7" max="8" width="13" customWidth="1"/>
    <col min="9" max="9" width="10" customWidth="1"/>
    <col min="10" max="12" width="12" customWidth="1"/>
    <col min="13" max="14" width="13" customWidth="1"/>
    <col min="15" max="15" width="16" customWidth="1"/>
    <col min="16" max="16" width="14" customWidth="1"/>
    <col min="17" max="17" width="15" customWidth="1"/>
    <col min="18" max="18" width="24" customWidth="1"/>
    <col min="19" max="19" width="19" customWidth="1"/>
    <col min="20" max="20" width="15" customWidth="1"/>
    <col min="21" max="22" width="14" customWidth="1"/>
    <col min="23" max="24" width="12" customWidth="1"/>
    <col min="25" max="25" width="24" customWidth="1"/>
    <col min="26" max="26" width="16" customWidth="1"/>
    <col min="27" max="27" width="14" customWidth="1"/>
    <col min="28" max="28" width="18" customWidth="1"/>
    <col min="29" max="29" width="15" customWidth="1"/>
    <col min="30" max="30" width="17" customWidth="1"/>
  </cols>
  <sheetData>
    <row r="1" spans="1:30" ht="17.850000000000001" customHeight="1">
      <c r="A1" s="100" t="s">
        <v>35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3" spans="1:30" ht="22.95" customHeight="1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1" t="s">
        <v>56</v>
      </c>
      <c r="V3" s="11" t="s">
        <v>57</v>
      </c>
      <c r="W3" s="11" t="s">
        <v>58</v>
      </c>
      <c r="X3" s="11" t="s">
        <v>59</v>
      </c>
      <c r="Y3" s="11" t="s">
        <v>60</v>
      </c>
      <c r="Z3" s="11" t="s">
        <v>61</v>
      </c>
      <c r="AA3" s="11" t="s">
        <v>62</v>
      </c>
      <c r="AB3" s="11" t="s">
        <v>63</v>
      </c>
      <c r="AC3" s="11" t="s">
        <v>64</v>
      </c>
      <c r="AD3" s="11" t="s">
        <v>65</v>
      </c>
    </row>
    <row r="4" spans="1:30">
      <c r="A4">
        <f>IF(D4="","",ROW()-3)</f>
      </c>
      <c r="B4" s="2" t="inlineStr">
        <is>
          <t>Duster 1.0 Eco-G Evolution</t>
        </is>
      </c>
      <c r="C4" s="18">
        <v>2025.0</v>
      </c>
      <c r="D4" s="2" t="inlineStr">
        <is>
          <t>33BAS278</t>
        </is>
      </c>
      <c r="E4" s="2" t="inlineStr">
        <is>
          <t>ŞİRKET ARACI</t>
        </is>
      </c>
      <c r="F4" s="3">
        <v>1300000.0</v>
      </c>
      <c r="G4" s="16">
        <v>46240.0</v>
      </c>
      <c r="H4" s="16">
        <v>46240.0</v>
      </c>
      <c r="I4" s="17">
        <f>IF(G4="","",IF(H4="",TODAY()-G4,H4-G4))</f>
      </c>
      <c r="J4" s="13">
        <f>IF(F4="","",IFERROR(IF(VLOOKUP(E4,'ALIM AYARLARI'!$A$4:$D$20,3,FALSE)="EVET",'GİDER AYARLARI'!$B$4,0),0))</f>
      </c>
      <c r="K4" s="13">
        <f>IF(F4="","",'GİDER AYARLARI'!$B$5)</f>
      </c>
      <c r="L4" s="13">
        <f>IF(F4="","",'GİDER AYARLARI'!$B$6)</f>
      </c>
      <c r="M4" s="13">
        <f>IF(F4="","",IFERROR(IF(VLOOKUP(E4,'ALIM AYARLARI'!$A$4:$D$20,3,FALSE)="EVET",'GİDER AYARLARI'!$B$7,0),0))</f>
      </c>
      <c r="N4" s="3">
        <v>0.0</v>
      </c>
      <c r="O4" s="13">
        <f>IF(OR(F4="",I4=""),"",IFERROR(IF(VLOOKUP(E4,'ALIM AYARLARI'!$A$4:$D$20,2,FALSE)="EVET",F4*'GİDER AYARLARI'!$B$8*I4/30,0),0))</f>
      </c>
      <c r="P4" s="14">
        <f>IF(F4="","",SUM(J4:O4))</f>
      </c>
      <c r="Q4" s="14">
        <f>IF(F4="","",F4+P4)</f>
      </c>
      <c r="R4" s="2" t="inlineStr">
        <is>
          <t>ORHAN AYDIN</t>
        </is>
      </c>
      <c r="S4" s="2" t="inlineStr">
        <is>
          <t>FİNASMAN KURULUŞU</t>
        </is>
      </c>
      <c r="T4" s="3">
        <v>1395000.0</v>
      </c>
      <c r="U4" s="14">
        <f>IF(OR(F4="",T4=""),"",T4-F4)</f>
      </c>
      <c r="V4" s="14">
        <f>IF(T4="","",T4-Q4)</f>
      </c>
      <c r="W4" s="15">
        <f>IFERROR(V4/T4,"")</f>
      </c>
      <c r="X4" s="12">
        <f>IF(F4="","",IF(H4="","STOKTA","SATILDI"))</f>
      </c>
      <c r="Y4" s="2" t="inlineStr">
        <is>
          <t>ONUR İPEK</t>
        </is>
      </c>
      <c r="Z4" s="3">
        <v>0.0</v>
      </c>
      <c r="AA4" s="3">
        <v>0.0</v>
      </c>
      <c r="AB4" s="3">
        <v>0.0</v>
      </c>
      <c r="AC4" s="14">
        <f>IF(F4="","",SUM(Z4:AB4))</f>
      </c>
      <c r="AD4" s="14">
        <f>IF(T4="","",V4+AC4)</f>
      </c>
    </row>
    <row r="5" spans="1:30" ht="14.4">
      <c r="A5">
        <f>IF(D5="","",ROW()-3)</f>
      </c>
      <c r="B5" s="2" t="inlineStr">
        <is>
          <t>CAPTUR</t>
        </is>
      </c>
      <c r="C5" s="18">
        <v>2022.0</v>
      </c>
      <c r="D5" s="2" t="inlineStr">
        <is>
          <t>33ALZ706</t>
        </is>
      </c>
      <c r="E5" s="2" t="inlineStr">
        <is>
          <t>TAKAS</t>
        </is>
      </c>
      <c r="F5" s="3">
        <v>1340000.0</v>
      </c>
      <c r="G5" s="16">
        <v>46196.0</v>
      </c>
      <c r="H5" s="16">
        <v>46240.0</v>
      </c>
      <c r="I5" s="17">
        <f>IF(G5="","",IF(H5="",TODAY()-G5,H5-G5))</f>
      </c>
      <c r="J5" s="13">
        <f>IF(F5="","",IFERROR(IF(VLOOKUP(E5,'ALIM AYARLARI'!$A$4:$D$20,3,FALSE)="EVET",'GİDER AYARLARI'!$B$4,0),0))</f>
      </c>
      <c r="K5" s="13">
        <f>IF(F5="","",'GİDER AYARLARI'!$B$5)</f>
      </c>
      <c r="L5" s="13">
        <f>IF(F5="","",'GİDER AYARLARI'!$B$6)</f>
      </c>
      <c r="M5" s="13">
        <f>IF(F5="","",IFERROR(IF(VLOOKUP(E5,'ALIM AYARLARI'!$A$4:$D$20,3,FALSE)="EVET",'GİDER AYARLARI'!$B$7,0),0))</f>
      </c>
      <c r="N5" s="3">
        <v>8500.0</v>
      </c>
      <c r="O5" s="13">
        <f>IF(OR(F5="",I5=""),"",IFERROR(IF(VLOOKUP(E5,'ALIM AYARLARI'!$A$4:$D$20,2,FALSE)="EVET",F5*'GİDER AYARLARI'!$B$8*I5/30,0),0))</f>
      </c>
      <c r="P5" s="14">
        <f>IF(F5="","",SUM(J5:O5))</f>
      </c>
      <c r="Q5" s="14">
        <f>IF(F5="","",F5+P5)</f>
      </c>
      <c r="R5" s="71" t="inlineStr">
        <is>
          <t>Selçuk Özkoç</t>
        </is>
      </c>
      <c r="S5" s="2" t="inlineStr">
        <is>
          <t>NAKİT</t>
        </is>
      </c>
      <c r="T5" s="3">
        <v>1375000.0</v>
      </c>
      <c r="U5" s="14">
        <f>IF(OR(F5="",T5=""),"",T5-F5)</f>
      </c>
      <c r="V5" s="14">
        <f>IF(T5="","",T5-Q5)</f>
      </c>
      <c r="W5" s="15">
        <f>IFERROR(V5/T5,"")</f>
      </c>
      <c r="X5" s="12">
        <f>IF(F5="","",IF(H5="","STOKTA","SATILDI"))</f>
      </c>
      <c r="Y5" s="2" t="inlineStr">
        <is>
          <t>ONUR İPEK</t>
        </is>
      </c>
      <c r="Z5" s="3">
        <v>0.0</v>
      </c>
      <c r="AA5" s="3">
        <v>0.0</v>
      </c>
      <c r="AB5" s="3">
        <v>0.0</v>
      </c>
      <c r="AC5" s="14">
        <f>IF(F5="","",SUM(Z5:AB5))</f>
      </c>
      <c r="AD5" s="14">
        <f>IF(T5="","",V5+AC5)</f>
      </c>
    </row>
    <row r="6" spans="1:30">
      <c r="A6">
        <f>IF(D6="","",ROW()-3)</f>
      </c>
      <c r="B6" s="2" t="inlineStr">
        <is>
          <t>1.6 E-Tech Techno (Full Hybrid)</t>
        </is>
      </c>
      <c r="C6" s="18">
        <v>2025.0</v>
      </c>
      <c r="D6" s="2" t="inlineStr">
        <is>
          <t>33 BBA 692</t>
        </is>
      </c>
      <c r="E6" s="2" t="inlineStr">
        <is>
          <t>TAKAS</t>
        </is>
      </c>
      <c r="F6" s="3">
        <v>1670000.0</v>
      </c>
      <c r="G6" s="16">
        <v>46202.0</v>
      </c>
      <c r="H6" s="16">
        <v>46245.0</v>
      </c>
      <c r="I6" s="17">
        <f>IF(G6="","",IF(H6="",TODAY()-G6,H6-G6))</f>
      </c>
      <c r="J6" s="13">
        <f>IF(F6="","",IFERROR(IF(VLOOKUP(E6,'ALIM AYARLARI'!$A$4:$D$20,3,FALSE)="EVET",'GİDER AYARLARI'!$B$4,0),0))</f>
      </c>
      <c r="K6" s="13">
        <f>IF(F6="","",'GİDER AYARLARI'!$B$5)</f>
      </c>
      <c r="L6" s="13">
        <f>IF(F6="","",'GİDER AYARLARI'!$B$6)</f>
      </c>
      <c r="M6" s="13">
        <f>IF(F6="","",IFERROR(IF(VLOOKUP(E6,'ALIM AYARLARI'!$A$4:$D$20,3,FALSE)="EVET",'GİDER AYARLARI'!$B$7,0),0))</f>
      </c>
      <c r="N6" s="3">
        <v>0.0</v>
      </c>
      <c r="O6" s="13">
        <f>IF(OR(F6="",I6=""),"",IFERROR(IF(VLOOKUP(E6,'ALIM AYARLARI'!$A$4:$D$20,2,FALSE)="EVET",F6*'GİDER AYARLARI'!$B$8*I6/30,0),0))</f>
      </c>
      <c r="P6" s="14">
        <f>IF(F6="","",SUM(J6:O6))</f>
      </c>
      <c r="Q6" s="14">
        <f>IF(F6="","",F6+P6)</f>
      </c>
      <c r="R6" s="2" t="inlineStr">
        <is>
          <t>Aladdin Turan</t>
        </is>
      </c>
      <c r="S6" s="2" t="inlineStr">
        <is>
          <t>NAKİT</t>
        </is>
      </c>
      <c r="T6" s="3">
        <v>1740000.0</v>
      </c>
      <c r="U6" s="14">
        <f>IF(OR(F6="",T6=""),"",T6-F6)</f>
      </c>
      <c r="V6" s="14">
        <f>IF(T6="","",T6-Q6)</f>
      </c>
      <c r="W6" s="15">
        <f>IFERROR(V6/T6,"")</f>
      </c>
      <c r="X6" s="12">
        <f>IF(F6="","",IF(H6="","STOKTA","SATILDI"))</f>
      </c>
      <c r="Y6" s="2" t="inlineStr">
        <is>
          <t>HASAN HÜSEYİN SÜRMELİ</t>
        </is>
      </c>
      <c r="Z6" s="3">
        <v>0.0</v>
      </c>
      <c r="AA6" s="3">
        <v>0.0</v>
      </c>
      <c r="AB6" s="3">
        <v>0.0</v>
      </c>
      <c r="AC6" s="14">
        <f>IF(F6="","",SUM(Z6:AB6))</f>
      </c>
      <c r="AD6" s="14">
        <f>IF(T6="","",V6+AC6)</f>
      </c>
    </row>
    <row r="7" spans="1:30">
      <c r="A7">
        <f>IF(D7="","",ROW()-3)</f>
      </c>
      <c r="B7" s="2" t="inlineStr">
        <is>
          <t>Clio 1.0 TCE Evolution X-Tronic</t>
        </is>
      </c>
      <c r="C7" s="18">
        <v>2025.0</v>
      </c>
      <c r="D7" s="2" t="inlineStr">
        <is>
          <t>34NER488</t>
        </is>
      </c>
      <c r="E7" s="2" t="inlineStr">
        <is>
          <t>İHALE</t>
        </is>
      </c>
      <c r="F7" s="3">
        <v>1230000.0</v>
      </c>
      <c r="G7" s="16">
        <v>46245.0</v>
      </c>
      <c r="H7" s="16">
        <v>46245.0</v>
      </c>
      <c r="I7" s="17">
        <f>IF(G7="","",IF(H7="",TODAY()-G7,H7-G7))</f>
      </c>
      <c r="J7" s="13">
        <f>IF(F7="","",IFERROR(IF(VLOOKUP(E7,'ALIM AYARLARI'!$A$4:$D$20,3,FALSE)="EVET",'GİDER AYARLARI'!$B$4,0),0))</f>
      </c>
      <c r="K7" s="13">
        <f>IF(F7="","",'GİDER AYARLARI'!$B$5)</f>
      </c>
      <c r="L7" s="13">
        <f>IF(F7="","",'GİDER AYARLARI'!$B$6)</f>
      </c>
      <c r="M7" s="13">
        <f>IF(F7="","",IFERROR(IF(VLOOKUP(E7,'ALIM AYARLARI'!$A$4:$D$20,3,FALSE)="EVET",'GİDER AYARLARI'!$B$7,0),0))</f>
      </c>
      <c r="N7" s="3">
        <v>900.0</v>
      </c>
      <c r="O7" s="13">
        <f>IF(OR(F7="",I7=""),"",IFERROR(IF(VLOOKUP(E7,'ALIM AYARLARI'!$A$4:$D$20,2,FALSE)="EVET",F7*'GİDER AYARLARI'!$B$8*I7/30,0),0))</f>
      </c>
      <c r="P7" s="14">
        <f>IF(F7="","",SUM(J7:O7))</f>
      </c>
      <c r="Q7" s="14">
        <f>IF(F7="","",F7+P7)</f>
      </c>
      <c r="R7" s="2" t="inlineStr">
        <is>
          <t>Sezer Çelik</t>
        </is>
      </c>
      <c r="S7" s="2" t="inlineStr">
        <is>
          <t>NAKİT</t>
        </is>
      </c>
      <c r="T7" s="3">
        <v>1270000.0</v>
      </c>
      <c r="U7" s="14">
        <f>IF(OR(F7="",T7=""),"",T7-F7)</f>
      </c>
      <c r="V7" s="14">
        <f>IF(T7="","",T7-Q7)</f>
      </c>
      <c r="W7" s="15">
        <f>IFERROR(V7/T7,"")</f>
      </c>
      <c r="X7" s="12">
        <f>IF(F7="","",IF(H7="","STOKTA","SATILDI"))</f>
      </c>
      <c r="Y7" s="2" t="inlineStr">
        <is>
          <t>ONUR İPEK</t>
        </is>
      </c>
      <c r="Z7" s="3">
        <v>0.0</v>
      </c>
      <c r="AA7" s="3">
        <v>0.0</v>
      </c>
      <c r="AB7" s="3">
        <v>0.0</v>
      </c>
      <c r="AC7" s="14">
        <f>IF(F7="","",SUM(Z7:AB7))</f>
      </c>
      <c r="AD7" s="14">
        <f>IF(T7="","",V7+AC7)</f>
      </c>
    </row>
    <row r="8" spans="1:30">
      <c r="A8">
        <f>IF(D8="","",ROW()-3)</f>
      </c>
      <c r="B8" s="2" t="inlineStr">
        <is>
          <t>SANDERO STEPWAY</t>
        </is>
      </c>
      <c r="C8" s="18">
        <v>2025.0</v>
      </c>
      <c r="D8" s="2" t="inlineStr">
        <is>
          <t>33BCP119</t>
        </is>
      </c>
      <c r="E8" s="2" t="inlineStr">
        <is>
          <t>ŞİRKET ARACI</t>
        </is>
      </c>
      <c r="F8" s="3">
        <v>1200000.0</v>
      </c>
      <c r="G8" s="16">
        <v>46247.0</v>
      </c>
      <c r="H8" s="16">
        <v>46247.0</v>
      </c>
      <c r="I8" s="17">
        <f>IF(G8="","",IF(H8="",TODAY()-G8,H8-G8))</f>
      </c>
      <c r="J8" s="13">
        <f>IF(F8="","",IFERROR(IF(VLOOKUP(E8,'ALIM AYARLARI'!$A$4:$D$20,3,FALSE)="EVET",'GİDER AYARLARI'!$B$4,0),0))</f>
      </c>
      <c r="K8" s="13">
        <f>IF(F8="","",'GİDER AYARLARI'!$B$5)</f>
      </c>
      <c r="L8" s="13">
        <f>IF(F8="","",'GİDER AYARLARI'!$B$6)</f>
      </c>
      <c r="M8" s="13">
        <f>IF(F8="","",IFERROR(IF(VLOOKUP(E8,'ALIM AYARLARI'!$A$4:$D$20,3,FALSE)="EVET",'GİDER AYARLARI'!$B$7,0),0))</f>
      </c>
      <c r="N8" s="3">
        <v>0.0</v>
      </c>
      <c r="O8" s="13">
        <f>IF(OR(F8="",I8=""),"",IFERROR(IF(VLOOKUP(E8,'ALIM AYARLARI'!$A$4:$D$20,2,FALSE)="EVET",F8*'GİDER AYARLARI'!$B$8*I8/30,0),0))</f>
      </c>
      <c r="P8" s="14">
        <f>IF(F8="","",SUM(J8:O8))</f>
      </c>
      <c r="Q8" s="14">
        <f>IF(F8="","",F8+P8)</f>
      </c>
      <c r="R8" s="2" t="inlineStr">
        <is>
          <t>Mustafa Yunus Dibek</t>
        </is>
      </c>
      <c r="S8" s="2" t="inlineStr">
        <is>
          <t>FİNASMAN KURULUŞU</t>
        </is>
      </c>
      <c r="T8" s="3">
        <v>1290000.0</v>
      </c>
      <c r="U8" s="14">
        <f>IF(OR(F8="",T8=""),"",T8-F8)</f>
      </c>
      <c r="V8" s="14">
        <f>IF(T8="","",T8-Q8)</f>
      </c>
      <c r="W8" s="15">
        <f>IFERROR(V8/T8,"")</f>
      </c>
      <c r="X8" s="12">
        <f>IF(F8="","",IF(H8="","STOKTA","SATILDI"))</f>
      </c>
      <c r="Y8" s="2" t="inlineStr">
        <is>
          <t>ONUR İPEK</t>
        </is>
      </c>
      <c r="Z8" s="3">
        <v>0.0</v>
      </c>
      <c r="AA8" s="3">
        <v>0.0</v>
      </c>
      <c r="AB8" s="3">
        <v>0.0</v>
      </c>
      <c r="AC8" s="14">
        <f>IF(F8="","",SUM(Z8:AB8))</f>
      </c>
      <c r="AD8" s="14">
        <f>IF(T8="","",V8+AC8)</f>
      </c>
    </row>
    <row r="9" spans="1:30">
      <c r="A9">
        <f>IF(D9="","",ROW()-3)</f>
      </c>
      <c r="B9" s="2" t="inlineStr">
        <is>
          <t>Clio 1.0 TCE Evolution X-Tronic</t>
        </is>
      </c>
      <c r="C9" s="18">
        <v>2025.0</v>
      </c>
      <c r="D9" s="2" t="inlineStr">
        <is>
          <t>33BEC675</t>
        </is>
      </c>
      <c r="E9" s="2" t="inlineStr">
        <is>
          <t>ŞİRKET ARACI</t>
        </is>
      </c>
      <c r="F9" s="3">
        <v>1200000.0</v>
      </c>
      <c r="G9" s="16">
        <v>46251.0</v>
      </c>
      <c r="H9" s="16">
        <v>46251.0</v>
      </c>
      <c r="I9" s="17">
        <f>IF(G9="","",IF(H9="",TODAY()-G9,H9-G9))</f>
      </c>
      <c r="J9" s="13">
        <f>IF(F9="","",IFERROR(IF(VLOOKUP(E9,'ALIM AYARLARI'!$A$4:$D$20,3,FALSE)="EVET",'GİDER AYARLARI'!$B$4,0),0))</f>
      </c>
      <c r="K9" s="13">
        <f>IF(F9="","",'GİDER AYARLARI'!$B$5)</f>
      </c>
      <c r="L9" s="13">
        <f>IF(F9="","",'GİDER AYARLARI'!$B$6)</f>
      </c>
      <c r="M9" s="13">
        <f>IF(F9="","",IFERROR(IF(VLOOKUP(E9,'ALIM AYARLARI'!$A$4:$D$20,3,FALSE)="EVET",'GİDER AYARLARI'!$B$7,0),0))</f>
      </c>
      <c r="N9" s="3">
        <v>0.0</v>
      </c>
      <c r="O9" s="13">
        <f>IF(OR(F9="",I9=""),"",IFERROR(IF(VLOOKUP(E9,'ALIM AYARLARI'!$A$4:$D$20,2,FALSE)="EVET",F9*'GİDER AYARLARI'!$B$8*I9/30,0),0))</f>
      </c>
      <c r="P9" s="14">
        <f>IF(F9="","",SUM(J9:O9))</f>
      </c>
      <c r="Q9" s="14">
        <f>IF(F9="","",F9+P9)</f>
      </c>
      <c r="R9" s="2" t="inlineStr">
        <is>
          <t>Meryem YÜKSEL AYTEKİN</t>
        </is>
      </c>
      <c r="S9" s="2" t="inlineStr">
        <is>
          <t>FİNASMAN KURULUŞU</t>
        </is>
      </c>
      <c r="T9" s="3">
        <v>1275000.0</v>
      </c>
      <c r="U9" s="14">
        <f>IF(OR(F9="",T9=""),"",T9-F9)</f>
      </c>
      <c r="V9" s="14">
        <f>IF(T9="","",T9-Q9)</f>
      </c>
      <c r="W9" s="15">
        <f>IFERROR(V9/T9,"")</f>
      </c>
      <c r="X9" s="12">
        <f>IF(F9="","",IF(H9="","STOKTA","SATILDI"))</f>
      </c>
      <c r="Y9" s="2" t="inlineStr">
        <is>
          <t>ONUR İPEK</t>
        </is>
      </c>
      <c r="Z9" s="3">
        <v>0.0</v>
      </c>
      <c r="AA9" s="3">
        <v>0.0</v>
      </c>
      <c r="AB9" s="3">
        <v>0.0</v>
      </c>
      <c r="AC9" s="14">
        <f>IF(F9="","",SUM(Z9:AB9))</f>
      </c>
      <c r="AD9" s="14">
        <f>IF(T9="","",V9+AC9)</f>
      </c>
    </row>
    <row r="10" spans="1:30">
      <c r="A10">
        <f>IF(D10="","",ROW()-3)</f>
      </c>
      <c r="B10" s="2" t="inlineStr">
        <is>
          <t>RENO 5</t>
        </is>
      </c>
      <c r="C10" s="18">
        <v>2025.0</v>
      </c>
      <c r="D10" s="2" t="inlineStr">
        <is>
          <t>33BBS963</t>
        </is>
      </c>
      <c r="E10" s="2" t="inlineStr">
        <is>
          <t>ŞİRKET ARACI</t>
        </is>
      </c>
      <c r="F10" s="3">
        <v>1550000.0</v>
      </c>
      <c r="G10" s="16">
        <v>46253.0</v>
      </c>
      <c r="H10" s="16">
        <v>46253.0</v>
      </c>
      <c r="I10" s="17">
        <f>IF(G10="","",IF(H10="",TODAY()-G10,H10-G10))</f>
      </c>
      <c r="J10" s="13">
        <f>IF(F10="","",IFERROR(IF(VLOOKUP(E10,'ALIM AYARLARI'!$A$4:$D$20,3,FALSE)="EVET",'GİDER AYARLARI'!$B$4,0),0))</f>
      </c>
      <c r="K10" s="13">
        <f>IF(F10="","",'GİDER AYARLARI'!$B$5)</f>
      </c>
      <c r="L10" s="13">
        <f>IF(F10="","",'GİDER AYARLARI'!$B$6)</f>
      </c>
      <c r="M10" s="13">
        <f>IF(F10="","",IFERROR(IF(VLOOKUP(E10,'ALIM AYARLARI'!$A$4:$D$20,3,FALSE)="EVET",'GİDER AYARLARI'!$B$7,0),0))</f>
      </c>
      <c r="N10" s="3">
        <v>0.0</v>
      </c>
      <c r="O10" s="13">
        <f>IF(OR(F10="",I10=""),"",IFERROR(IF(VLOOKUP(E10,'ALIM AYARLARI'!$A$4:$D$20,2,FALSE)="EVET",F10*'GİDER AYARLARI'!$B$8*I10/30,0),0))</f>
      </c>
      <c r="P10" s="14">
        <f>IF(F10="","",SUM(J10:O10))</f>
      </c>
      <c r="Q10" s="14">
        <f>IF(F10="","",F10+P10)</f>
      </c>
      <c r="R10" s="2" t="inlineStr">
        <is>
          <t>CENNET GEZER</t>
        </is>
      </c>
      <c r="S10" s="2" t="inlineStr">
        <is>
          <t>NAKİT</t>
        </is>
      </c>
      <c r="T10" s="3">
        <v>1600000.0</v>
      </c>
      <c r="U10" s="14">
        <f>IF(OR(F10="",T10=""),"",T10-F10)</f>
      </c>
      <c r="V10" s="14">
        <f>IF(T10="","",T10-Q10)</f>
      </c>
      <c r="W10" s="15">
        <f>IFERROR(V10/T10,"")</f>
      </c>
      <c r="X10" s="12">
        <f>IF(F10="","",IF(H10="","STOKTA","SATILDI"))</f>
      </c>
      <c r="Y10" s="2" t="inlineStr">
        <is>
          <t>ONUR İPEK</t>
        </is>
      </c>
      <c r="Z10" s="3">
        <v>0.0</v>
      </c>
      <c r="AA10" s="3">
        <v>0.0</v>
      </c>
      <c r="AB10" s="3">
        <v>0.0</v>
      </c>
      <c r="AC10" s="14">
        <f>IF(F10="","",SUM(Z10:AB10))</f>
      </c>
      <c r="AD10" s="14">
        <f>IF(T10="","",V10+AC10)</f>
      </c>
    </row>
    <row r="11" spans="1:30">
      <c r="A11">
        <f>IF(D11="","",ROW()-3)</f>
      </c>
      <c r="B11" s="2" t="inlineStr">
        <is>
          <t>Megane Sedan 1.3 TCe Touch EDC</t>
        </is>
      </c>
      <c r="C11" s="18">
        <v>2025.0</v>
      </c>
      <c r="D11" s="2" t="inlineStr">
        <is>
          <t>34 MYD 234</t>
        </is>
      </c>
      <c r="E11" s="2" t="inlineStr">
        <is>
          <t>İHALE</t>
        </is>
      </c>
      <c r="F11" s="3">
        <v>1520000.0</v>
      </c>
      <c r="G11" s="16">
        <v>46254.0</v>
      </c>
      <c r="H11" s="16">
        <v>46254.0</v>
      </c>
      <c r="I11" s="17">
        <f>IF(G11="","",IF(H11="",TODAY()-G11,H11-G11))</f>
      </c>
      <c r="J11" s="13">
        <f>IF(F11="","",IFERROR(IF(VLOOKUP(E11,'ALIM AYARLARI'!$A$4:$D$20,3,FALSE)="EVET",'GİDER AYARLARI'!$B$4,0),0))</f>
      </c>
      <c r="K11" s="13">
        <f>IF(F11="","",'GİDER AYARLARI'!$B$5)</f>
      </c>
      <c r="L11" s="13">
        <f>IF(F11="","",'GİDER AYARLARI'!$B$6)</f>
      </c>
      <c r="M11" s="13">
        <f>IF(F11="","",IFERROR(IF(VLOOKUP(E11,'ALIM AYARLARI'!$A$4:$D$20,3,FALSE)="EVET",'GİDER AYARLARI'!$B$7,0),0))</f>
      </c>
      <c r="N11" s="3">
        <v>17100.0</v>
      </c>
      <c r="O11" s="13">
        <f>IF(OR(F11="",I11=""),"",IFERROR(IF(VLOOKUP(E11,'ALIM AYARLARI'!$A$4:$D$20,2,FALSE)="EVET",F11*'GİDER AYARLARI'!$B$8*I11/30,0),0))</f>
      </c>
      <c r="P11" s="14">
        <f>IF(F11="","",SUM(J11:O11))</f>
      </c>
      <c r="Q11" s="14">
        <f>IF(F11="","",F11+P11)</f>
      </c>
      <c r="R11" s="2" t="inlineStr">
        <is>
          <t>Erkan Büyüktaş</t>
        </is>
      </c>
      <c r="S11" s="2" t="inlineStr">
        <is>
          <t>NAKİT</t>
        </is>
      </c>
      <c r="T11" s="3">
        <v>1600000.0</v>
      </c>
      <c r="U11" s="14">
        <f>IF(OR(F11="",T11=""),"",T11-F11)</f>
      </c>
      <c r="V11" s="14">
        <f>IF(T11="","",T11-Q11)</f>
      </c>
      <c r="W11" s="15">
        <f>IFERROR(V11/T11,"")</f>
      </c>
      <c r="X11" s="12">
        <f>IF(F11="","",IF(H11="","STOKTA","SATILDI"))</f>
      </c>
      <c r="Y11" s="2" t="inlineStr">
        <is>
          <t>ONUR İPEK</t>
        </is>
      </c>
      <c r="Z11" s="3">
        <v>0.0</v>
      </c>
      <c r="AA11" s="3">
        <v>0.0</v>
      </c>
      <c r="AB11" s="3">
        <v>0.0</v>
      </c>
      <c r="AC11" s="14">
        <f>IF(F11="","",SUM(Z11:AB11))</f>
      </c>
      <c r="AD11" s="14">
        <f>IF(T11="","",V11+AC11)</f>
      </c>
    </row>
    <row r="12" spans="1:30">
      <c r="A12">
        <f>IF(D12="","",ROW()-3)</f>
      </c>
      <c r="B12" s="2" t="inlineStr">
        <is>
          <t>Duster 1.2 Mhev Evolution Techno</t>
        </is>
      </c>
      <c r="C12" s="18">
        <v>2024.0</v>
      </c>
      <c r="D12" s="2" t="inlineStr">
        <is>
          <t>33 BGF 603</t>
        </is>
      </c>
      <c r="E12" s="2" t="inlineStr">
        <is>
          <t>TAKAS</t>
        </is>
      </c>
      <c r="F12" s="3">
        <v>1485000.0</v>
      </c>
      <c r="G12" s="16">
        <v>46227.0</v>
      </c>
      <c r="H12" s="16">
        <v>46254.0</v>
      </c>
      <c r="I12" s="17">
        <f>IF(G12="","",IF(H12="",TODAY()-G12,H12-G12))</f>
      </c>
      <c r="J12" s="13">
        <f>IF(F12="","",IFERROR(IF(VLOOKUP(E12,'ALIM AYARLARI'!$A$4:$D$20,3,FALSE)="EVET",'GİDER AYARLARI'!$B$4,0),0))</f>
      </c>
      <c r="K12" s="13">
        <f>IF(F12="","",'GİDER AYARLARI'!$B$5)</f>
      </c>
      <c r="L12" s="13">
        <f>IF(F12="","",'GİDER AYARLARI'!$B$6)</f>
      </c>
      <c r="M12" s="13">
        <f>IF(F12="","",IFERROR(IF(VLOOKUP(E12,'ALIM AYARLARI'!$A$4:$D$20,3,FALSE)="EVET",'GİDER AYARLARI'!$B$7,0),0))</f>
      </c>
      <c r="N12" s="3">
        <v>0.0</v>
      </c>
      <c r="O12" s="13">
        <f>IF(OR(F12="",I12=""),"",IFERROR(IF(VLOOKUP(E12,'ALIM AYARLARI'!$A$4:$D$20,2,FALSE)="EVET",F12*'GİDER AYARLARI'!$B$8*I12/30,0),0))</f>
      </c>
      <c r="P12" s="14">
        <f>IF(F12="","",SUM(J12:O12))</f>
      </c>
      <c r="Q12" s="14">
        <f>IF(F12="","",F12+P12)</f>
      </c>
      <c r="R12" s="2" t="inlineStr">
        <is>
          <t>Mehmet Şerif Seyidoğlu</t>
        </is>
      </c>
      <c r="S12" s="2" t="inlineStr">
        <is>
          <t>NAKİT</t>
        </is>
      </c>
      <c r="T12" s="3">
        <v>1500000.0</v>
      </c>
      <c r="U12" s="14">
        <f>IF(OR(F12="",T12=""),"",T12-F12)</f>
      </c>
      <c r="V12" s="14">
        <f>IF(T12="","",T12-Q12)</f>
      </c>
      <c r="W12" s="15">
        <f>IFERROR(V12/T12,"")</f>
      </c>
      <c r="X12" s="12">
        <f>IF(F12="","",IF(H12="","STOKTA","SATILDI"))</f>
      </c>
      <c r="Y12" s="2" t="inlineStr">
        <is>
          <t>ONUR İPEK</t>
        </is>
      </c>
      <c r="Z12" s="3">
        <v>0.0</v>
      </c>
      <c r="AA12" s="3">
        <v>0.0</v>
      </c>
      <c r="AB12" s="3">
        <v>0.0</v>
      </c>
      <c r="AC12" s="14">
        <f>IF(F12="","",SUM(Z12:AB12))</f>
      </c>
      <c r="AD12" s="14">
        <f>IF(T12="","",V12+AC12)</f>
      </c>
    </row>
    <row r="13" spans="1:30">
      <c r="A13">
        <f>IF(D13="","",ROW()-3)</f>
      </c>
      <c r="B13" s="2" t="inlineStr">
        <is>
          <t>DUSTER EXTREM</t>
        </is>
      </c>
      <c r="C13" s="18">
        <v>2023.0</v>
      </c>
      <c r="D13" s="2" t="inlineStr">
        <is>
          <t>33KHR66</t>
        </is>
      </c>
      <c r="E13" s="2" t="inlineStr">
        <is>
          <t>TAKAS</t>
        </is>
      </c>
      <c r="F13" s="3">
        <v>1280000.0</v>
      </c>
      <c r="G13" s="16">
        <v>46210.0</v>
      </c>
      <c r="H13" s="16">
        <v>46258.0</v>
      </c>
      <c r="I13" s="17">
        <f>IF(G13="","",IF(H13="",TODAY()-G13,H13-G13))</f>
      </c>
      <c r="J13" s="13">
        <f>IF(F13="","",IFERROR(IF(VLOOKUP(E13,'ALIM AYARLARI'!$A$4:$D$20,3,FALSE)="EVET",'GİDER AYARLARI'!$B$4,0),0))</f>
      </c>
      <c r="K13" s="13">
        <f>IF(F13="","",'GİDER AYARLARI'!$B$5)</f>
      </c>
      <c r="L13" s="13">
        <f>IF(F13="","",'GİDER AYARLARI'!$B$6)</f>
      </c>
      <c r="M13" s="13">
        <f>IF(F13="","",IFERROR(IF(VLOOKUP(E13,'ALIM AYARLARI'!$A$4:$D$20,3,FALSE)="EVET",'GİDER AYARLARI'!$B$7,0),0))</f>
      </c>
      <c r="N13" s="3">
        <v>0.0</v>
      </c>
      <c r="O13" s="13">
        <f>IF(OR(F13="",I13=""),"",IFERROR(IF(VLOOKUP(E13,'ALIM AYARLARI'!$A$4:$D$20,2,FALSE)="EVET",F13*'GİDER AYARLARI'!$B$8*I13/30,0),0))</f>
      </c>
      <c r="P13" s="14">
        <f>IF(F13="","",SUM(J13:O13))</f>
      </c>
      <c r="Q13" s="14">
        <f>IF(F13="","",F13+P13)</f>
      </c>
      <c r="R13" s="2" t="inlineStr">
        <is>
          <t>CEVDET BERKE ÖZDEMİR</t>
        </is>
      </c>
      <c r="S13" s="2" t="inlineStr">
        <is>
          <t>NAKİT</t>
        </is>
      </c>
      <c r="T13" s="3">
        <v>1370000.0</v>
      </c>
      <c r="U13" s="14">
        <f>IF(OR(F13="",T13=""),"",T13-F13)</f>
      </c>
      <c r="V13" s="14">
        <f>IF(T13="","",T13-Q13)</f>
      </c>
      <c r="W13" s="15">
        <f>IFERROR(V13/T13,"")</f>
      </c>
      <c r="X13" s="12">
        <f>IF(F13="","",IF(H13="","STOKTA","SATILDI"))</f>
      </c>
      <c r="Y13" s="2" t="inlineStr">
        <is>
          <t>ONUR İPEK</t>
        </is>
      </c>
      <c r="Z13" s="3">
        <v>0.0</v>
      </c>
      <c r="AA13" s="3">
        <v>0.0</v>
      </c>
      <c r="AB13" s="3">
        <v>0.0</v>
      </c>
      <c r="AC13" s="14">
        <f>IF(F13="","",SUM(Z13:AB13))</f>
      </c>
      <c r="AD13" s="14">
        <f>IF(T13="","",V13+AC13)</f>
      </c>
    </row>
    <row r="14" spans="1:30">
      <c r="A14">
        <f>IF(D14="","",ROW()-3)</f>
      </c>
      <c r="B14" s="2" t="inlineStr">
        <is>
          <t>OPEL COMBO</t>
        </is>
      </c>
      <c r="C14" s="18">
        <v>2019.0</v>
      </c>
      <c r="D14" s="2" t="inlineStr">
        <is>
          <t>33 ADU 175</t>
        </is>
      </c>
      <c r="E14" s="2" t="inlineStr">
        <is>
          <t>TAKAS</t>
        </is>
      </c>
      <c r="F14" s="3">
        <v>760000.0</v>
      </c>
      <c r="G14" s="16">
        <v>46237.0</v>
      </c>
      <c r="H14" s="16">
        <v>46259.0</v>
      </c>
      <c r="I14" s="17">
        <f>IF(G14="","",IF(H14="",TODAY()-G14,H14-G14))</f>
      </c>
      <c r="J14" s="13">
        <f>IF(F14="","",IFERROR(IF(VLOOKUP(E14,'ALIM AYARLARI'!$A$4:$D$20,3,FALSE)="EVET",'GİDER AYARLARI'!$B$4,0),0))</f>
      </c>
      <c r="K14" s="13">
        <f>IF(F14="","",'GİDER AYARLARI'!$B$5)</f>
      </c>
      <c r="L14" s="13">
        <f>IF(F14="","",'GİDER AYARLARI'!$B$6)</f>
      </c>
      <c r="M14" s="13">
        <f>IF(F14="","",IFERROR(IF(VLOOKUP(E14,'ALIM AYARLARI'!$A$4:$D$20,3,FALSE)="EVET",'GİDER AYARLARI'!$B$7,0),0))</f>
      </c>
      <c r="N14" s="3">
        <v>0.0</v>
      </c>
      <c r="O14" s="13">
        <f>IF(OR(F14="",I14=""),"",IFERROR(IF(VLOOKUP(E14,'ALIM AYARLARI'!$A$4:$D$20,2,FALSE)="EVET",F14*'GİDER AYARLARI'!$B$8*I14/30,0),0))</f>
      </c>
      <c r="P14" s="14">
        <f>IF(F14="","",SUM(J14:O14))</f>
      </c>
      <c r="Q14" s="14">
        <f>IF(F14="","",F14+P14)</f>
      </c>
      <c r="R14" s="2" t="inlineStr">
        <is>
          <t>NURCAN ÇELİK</t>
        </is>
      </c>
      <c r="S14" s="2" t="inlineStr">
        <is>
          <t>NAKİT</t>
        </is>
      </c>
      <c r="T14" s="3">
        <v>900000.0</v>
      </c>
      <c r="U14" s="14">
        <f>IF(OR(F14="",T14=""),"",T14-F14)</f>
      </c>
      <c r="V14" s="14">
        <f>IF(T14="","",T14-Q14)</f>
      </c>
      <c r="W14" s="15">
        <f>IFERROR(V14/T14,"")</f>
      </c>
      <c r="X14" s="12">
        <f>IF(F14="","",IF(H14="","STOKTA","SATILDI"))</f>
      </c>
      <c r="Y14" s="2" t="inlineStr">
        <is>
          <t>HASAN HÜSEYİN SÜRMELİ</t>
        </is>
      </c>
      <c r="Z14" s="3">
        <v>0.0</v>
      </c>
      <c r="AA14" s="3">
        <v>0.0</v>
      </c>
      <c r="AB14" s="3">
        <v>0.0</v>
      </c>
      <c r="AC14" s="14">
        <f>IF(F14="","",SUM(Z14:AB14))</f>
      </c>
      <c r="AD14" s="14">
        <f>IF(T14="","",V14+AC14)</f>
      </c>
    </row>
    <row r="15" spans="1:30">
      <c r="A15">
        <f>IF(D15="","",ROW()-3)</f>
      </c>
      <c r="B15" s="2"/>
      <c r="C15" s="18"/>
      <c r="D15" s="2"/>
      <c r="E15" s="2"/>
      <c r="F15" s="3"/>
      <c r="G15" s="16"/>
      <c r="H15" s="16"/>
      <c r="I15" s="17">
        <f>IF(G15="","",IF(H15="",TODAY()-G15,H15-G15))</f>
      </c>
      <c r="J15" s="13">
        <f>IF(F15="","",IFERROR(IF(VLOOKUP(E15,'ALIM AYARLARI'!$A$4:$D$20,3,FALSE)="EVET",'GİDER AYARLARI'!$B$4,0),0))</f>
      </c>
      <c r="K15" s="13">
        <f>IF(F15="","",'GİDER AYARLARI'!$B$5)</f>
      </c>
      <c r="L15" s="13">
        <f>IF(F15="","",'GİDER AYARLARI'!$B$6)</f>
      </c>
      <c r="M15" s="13">
        <f>IF(F15="","",IFERROR(IF(VLOOKUP(E15,'ALIM AYARLARI'!$A$4:$D$20,3,FALSE)="EVET",'GİDER AYARLARI'!$B$7,0),0))</f>
      </c>
      <c r="N15" s="3"/>
      <c r="O15" s="13">
        <f>IF(OR(F15="",I15=""),"",IFERROR(IF(VLOOKUP(E15,'ALIM AYARLARI'!$A$4:$D$20,2,FALSE)="EVET",F15*'GİDER AYARLARI'!$B$8*I15/30,0),0))</f>
      </c>
      <c r="P15" s="14">
        <f>IF(F15="","",SUM(J15:O15))</f>
      </c>
      <c r="Q15" s="14">
        <f>IF(F15="","",F15+P15)</f>
      </c>
      <c r="R15" s="2"/>
      <c r="S15" s="2"/>
      <c r="T15" s="3"/>
      <c r="U15" s="14">
        <f>IF(OR(F15="",T15=""),"",T15-F15)</f>
      </c>
      <c r="V15" s="14">
        <f>IF(T15="","",T15-Q15)</f>
      </c>
      <c r="W15" s="15">
        <f>IFERROR(V15/T15,"")</f>
      </c>
      <c r="X15" s="12">
        <f>IF(F15="","",IF(H15="","STOKTA","SATILDI"))</f>
      </c>
      <c r="Y15" s="2"/>
      <c r="Z15" s="3"/>
      <c r="AA15" s="3"/>
      <c r="AB15" s="3"/>
      <c r="AC15" s="14">
        <f>IF(F15="","",SUM(Z15:AB15))</f>
      </c>
      <c r="AD15" s="14">
        <f>IF(T15="","",V15+AC15)</f>
      </c>
    </row>
    <row r="16" spans="1:30">
      <c r="A16">
        <f>IF(D16="","",ROW()-3)</f>
      </c>
      <c r="B16" s="2"/>
      <c r="C16" s="18"/>
      <c r="D16" s="2"/>
      <c r="E16" s="2"/>
      <c r="F16" s="3"/>
      <c r="G16" s="16"/>
      <c r="H16" s="16"/>
      <c r="I16" s="17">
        <f>IF(G16="","",IF(H16="",TODAY()-G16,H16-G16))</f>
      </c>
      <c r="J16" s="13">
        <f>IF(F16="","",IFERROR(IF(VLOOKUP(E16,'ALIM AYARLARI'!$A$4:$D$20,3,FALSE)="EVET",'GİDER AYARLARI'!$B$4,0),0))</f>
      </c>
      <c r="K16" s="13">
        <f>IF(F16="","",'GİDER AYARLARI'!$B$5)</f>
      </c>
      <c r="L16" s="13">
        <f>IF(F16="","",'GİDER AYARLARI'!$B$6)</f>
      </c>
      <c r="M16" s="13">
        <f>IF(F16="","",IFERROR(IF(VLOOKUP(E16,'ALIM AYARLARI'!$A$4:$D$20,3,FALSE)="EVET",'GİDER AYARLARI'!$B$7,0),0))</f>
      </c>
      <c r="N16" s="3"/>
      <c r="O16" s="13">
        <f>IF(OR(F16="",I16=""),"",IFERROR(IF(VLOOKUP(E16,'ALIM AYARLARI'!$A$4:$D$20,2,FALSE)="EVET",F16*'GİDER AYARLARI'!$B$8*I16/30,0),0))</f>
      </c>
      <c r="P16" s="14">
        <f>IF(F16="","",SUM(J16:O16))</f>
      </c>
      <c r="Q16" s="14">
        <f>IF(F16="","",F16+P16)</f>
      </c>
      <c r="R16" s="2"/>
      <c r="S16" s="2"/>
      <c r="T16" s="3"/>
      <c r="U16" s="14">
        <f>IF(OR(F16="",T16=""),"",T16-F16)</f>
      </c>
      <c r="V16" s="14">
        <f>IF(T16="","",T16-Q16)</f>
      </c>
      <c r="W16" s="15">
        <f>IFERROR(V16/T16,"")</f>
      </c>
      <c r="X16" s="12">
        <f>IF(F16="","",IF(H16="","STOKTA","SATILDI"))</f>
      </c>
      <c r="Y16" s="2"/>
      <c r="Z16" s="3"/>
      <c r="AA16" s="3"/>
      <c r="AB16" s="3"/>
      <c r="AC16" s="14">
        <f>IF(F16="","",SUM(Z16:AB16))</f>
      </c>
      <c r="AD16" s="14">
        <f>IF(T16="","",V16+AC16)</f>
      </c>
    </row>
    <row r="17" spans="1:30">
      <c r="A17">
        <f>IF(D17="","",ROW()-3)</f>
      </c>
      <c r="B17" s="2"/>
      <c r="C17" s="18"/>
      <c r="D17" s="2"/>
      <c r="E17" s="2"/>
      <c r="F17" s="3"/>
      <c r="G17" s="16"/>
      <c r="H17" s="16"/>
      <c r="I17" s="17">
        <f>IF(G17="","",IF(H17="",TODAY()-G17,H17-G17))</f>
      </c>
      <c r="J17" s="13">
        <f>IF(F17="","",IFERROR(IF(VLOOKUP(E17,'ALIM AYARLARI'!$A$4:$D$20,3,FALSE)="EVET",'GİDER AYARLARI'!$B$4,0),0))</f>
      </c>
      <c r="K17" s="13">
        <f>IF(F17="","",'GİDER AYARLARI'!$B$5)</f>
      </c>
      <c r="L17" s="13">
        <f>IF(F17="","",'GİDER AYARLARI'!$B$6)</f>
      </c>
      <c r="M17" s="13">
        <f>IF(F17="","",IFERROR(IF(VLOOKUP(E17,'ALIM AYARLARI'!$A$4:$D$20,3,FALSE)="EVET",'GİDER AYARLARI'!$B$7,0),0))</f>
      </c>
      <c r="N17" s="3"/>
      <c r="O17" s="13">
        <f>IF(OR(F17="",I17=""),"",IFERROR(IF(VLOOKUP(E17,'ALIM AYARLARI'!$A$4:$D$20,2,FALSE)="EVET",F17*'GİDER AYARLARI'!$B$8*I17/30,0),0))</f>
      </c>
      <c r="P17" s="14">
        <f>IF(F17="","",SUM(J17:O17))</f>
      </c>
      <c r="Q17" s="14">
        <f>IF(F17="","",F17+P17)</f>
      </c>
      <c r="R17" s="2"/>
      <c r="S17" s="2"/>
      <c r="T17" s="3"/>
      <c r="U17" s="14">
        <f>IF(OR(F17="",T17=""),"",T17-F17)</f>
      </c>
      <c r="V17" s="14">
        <f>IF(T17="","",T17-Q17)</f>
      </c>
      <c r="W17" s="15">
        <f>IFERROR(V17/T17,"")</f>
      </c>
      <c r="X17" s="12">
        <f>IF(F17="","",IF(H17="","STOKTA","SATILDI"))</f>
      </c>
      <c r="Y17" s="2"/>
      <c r="Z17" s="3"/>
      <c r="AA17" s="3"/>
      <c r="AB17" s="3"/>
      <c r="AC17" s="14">
        <f>IF(F17="","",SUM(Z17:AB17))</f>
      </c>
      <c r="AD17" s="14">
        <f>IF(T17="","",V17+AC17)</f>
      </c>
    </row>
    <row r="18" spans="1:30">
      <c r="A18">
        <f>IF(D18="","",ROW()-3)</f>
      </c>
      <c r="B18" s="2"/>
      <c r="C18" s="18"/>
      <c r="D18" s="2"/>
      <c r="E18" s="2"/>
      <c r="F18" s="3"/>
      <c r="G18" s="16"/>
      <c r="H18" s="16"/>
      <c r="I18" s="17">
        <f>IF(G18="","",IF(H18="",TODAY()-G18,H18-G18))</f>
      </c>
      <c r="J18" s="13">
        <f>IF(F18="","",IFERROR(IF(VLOOKUP(E18,'ALIM AYARLARI'!$A$4:$D$20,3,FALSE)="EVET",'GİDER AYARLARI'!$B$4,0),0))</f>
      </c>
      <c r="K18" s="13">
        <f>IF(F18="","",'GİDER AYARLARI'!$B$5)</f>
      </c>
      <c r="L18" s="13">
        <f>IF(F18="","",'GİDER AYARLARI'!$B$6)</f>
      </c>
      <c r="M18" s="13">
        <f>IF(F18="","",IFERROR(IF(VLOOKUP(E18,'ALIM AYARLARI'!$A$4:$D$20,3,FALSE)="EVET",'GİDER AYARLARI'!$B$7,0),0))</f>
      </c>
      <c r="N18" s="3"/>
      <c r="O18" s="13">
        <f>IF(OR(F18="",I18=""),"",IFERROR(IF(VLOOKUP(E18,'ALIM AYARLARI'!$A$4:$D$20,2,FALSE)="EVET",F18*'GİDER AYARLARI'!$B$8*I18/30,0),0))</f>
      </c>
      <c r="P18" s="14">
        <f>IF(F18="","",SUM(J18:O18))</f>
      </c>
      <c r="Q18" s="14">
        <f>IF(F18="","",F18+P18)</f>
      </c>
      <c r="R18" s="2"/>
      <c r="S18" s="2"/>
      <c r="T18" s="3"/>
      <c r="U18" s="14">
        <f>IF(OR(F18="",T18=""),"",T18-F18)</f>
      </c>
      <c r="V18" s="14">
        <f>IF(T18="","",T18-Q18)</f>
      </c>
      <c r="W18" s="15">
        <f>IFERROR(V18/T18,"")</f>
      </c>
      <c r="X18" s="12">
        <f>IF(F18="","",IF(H18="","STOKTA","SATILDI"))</f>
      </c>
      <c r="Y18" s="2"/>
      <c r="Z18" s="3"/>
      <c r="AA18" s="3"/>
      <c r="AB18" s="3"/>
      <c r="AC18" s="14">
        <f>IF(F18="","",SUM(Z18:AB18))</f>
      </c>
      <c r="AD18" s="14">
        <f>IF(T18="","",V18+AC18)</f>
      </c>
    </row>
    <row r="19" spans="1:30">
      <c r="A19">
        <f>IF(D19="","",ROW()-3)</f>
      </c>
      <c r="B19" s="2"/>
      <c r="C19" s="18"/>
      <c r="D19" s="2"/>
      <c r="E19" s="2"/>
      <c r="F19" s="3"/>
      <c r="G19" s="16"/>
      <c r="H19" s="16"/>
      <c r="I19" s="17">
        <f>IF(G19="","",IF(H19="",TODAY()-G19,H19-G19))</f>
      </c>
      <c r="J19" s="13">
        <f>IF(F19="","",IFERROR(IF(VLOOKUP(E19,'ALIM AYARLARI'!$A$4:$D$20,3,FALSE)="EVET",'GİDER AYARLARI'!$B$4,0),0))</f>
      </c>
      <c r="K19" s="13">
        <f>IF(F19="","",'GİDER AYARLARI'!$B$5)</f>
      </c>
      <c r="L19" s="13">
        <f>IF(F19="","",'GİDER AYARLARI'!$B$6)</f>
      </c>
      <c r="M19" s="13">
        <f>IF(F19="","",IFERROR(IF(VLOOKUP(E19,'ALIM AYARLARI'!$A$4:$D$20,3,FALSE)="EVET",'GİDER AYARLARI'!$B$7,0),0))</f>
      </c>
      <c r="N19" s="3"/>
      <c r="O19" s="13">
        <f>IF(OR(F19="",I19=""),"",IFERROR(IF(VLOOKUP(E19,'ALIM AYARLARI'!$A$4:$D$20,2,FALSE)="EVET",F19*'GİDER AYARLARI'!$B$8*I19/30,0),0))</f>
      </c>
      <c r="P19" s="14">
        <f>IF(F19="","",SUM(J19:O19))</f>
      </c>
      <c r="Q19" s="14">
        <f>IF(F19="","",F19+P19)</f>
      </c>
      <c r="R19" s="2"/>
      <c r="S19" s="2"/>
      <c r="T19" s="3"/>
      <c r="U19" s="14">
        <f>IF(OR(F19="",T19=""),"",T19-F19)</f>
      </c>
      <c r="V19" s="14">
        <f>IF(T19="","",T19-Q19)</f>
      </c>
      <c r="W19" s="15">
        <f>IFERROR(V19/T19,"")</f>
      </c>
      <c r="X19" s="12">
        <f>IF(F19="","",IF(H19="","STOKTA","SATILDI"))</f>
      </c>
      <c r="Y19" s="2"/>
      <c r="Z19" s="3"/>
      <c r="AA19" s="3"/>
      <c r="AB19" s="3"/>
      <c r="AC19" s="14">
        <f>IF(F19="","",SUM(Z19:AB19))</f>
      </c>
      <c r="AD19" s="14">
        <f>IF(T19="","",V19+AC19)</f>
      </c>
    </row>
    <row r="20" spans="1:30">
      <c r="A20">
        <f>IF(D20="","",ROW()-3)</f>
      </c>
      <c r="B20" s="2"/>
      <c r="C20" s="18"/>
      <c r="D20" s="2"/>
      <c r="E20" s="2"/>
      <c r="F20" s="3"/>
      <c r="G20" s="16"/>
      <c r="H20" s="16"/>
      <c r="I20" s="17">
        <f>IF(G20="","",IF(H20="",TODAY()-G20,H20-G20))</f>
      </c>
      <c r="J20" s="13">
        <f>IF(F20="","",IFERROR(IF(VLOOKUP(E20,'ALIM AYARLARI'!$A$4:$D$20,3,FALSE)="EVET",'GİDER AYARLARI'!$B$4,0),0))</f>
      </c>
      <c r="K20" s="13">
        <f>IF(F20="","",'GİDER AYARLARI'!$B$5)</f>
      </c>
      <c r="L20" s="13">
        <f>IF(F20="","",'GİDER AYARLARI'!$B$6)</f>
      </c>
      <c r="M20" s="13">
        <f>IF(F20="","",IFERROR(IF(VLOOKUP(E20,'ALIM AYARLARI'!$A$4:$D$20,3,FALSE)="EVET",'GİDER AYARLARI'!$B$7,0),0))</f>
      </c>
      <c r="N20" s="3"/>
      <c r="O20" s="13">
        <f>IF(OR(F20="",I20=""),"",IFERROR(IF(VLOOKUP(E20,'ALIM AYARLARI'!$A$4:$D$20,2,FALSE)="EVET",F20*'GİDER AYARLARI'!$B$8*I20/30,0),0))</f>
      </c>
      <c r="P20" s="14">
        <f>IF(F20="","",SUM(J20:O20))</f>
      </c>
      <c r="Q20" s="14">
        <f>IF(F20="","",F20+P20)</f>
      </c>
      <c r="R20" s="2"/>
      <c r="S20" s="2"/>
      <c r="T20" s="3"/>
      <c r="U20" s="14">
        <f>IF(OR(F20="",T20=""),"",T20-F20)</f>
      </c>
      <c r="V20" s="14">
        <f>IF(T20="","",T20-Q20)</f>
      </c>
      <c r="W20" s="15">
        <f>IFERROR(V20/T20,"")</f>
      </c>
      <c r="X20" s="12">
        <f>IF(F20="","",IF(H20="","STOKTA","SATILDI"))</f>
      </c>
      <c r="Y20" s="2"/>
      <c r="Z20" s="3"/>
      <c r="AA20" s="3"/>
      <c r="AB20" s="3"/>
      <c r="AC20" s="14">
        <f>IF(F20="","",SUM(Z20:AB20))</f>
      </c>
      <c r="AD20" s="14">
        <f>IF(T20="","",V20+AC20)</f>
      </c>
    </row>
    <row r="21" spans="1:30">
      <c r="A21">
        <f>IF(D21="","",ROW()-3)</f>
      </c>
      <c r="B21" s="2"/>
      <c r="C21" s="18"/>
      <c r="D21" s="2"/>
      <c r="E21" s="2"/>
      <c r="F21" s="3"/>
      <c r="G21" s="16"/>
      <c r="H21" s="16"/>
      <c r="I21" s="17">
        <f>IF(G21="","",IF(H21="",TODAY()-G21,H21-G21))</f>
      </c>
      <c r="J21" s="13">
        <f>IF(F21="","",IFERROR(IF(VLOOKUP(E21,'ALIM AYARLARI'!$A$4:$D$20,3,FALSE)="EVET",'GİDER AYARLARI'!$B$4,0),0))</f>
      </c>
      <c r="K21" s="13">
        <f>IF(F21="","",'GİDER AYARLARI'!$B$5)</f>
      </c>
      <c r="L21" s="13">
        <f>IF(F21="","",'GİDER AYARLARI'!$B$6)</f>
      </c>
      <c r="M21" s="13">
        <f>IF(F21="","",IFERROR(IF(VLOOKUP(E21,'ALIM AYARLARI'!$A$4:$D$20,3,FALSE)="EVET",'GİDER AYARLARI'!$B$7,0),0))</f>
      </c>
      <c r="N21" s="3"/>
      <c r="O21" s="13">
        <f>IF(OR(F21="",I21=""),"",IFERROR(IF(VLOOKUP(E21,'ALIM AYARLARI'!$A$4:$D$20,2,FALSE)="EVET",F21*'GİDER AYARLARI'!$B$8*I21/30,0),0))</f>
      </c>
      <c r="P21" s="14">
        <f>IF(F21="","",SUM(J21:O21))</f>
      </c>
      <c r="Q21" s="14">
        <f>IF(F21="","",F21+P21)</f>
      </c>
      <c r="R21" s="2"/>
      <c r="S21" s="2"/>
      <c r="T21" s="3"/>
      <c r="U21" s="14">
        <f>IF(OR(F21="",T21=""),"",T21-F21)</f>
      </c>
      <c r="V21" s="14">
        <f>IF(T21="","",T21-Q21)</f>
      </c>
      <c r="W21" s="15">
        <f>IFERROR(V21/T21,"")</f>
      </c>
      <c r="X21" s="12">
        <f>IF(F21="","",IF(H21="","STOKTA","SATILDI"))</f>
      </c>
      <c r="Y21" s="2"/>
      <c r="Z21" s="3"/>
      <c r="AA21" s="3"/>
      <c r="AB21" s="3"/>
      <c r="AC21" s="14">
        <f>IF(F21="","",SUM(Z21:AB21))</f>
      </c>
      <c r="AD21" s="14">
        <f>IF(T21="","",V21+AC21)</f>
      </c>
    </row>
    <row r="22" spans="1:30">
      <c r="A22">
        <f>IF(D22="","",ROW()-3)</f>
      </c>
      <c r="B22" s="2"/>
      <c r="C22" s="18"/>
      <c r="D22" s="2"/>
      <c r="E22" s="2"/>
      <c r="F22" s="3"/>
      <c r="G22" s="16"/>
      <c r="H22" s="16"/>
      <c r="I22" s="17">
        <f>IF(G22="","",IF(H22="",TODAY()-G22,H22-G22))</f>
      </c>
      <c r="J22" s="13">
        <f>IF(F22="","",IFERROR(IF(VLOOKUP(E22,'ALIM AYARLARI'!$A$4:$D$20,3,FALSE)="EVET",'GİDER AYARLARI'!$B$4,0),0))</f>
      </c>
      <c r="K22" s="13">
        <f>IF(F22="","",'GİDER AYARLARI'!$B$5)</f>
      </c>
      <c r="L22" s="13">
        <f>IF(F22="","",'GİDER AYARLARI'!$B$6)</f>
      </c>
      <c r="M22" s="13">
        <f>IF(F22="","",IFERROR(IF(VLOOKUP(E22,'ALIM AYARLARI'!$A$4:$D$20,3,FALSE)="EVET",'GİDER AYARLARI'!$B$7,0),0))</f>
      </c>
      <c r="N22" s="3"/>
      <c r="O22" s="13">
        <f>IF(OR(F22="",I22=""),"",IFERROR(IF(VLOOKUP(E22,'ALIM AYARLARI'!$A$4:$D$20,2,FALSE)="EVET",F22*'GİDER AYARLARI'!$B$8*I22/30,0),0))</f>
      </c>
      <c r="P22" s="14">
        <f>IF(F22="","",SUM(J22:O22))</f>
      </c>
      <c r="Q22" s="14">
        <f>IF(F22="","",F22+P22)</f>
      </c>
      <c r="R22" s="2"/>
      <c r="S22" s="2"/>
      <c r="T22" s="3"/>
      <c r="U22" s="14">
        <f>IF(OR(F22="",T22=""),"",T22-F22)</f>
      </c>
      <c r="V22" s="14">
        <f>IF(T22="","",T22-Q22)</f>
      </c>
      <c r="W22" s="15">
        <f>IFERROR(V22/T22,"")</f>
      </c>
      <c r="X22" s="12">
        <f>IF(F22="","",IF(H22="","STOKTA","SATILDI"))</f>
      </c>
      <c r="Y22" s="2"/>
      <c r="Z22" s="3"/>
      <c r="AA22" s="3"/>
      <c r="AB22" s="3"/>
      <c r="AC22" s="14">
        <f>IF(F22="","",SUM(Z22:AB22))</f>
      </c>
      <c r="AD22" s="14">
        <f>IF(T22="","",V22+AC22)</f>
      </c>
    </row>
    <row r="23" spans="1:30">
      <c r="A23">
        <f>IF(D23="","",ROW()-3)</f>
      </c>
      <c r="B23" s="2"/>
      <c r="C23" s="18"/>
      <c r="D23" s="2"/>
      <c r="E23" s="2"/>
      <c r="F23" s="3"/>
      <c r="G23" s="16"/>
      <c r="H23" s="16"/>
      <c r="I23" s="17">
        <f>IF(G23="","",IF(H23="",TODAY()-G23,H23-G23))</f>
      </c>
      <c r="J23" s="13">
        <f>IF(F23="","",IFERROR(IF(VLOOKUP(E23,'ALIM AYARLARI'!$A$4:$D$20,3,FALSE)="EVET",'GİDER AYARLARI'!$B$4,0),0))</f>
      </c>
      <c r="K23" s="13">
        <f>IF(F23="","",'GİDER AYARLARI'!$B$5)</f>
      </c>
      <c r="L23" s="13">
        <f>IF(F23="","",'GİDER AYARLARI'!$B$6)</f>
      </c>
      <c r="M23" s="13">
        <f>IF(F23="","",IFERROR(IF(VLOOKUP(E23,'ALIM AYARLARI'!$A$4:$D$20,3,FALSE)="EVET",'GİDER AYARLARI'!$B$7,0),0))</f>
      </c>
      <c r="N23" s="3"/>
      <c r="O23" s="13">
        <f>IF(OR(F23="",I23=""),"",IFERROR(IF(VLOOKUP(E23,'ALIM AYARLARI'!$A$4:$D$20,2,FALSE)="EVET",F23*'GİDER AYARLARI'!$B$8*I23/30,0),0))</f>
      </c>
      <c r="P23" s="14">
        <f>IF(F23="","",SUM(J23:O23))</f>
      </c>
      <c r="Q23" s="14">
        <f>IF(F23="","",F23+P23)</f>
      </c>
      <c r="R23" s="2"/>
      <c r="S23" s="2"/>
      <c r="T23" s="3"/>
      <c r="U23" s="14">
        <f>IF(OR(F23="",T23=""),"",T23-F23)</f>
      </c>
      <c r="V23" s="14">
        <f>IF(T23="","",T23-Q23)</f>
      </c>
      <c r="W23" s="15">
        <f>IFERROR(V23/T23,"")</f>
      </c>
      <c r="X23" s="12">
        <f>IF(F23="","",IF(H23="","STOKTA","SATILDI"))</f>
      </c>
      <c r="Y23" s="2"/>
      <c r="Z23" s="3"/>
      <c r="AA23" s="3"/>
      <c r="AB23" s="3"/>
      <c r="AC23" s="14">
        <f>IF(F23="","",SUM(Z23:AB23))</f>
      </c>
      <c r="AD23" s="14">
        <f>IF(T23="","",V23+AC23)</f>
      </c>
    </row>
    <row r="24" spans="1:30">
      <c r="A24">
        <f>IF(D24="","",ROW()-3)</f>
      </c>
      <c r="B24" s="2"/>
      <c r="C24" s="18"/>
      <c r="D24" s="2"/>
      <c r="E24" s="2"/>
      <c r="F24" s="3"/>
      <c r="G24" s="16"/>
      <c r="H24" s="16"/>
      <c r="I24" s="17">
        <f>IF(G24="","",IF(H24="",TODAY()-G24,H24-G24))</f>
      </c>
      <c r="J24" s="13">
        <f>IF(F24="","",IFERROR(IF(VLOOKUP(E24,'ALIM AYARLARI'!$A$4:$D$20,3,FALSE)="EVET",'GİDER AYARLARI'!$B$4,0),0))</f>
      </c>
      <c r="K24" s="13">
        <f>IF(F24="","",'GİDER AYARLARI'!$B$5)</f>
      </c>
      <c r="L24" s="13">
        <f>IF(F24="","",'GİDER AYARLARI'!$B$6)</f>
      </c>
      <c r="M24" s="13">
        <f>IF(F24="","",IFERROR(IF(VLOOKUP(E24,'ALIM AYARLARI'!$A$4:$D$20,3,FALSE)="EVET",'GİDER AYARLARI'!$B$7,0),0))</f>
      </c>
      <c r="N24" s="3"/>
      <c r="O24" s="13">
        <f>IF(OR(F24="",I24=""),"",IFERROR(IF(VLOOKUP(E24,'ALIM AYARLARI'!$A$4:$D$20,2,FALSE)="EVET",F24*'GİDER AYARLARI'!$B$8*I24/30,0),0))</f>
      </c>
      <c r="P24" s="14">
        <f>IF(F24="","",SUM(J24:O24))</f>
      </c>
      <c r="Q24" s="14">
        <f>IF(F24="","",F24+P24)</f>
      </c>
      <c r="R24" s="2"/>
      <c r="S24" s="2"/>
      <c r="T24" s="3"/>
      <c r="U24" s="14">
        <f>IF(OR(F24="",T24=""),"",T24-F24)</f>
      </c>
      <c r="V24" s="14">
        <f>IF(T24="","",T24-Q24)</f>
      </c>
      <c r="W24" s="15">
        <f>IFERROR(V24/T24,"")</f>
      </c>
      <c r="X24" s="12">
        <f>IF(F24="","",IF(H24="","STOKTA","SATILDI"))</f>
      </c>
      <c r="Y24" s="2"/>
      <c r="Z24" s="3"/>
      <c r="AA24" s="3"/>
      <c r="AB24" s="3"/>
      <c r="AC24" s="14">
        <f>IF(F24="","",SUM(Z24:AB24))</f>
      </c>
      <c r="AD24" s="14">
        <f>IF(T24="","",V24+AC24)</f>
      </c>
    </row>
    <row r="25" spans="1:30">
      <c r="A25">
        <f>IF(D25="","",ROW()-3)</f>
      </c>
      <c r="B25" s="2"/>
      <c r="C25" s="18"/>
      <c r="D25" s="2"/>
      <c r="E25" s="2"/>
      <c r="F25" s="3"/>
      <c r="G25" s="16"/>
      <c r="H25" s="16"/>
      <c r="I25" s="17">
        <f>IF(G25="","",IF(H25="",TODAY()-G25,H25-G25))</f>
      </c>
      <c r="J25" s="13">
        <f>IF(F25="","",IFERROR(IF(VLOOKUP(E25,'ALIM AYARLARI'!$A$4:$D$20,3,FALSE)="EVET",'GİDER AYARLARI'!$B$4,0),0))</f>
      </c>
      <c r="K25" s="13">
        <f>IF(F25="","",'GİDER AYARLARI'!$B$5)</f>
      </c>
      <c r="L25" s="13">
        <f>IF(F25="","",'GİDER AYARLARI'!$B$6)</f>
      </c>
      <c r="M25" s="13">
        <f>IF(F25="","",IFERROR(IF(VLOOKUP(E25,'ALIM AYARLARI'!$A$4:$D$20,3,FALSE)="EVET",'GİDER AYARLARI'!$B$7,0),0))</f>
      </c>
      <c r="N25" s="3"/>
      <c r="O25" s="13">
        <f>IF(OR(F25="",I25=""),"",IFERROR(IF(VLOOKUP(E25,'ALIM AYARLARI'!$A$4:$D$20,2,FALSE)="EVET",F25*'GİDER AYARLARI'!$B$8*I25/30,0),0))</f>
      </c>
      <c r="P25" s="14">
        <f>IF(F25="","",SUM(J25:O25))</f>
      </c>
      <c r="Q25" s="14">
        <f>IF(F25="","",F25+P25)</f>
      </c>
      <c r="R25" s="2"/>
      <c r="S25" s="2"/>
      <c r="T25" s="3"/>
      <c r="U25" s="14">
        <f>IF(OR(F25="",T25=""),"",T25-F25)</f>
      </c>
      <c r="V25" s="14">
        <f>IF(T25="","",T25-Q25)</f>
      </c>
      <c r="W25" s="15">
        <f>IFERROR(V25/T25,"")</f>
      </c>
      <c r="X25" s="12">
        <f>IF(F25="","",IF(H25="","STOKTA","SATILDI"))</f>
      </c>
      <c r="Y25" s="2"/>
      <c r="Z25" s="3"/>
      <c r="AA25" s="3"/>
      <c r="AB25" s="3"/>
      <c r="AC25" s="14">
        <f>IF(F25="","",SUM(Z25:AB25))</f>
      </c>
      <c r="AD25" s="14">
        <f>IF(T25="","",V25+AC25)</f>
      </c>
    </row>
    <row r="26" spans="1:30">
      <c r="A26">
        <f>IF(D26="","",ROW()-3)</f>
      </c>
      <c r="B26" s="2"/>
      <c r="C26" s="18"/>
      <c r="D26" s="2"/>
      <c r="E26" s="2"/>
      <c r="F26" s="3"/>
      <c r="G26" s="16"/>
      <c r="H26" s="16"/>
      <c r="I26" s="17">
        <f>IF(G26="","",IF(H26="",TODAY()-G26,H26-G26))</f>
      </c>
      <c r="J26" s="13">
        <f>IF(F26="","",IFERROR(IF(VLOOKUP(E26,'ALIM AYARLARI'!$A$4:$D$20,3,FALSE)="EVET",'GİDER AYARLARI'!$B$4,0),0))</f>
      </c>
      <c r="K26" s="13">
        <f>IF(F26="","",'GİDER AYARLARI'!$B$5)</f>
      </c>
      <c r="L26" s="13">
        <f>IF(F26="","",'GİDER AYARLARI'!$B$6)</f>
      </c>
      <c r="M26" s="13">
        <f>IF(F26="","",IFERROR(IF(VLOOKUP(E26,'ALIM AYARLARI'!$A$4:$D$20,3,FALSE)="EVET",'GİDER AYARLARI'!$B$7,0),0))</f>
      </c>
      <c r="N26" s="3"/>
      <c r="O26" s="13">
        <f>IF(OR(F26="",I26=""),"",IFERROR(IF(VLOOKUP(E26,'ALIM AYARLARI'!$A$4:$D$20,2,FALSE)="EVET",F26*'GİDER AYARLARI'!$B$8*I26/30,0),0))</f>
      </c>
      <c r="P26" s="14">
        <f>IF(F26="","",SUM(J26:O26))</f>
      </c>
      <c r="Q26" s="14">
        <f>IF(F26="","",F26+P26)</f>
      </c>
      <c r="R26" s="2"/>
      <c r="S26" s="2"/>
      <c r="T26" s="3"/>
      <c r="U26" s="14">
        <f>IF(OR(F26="",T26=""),"",T26-F26)</f>
      </c>
      <c r="V26" s="14">
        <f>IF(T26="","",T26-Q26)</f>
      </c>
      <c r="W26" s="15">
        <f>IFERROR(V26/T26,"")</f>
      </c>
      <c r="X26" s="12">
        <f>IF(F26="","",IF(H26="","STOKTA","SATILDI"))</f>
      </c>
      <c r="Y26" s="2"/>
      <c r="Z26" s="3"/>
      <c r="AA26" s="3"/>
      <c r="AB26" s="3"/>
      <c r="AC26" s="14">
        <f>IF(F26="","",SUM(Z26:AB26))</f>
      </c>
      <c r="AD26" s="14">
        <f>IF(T26="","",V26+AC26)</f>
      </c>
    </row>
    <row r="27" spans="1:30">
      <c r="A27">
        <f>IF(D27="","",ROW()-3)</f>
      </c>
      <c r="B27" s="2"/>
      <c r="C27" s="18"/>
      <c r="D27" s="2"/>
      <c r="E27" s="2"/>
      <c r="F27" s="3"/>
      <c r="G27" s="16"/>
      <c r="H27" s="16"/>
      <c r="I27" s="17">
        <f>IF(G27="","",IF(H27="",TODAY()-G27,H27-G27))</f>
      </c>
      <c r="J27" s="13">
        <f>IF(F27="","",IFERROR(IF(VLOOKUP(E27,'ALIM AYARLARI'!$A$4:$D$20,3,FALSE)="EVET",'GİDER AYARLARI'!$B$4,0),0))</f>
      </c>
      <c r="K27" s="13">
        <f>IF(F27="","",'GİDER AYARLARI'!$B$5)</f>
      </c>
      <c r="L27" s="13">
        <f>IF(F27="","",'GİDER AYARLARI'!$B$6)</f>
      </c>
      <c r="M27" s="13">
        <f>IF(F27="","",IFERROR(IF(VLOOKUP(E27,'ALIM AYARLARI'!$A$4:$D$20,3,FALSE)="EVET",'GİDER AYARLARI'!$B$7,0),0))</f>
      </c>
      <c r="N27" s="3"/>
      <c r="O27" s="13">
        <f>IF(OR(F27="",I27=""),"",IFERROR(IF(VLOOKUP(E27,'ALIM AYARLARI'!$A$4:$D$20,2,FALSE)="EVET",F27*'GİDER AYARLARI'!$B$8*I27/30,0),0))</f>
      </c>
      <c r="P27" s="14">
        <f>IF(F27="","",SUM(J27:O27))</f>
      </c>
      <c r="Q27" s="14">
        <f>IF(F27="","",F27+P27)</f>
      </c>
      <c r="R27" s="2"/>
      <c r="S27" s="2"/>
      <c r="T27" s="3"/>
      <c r="U27" s="14">
        <f>IF(OR(F27="",T27=""),"",T27-F27)</f>
      </c>
      <c r="V27" s="14">
        <f>IF(T27="","",T27-Q27)</f>
      </c>
      <c r="W27" s="15">
        <f>IFERROR(V27/T27,"")</f>
      </c>
      <c r="X27" s="12">
        <f>IF(F27="","",IF(H27="","STOKTA","SATILDI"))</f>
      </c>
      <c r="Y27" s="2"/>
      <c r="Z27" s="3"/>
      <c r="AA27" s="3"/>
      <c r="AB27" s="3"/>
      <c r="AC27" s="14">
        <f>IF(F27="","",SUM(Z27:AB27))</f>
      </c>
      <c r="AD27" s="14">
        <f>IF(T27="","",V27+AC27)</f>
      </c>
    </row>
    <row r="28" spans="1:30">
      <c r="A28">
        <f>IF(D28="","",ROW()-3)</f>
      </c>
      <c r="B28" s="2"/>
      <c r="C28" s="18"/>
      <c r="D28" s="2"/>
      <c r="E28" s="2"/>
      <c r="F28" s="3"/>
      <c r="G28" s="16"/>
      <c r="H28" s="16"/>
      <c r="I28" s="17">
        <f>IF(G28="","",IF(H28="",TODAY()-G28,H28-G28))</f>
      </c>
      <c r="J28" s="13">
        <f>IF(F28="","",IFERROR(IF(VLOOKUP(E28,'ALIM AYARLARI'!$A$4:$D$20,3,FALSE)="EVET",'GİDER AYARLARI'!$B$4,0),0))</f>
      </c>
      <c r="K28" s="13">
        <f>IF(F28="","",'GİDER AYARLARI'!$B$5)</f>
      </c>
      <c r="L28" s="13">
        <f>IF(F28="","",'GİDER AYARLARI'!$B$6)</f>
      </c>
      <c r="M28" s="13">
        <f>IF(F28="","",IFERROR(IF(VLOOKUP(E28,'ALIM AYARLARI'!$A$4:$D$20,3,FALSE)="EVET",'GİDER AYARLARI'!$B$7,0),0))</f>
      </c>
      <c r="N28" s="3"/>
      <c r="O28" s="13">
        <f>IF(OR(F28="",I28=""),"",IFERROR(IF(VLOOKUP(E28,'ALIM AYARLARI'!$A$4:$D$20,2,FALSE)="EVET",F28*'GİDER AYARLARI'!$B$8*I28/30,0),0))</f>
      </c>
      <c r="P28" s="14">
        <f>IF(F28="","",SUM(J28:O28))</f>
      </c>
      <c r="Q28" s="14">
        <f>IF(F28="","",F28+P28)</f>
      </c>
      <c r="R28" s="2"/>
      <c r="S28" s="2"/>
      <c r="T28" s="3"/>
      <c r="U28" s="14">
        <f>IF(OR(F28="",T28=""),"",T28-F28)</f>
      </c>
      <c r="V28" s="14">
        <f>IF(T28="","",T28-Q28)</f>
      </c>
      <c r="W28" s="15">
        <f>IFERROR(V28/T28,"")</f>
      </c>
      <c r="X28" s="12">
        <f>IF(F28="","",IF(H28="","STOKTA","SATILDI"))</f>
      </c>
      <c r="Y28" s="2"/>
      <c r="Z28" s="3"/>
      <c r="AA28" s="3"/>
      <c r="AB28" s="3"/>
      <c r="AC28" s="14">
        <f>IF(F28="","",SUM(Z28:AB28))</f>
      </c>
      <c r="AD28" s="14">
        <f>IF(T28="","",V28+AC28)</f>
      </c>
    </row>
    <row r="29" spans="1:30">
      <c r="A29">
        <f>IF(D29="","",ROW()-3)</f>
      </c>
      <c r="B29" s="2"/>
      <c r="C29" s="18"/>
      <c r="D29" s="2"/>
      <c r="E29" s="2"/>
      <c r="F29" s="3"/>
      <c r="G29" s="16"/>
      <c r="H29" s="16"/>
      <c r="I29" s="17">
        <f>IF(G29="","",IF(H29="",TODAY()-G29,H29-G29))</f>
      </c>
      <c r="J29" s="13">
        <f>IF(F29="","",IFERROR(IF(VLOOKUP(E29,'ALIM AYARLARI'!$A$4:$D$20,3,FALSE)="EVET",'GİDER AYARLARI'!$B$4,0),0))</f>
      </c>
      <c r="K29" s="13">
        <f>IF(F29="","",'GİDER AYARLARI'!$B$5)</f>
      </c>
      <c r="L29" s="13">
        <f>IF(F29="","",'GİDER AYARLARI'!$B$6)</f>
      </c>
      <c r="M29" s="13">
        <f>IF(F29="","",IFERROR(IF(VLOOKUP(E29,'ALIM AYARLARI'!$A$4:$D$20,3,FALSE)="EVET",'GİDER AYARLARI'!$B$7,0),0))</f>
      </c>
      <c r="N29" s="3"/>
      <c r="O29" s="13">
        <f>IF(OR(F29="",I29=""),"",IFERROR(IF(VLOOKUP(E29,'ALIM AYARLARI'!$A$4:$D$20,2,FALSE)="EVET",F29*'GİDER AYARLARI'!$B$8*I29/30,0),0))</f>
      </c>
      <c r="P29" s="14">
        <f>IF(F29="","",SUM(J29:O29))</f>
      </c>
      <c r="Q29" s="14">
        <f>IF(F29="","",F29+P29)</f>
      </c>
      <c r="R29" s="2"/>
      <c r="S29" s="2"/>
      <c r="T29" s="3"/>
      <c r="U29" s="14">
        <f>IF(OR(F29="",T29=""),"",T29-F29)</f>
      </c>
      <c r="V29" s="14">
        <f>IF(T29="","",T29-Q29)</f>
      </c>
      <c r="W29" s="15">
        <f>IFERROR(V29/T29,"")</f>
      </c>
      <c r="X29" s="12">
        <f>IF(F29="","",IF(H29="","STOKTA","SATILDI"))</f>
      </c>
      <c r="Y29" s="2"/>
      <c r="Z29" s="3"/>
      <c r="AA29" s="3"/>
      <c r="AB29" s="3"/>
      <c r="AC29" s="14">
        <f>IF(F29="","",SUM(Z29:AB29))</f>
      </c>
      <c r="AD29" s="14">
        <f>IF(T29="","",V29+AC29)</f>
      </c>
    </row>
    <row r="30" spans="1:30">
      <c r="A30">
        <f>IF(D30="","",ROW()-3)</f>
      </c>
      <c r="B30" s="2"/>
      <c r="C30" s="18"/>
      <c r="D30" s="2"/>
      <c r="E30" s="2"/>
      <c r="F30" s="3"/>
      <c r="G30" s="16"/>
      <c r="H30" s="16"/>
      <c r="I30" s="17">
        <f>IF(G30="","",IF(H30="",TODAY()-G30,H30-G30))</f>
      </c>
      <c r="J30" s="13">
        <f>IF(F30="","",IFERROR(IF(VLOOKUP(E30,'ALIM AYARLARI'!$A$4:$D$20,3,FALSE)="EVET",'GİDER AYARLARI'!$B$4,0),0))</f>
      </c>
      <c r="K30" s="13">
        <f>IF(F30="","",'GİDER AYARLARI'!$B$5)</f>
      </c>
      <c r="L30" s="13">
        <f>IF(F30="","",'GİDER AYARLARI'!$B$6)</f>
      </c>
      <c r="M30" s="13">
        <f>IF(F30="","",IFERROR(IF(VLOOKUP(E30,'ALIM AYARLARI'!$A$4:$D$20,3,FALSE)="EVET",'GİDER AYARLARI'!$B$7,0),0))</f>
      </c>
      <c r="N30" s="3"/>
      <c r="O30" s="13">
        <f>IF(OR(F30="",I30=""),"",IFERROR(IF(VLOOKUP(E30,'ALIM AYARLARI'!$A$4:$D$20,2,FALSE)="EVET",F30*'GİDER AYARLARI'!$B$8*I30/30,0),0))</f>
      </c>
      <c r="P30" s="14">
        <f>IF(F30="","",SUM(J30:O30))</f>
      </c>
      <c r="Q30" s="14">
        <f>IF(F30="","",F30+P30)</f>
      </c>
      <c r="R30" s="2"/>
      <c r="S30" s="2"/>
      <c r="T30" s="3"/>
      <c r="U30" s="14">
        <f>IF(OR(F30="",T30=""),"",T30-F30)</f>
      </c>
      <c r="V30" s="14">
        <f>IF(T30="","",T30-Q30)</f>
      </c>
      <c r="W30" s="15">
        <f>IFERROR(V30/T30,"")</f>
      </c>
      <c r="X30" s="12">
        <f>IF(F30="","",IF(H30="","STOKTA","SATILDI"))</f>
      </c>
      <c r="Y30" s="2"/>
      <c r="Z30" s="3"/>
      <c r="AA30" s="3"/>
      <c r="AB30" s="3"/>
      <c r="AC30" s="14">
        <f>IF(F30="","",SUM(Z30:AB30))</f>
      </c>
      <c r="AD30" s="14">
        <f>IF(T30="","",V30+AC30)</f>
      </c>
    </row>
    <row r="31" spans="1:30">
      <c r="A31">
        <f>IF(D31="","",ROW()-3)</f>
      </c>
      <c r="B31" s="2"/>
      <c r="C31" s="18"/>
      <c r="D31" s="2"/>
      <c r="E31" s="2"/>
      <c r="F31" s="3"/>
      <c r="G31" s="16"/>
      <c r="H31" s="16"/>
      <c r="I31" s="17">
        <f>IF(G31="","",IF(H31="",TODAY()-G31,H31-G31))</f>
      </c>
      <c r="J31" s="13">
        <f>IF(F31="","",IFERROR(IF(VLOOKUP(E31,'ALIM AYARLARI'!$A$4:$D$20,3,FALSE)="EVET",'GİDER AYARLARI'!$B$4,0),0))</f>
      </c>
      <c r="K31" s="13">
        <f>IF(F31="","",'GİDER AYARLARI'!$B$5)</f>
      </c>
      <c r="L31" s="13">
        <f>IF(F31="","",'GİDER AYARLARI'!$B$6)</f>
      </c>
      <c r="M31" s="13">
        <f>IF(F31="","",IFERROR(IF(VLOOKUP(E31,'ALIM AYARLARI'!$A$4:$D$20,3,FALSE)="EVET",'GİDER AYARLARI'!$B$7,0),0))</f>
      </c>
      <c r="N31" s="3"/>
      <c r="O31" s="13">
        <f>IF(OR(F31="",I31=""),"",IFERROR(IF(VLOOKUP(E31,'ALIM AYARLARI'!$A$4:$D$20,2,FALSE)="EVET",F31*'GİDER AYARLARI'!$B$8*I31/30,0),0))</f>
      </c>
      <c r="P31" s="14">
        <f>IF(F31="","",SUM(J31:O31))</f>
      </c>
      <c r="Q31" s="14">
        <f>IF(F31="","",F31+P31)</f>
      </c>
      <c r="R31" s="2"/>
      <c r="S31" s="2"/>
      <c r="T31" s="3"/>
      <c r="U31" s="14">
        <f>IF(OR(F31="",T31=""),"",T31-F31)</f>
      </c>
      <c r="V31" s="14">
        <f>IF(T31="","",T31-Q31)</f>
      </c>
      <c r="W31" s="15">
        <f>IFERROR(V31/T31,"")</f>
      </c>
      <c r="X31" s="12">
        <f>IF(F31="","",IF(H31="","STOKTA","SATILDI"))</f>
      </c>
      <c r="Y31" s="2"/>
      <c r="Z31" s="3"/>
      <c r="AA31" s="3"/>
      <c r="AB31" s="3"/>
      <c r="AC31" s="14">
        <f>IF(F31="","",SUM(Z31:AB31))</f>
      </c>
      <c r="AD31" s="14">
        <f>IF(T31="","",V31+AC31)</f>
      </c>
    </row>
    <row r="32" spans="1:30">
      <c r="A32">
        <f>IF(D32="","",ROW()-3)</f>
      </c>
      <c r="B32" s="2"/>
      <c r="C32" s="18"/>
      <c r="D32" s="2"/>
      <c r="E32" s="2"/>
      <c r="F32" s="3"/>
      <c r="G32" s="16"/>
      <c r="H32" s="16"/>
      <c r="I32" s="17">
        <f>IF(G32="","",IF(H32="",TODAY()-G32,H32-G32))</f>
      </c>
      <c r="J32" s="13">
        <f>IF(F32="","",IFERROR(IF(VLOOKUP(E32,'ALIM AYARLARI'!$A$4:$D$20,3,FALSE)="EVET",'GİDER AYARLARI'!$B$4,0),0))</f>
      </c>
      <c r="K32" s="13">
        <f>IF(F32="","",'GİDER AYARLARI'!$B$5)</f>
      </c>
      <c r="L32" s="13">
        <f>IF(F32="","",'GİDER AYARLARI'!$B$6)</f>
      </c>
      <c r="M32" s="13">
        <f>IF(F32="","",IFERROR(IF(VLOOKUP(E32,'ALIM AYARLARI'!$A$4:$D$20,3,FALSE)="EVET",'GİDER AYARLARI'!$B$7,0),0))</f>
      </c>
      <c r="N32" s="3"/>
      <c r="O32" s="13">
        <f>IF(OR(F32="",I32=""),"",IFERROR(IF(VLOOKUP(E32,'ALIM AYARLARI'!$A$4:$D$20,2,FALSE)="EVET",F32*'GİDER AYARLARI'!$B$8*I32/30,0),0))</f>
      </c>
      <c r="P32" s="14">
        <f>IF(F32="","",SUM(J32:O32))</f>
      </c>
      <c r="Q32" s="14">
        <f>IF(F32="","",F32+P32)</f>
      </c>
      <c r="R32" s="2"/>
      <c r="S32" s="2"/>
      <c r="T32" s="3"/>
      <c r="U32" s="14">
        <f>IF(OR(F32="",T32=""),"",T32-F32)</f>
      </c>
      <c r="V32" s="14">
        <f>IF(T32="","",T32-Q32)</f>
      </c>
      <c r="W32" s="15">
        <f>IFERROR(V32/T32,"")</f>
      </c>
      <c r="X32" s="12">
        <f>IF(F32="","",IF(H32="","STOKTA","SATILDI"))</f>
      </c>
      <c r="Y32" s="2"/>
      <c r="Z32" s="3"/>
      <c r="AA32" s="3"/>
      <c r="AB32" s="3"/>
      <c r="AC32" s="14">
        <f>IF(F32="","",SUM(Z32:AB32))</f>
      </c>
      <c r="AD32" s="14">
        <f>IF(T32="","",V32+AC32)</f>
      </c>
    </row>
    <row r="33" spans="1:30">
      <c r="A33">
        <f>IF(D33="","",ROW()-3)</f>
      </c>
      <c r="B33" s="2"/>
      <c r="C33" s="18"/>
      <c r="D33" s="2"/>
      <c r="E33" s="2"/>
      <c r="F33" s="3"/>
      <c r="G33" s="16"/>
      <c r="H33" s="16"/>
      <c r="I33" s="17">
        <f>IF(G33="","",IF(H33="",TODAY()-G33,H33-G33))</f>
      </c>
      <c r="J33" s="13">
        <f>IF(F33="","",IFERROR(IF(VLOOKUP(E33,'ALIM AYARLARI'!$A$4:$D$20,3,FALSE)="EVET",'GİDER AYARLARI'!$B$4,0),0))</f>
      </c>
      <c r="K33" s="13">
        <f>IF(F33="","",'GİDER AYARLARI'!$B$5)</f>
      </c>
      <c r="L33" s="13">
        <f>IF(F33="","",'GİDER AYARLARI'!$B$6)</f>
      </c>
      <c r="M33" s="13">
        <f>IF(F33="","",IFERROR(IF(VLOOKUP(E33,'ALIM AYARLARI'!$A$4:$D$20,3,FALSE)="EVET",'GİDER AYARLARI'!$B$7,0),0))</f>
      </c>
      <c r="N33" s="3"/>
      <c r="O33" s="13">
        <f>IF(OR(F33="",I33=""),"",IFERROR(IF(VLOOKUP(E33,'ALIM AYARLARI'!$A$4:$D$20,2,FALSE)="EVET",F33*'GİDER AYARLARI'!$B$8*I33/30,0),0))</f>
      </c>
      <c r="P33" s="14">
        <f>IF(F33="","",SUM(J33:O33))</f>
      </c>
      <c r="Q33" s="14">
        <f>IF(F33="","",F33+P33)</f>
      </c>
      <c r="R33" s="2"/>
      <c r="S33" s="2"/>
      <c r="T33" s="3"/>
      <c r="U33" s="14">
        <f>IF(OR(F33="",T33=""),"",T33-F33)</f>
      </c>
      <c r="V33" s="14">
        <f>IF(T33="","",T33-Q33)</f>
      </c>
      <c r="W33" s="15">
        <f>IFERROR(V33/T33,"")</f>
      </c>
      <c r="X33" s="12">
        <f>IF(F33="","",IF(H33="","STOKTA","SATILDI"))</f>
      </c>
      <c r="Y33" s="2"/>
      <c r="Z33" s="3"/>
      <c r="AA33" s="3"/>
      <c r="AB33" s="3"/>
      <c r="AC33" s="14">
        <f>IF(F33="","",SUM(Z33:AB33))</f>
      </c>
      <c r="AD33" s="14">
        <f>IF(T33="","",V33+AC33)</f>
      </c>
    </row>
    <row r="34" spans="1:30">
      <c r="A34">
        <f>IF(D34="","",ROW()-3)</f>
      </c>
      <c r="B34" s="2"/>
      <c r="C34" s="18"/>
      <c r="D34" s="2"/>
      <c r="E34" s="2"/>
      <c r="F34" s="3"/>
      <c r="G34" s="16"/>
      <c r="H34" s="16"/>
      <c r="I34" s="17">
        <f>IF(G34="","",IF(H34="",TODAY()-G34,H34-G34))</f>
      </c>
      <c r="J34" s="13">
        <f>IF(F34="","",IFERROR(IF(VLOOKUP(E34,'ALIM AYARLARI'!$A$4:$D$20,3,FALSE)="EVET",'GİDER AYARLARI'!$B$4,0),0))</f>
      </c>
      <c r="K34" s="13">
        <f>IF(F34="","",'GİDER AYARLARI'!$B$5)</f>
      </c>
      <c r="L34" s="13">
        <f>IF(F34="","",'GİDER AYARLARI'!$B$6)</f>
      </c>
      <c r="M34" s="13">
        <f>IF(F34="","",IFERROR(IF(VLOOKUP(E34,'ALIM AYARLARI'!$A$4:$D$20,3,FALSE)="EVET",'GİDER AYARLARI'!$B$7,0),0))</f>
      </c>
      <c r="N34" s="3"/>
      <c r="O34" s="13">
        <f>IF(OR(F34="",I34=""),"",IFERROR(IF(VLOOKUP(E34,'ALIM AYARLARI'!$A$4:$D$20,2,FALSE)="EVET",F34*'GİDER AYARLARI'!$B$8*I34/30,0),0))</f>
      </c>
      <c r="P34" s="14">
        <f>IF(F34="","",SUM(J34:O34))</f>
      </c>
      <c r="Q34" s="14">
        <f>IF(F34="","",F34+P34)</f>
      </c>
      <c r="R34" s="2"/>
      <c r="S34" s="2"/>
      <c r="T34" s="3"/>
      <c r="U34" s="14">
        <f>IF(OR(F34="",T34=""),"",T34-F34)</f>
      </c>
      <c r="V34" s="14">
        <f>IF(T34="","",T34-Q34)</f>
      </c>
      <c r="W34" s="15">
        <f>IFERROR(V34/T34,"")</f>
      </c>
      <c r="X34" s="12">
        <f>IF(F34="","",IF(H34="","STOKTA","SATILDI"))</f>
      </c>
      <c r="Y34" s="2"/>
      <c r="Z34" s="3"/>
      <c r="AA34" s="3"/>
      <c r="AB34" s="3"/>
      <c r="AC34" s="14">
        <f>IF(F34="","",SUM(Z34:AB34))</f>
      </c>
      <c r="AD34" s="14">
        <f>IF(T34="","",V34+AC34)</f>
      </c>
    </row>
    <row r="35" spans="1:30">
      <c r="A35">
        <f>IF(D35="","",ROW()-3)</f>
      </c>
      <c r="B35" s="2"/>
      <c r="C35" s="18"/>
      <c r="D35" s="2"/>
      <c r="E35" s="2"/>
      <c r="F35" s="3"/>
      <c r="G35" s="16"/>
      <c r="H35" s="16"/>
      <c r="I35" s="17">
        <f>IF(G35="","",IF(H35="",TODAY()-G35,H35-G35))</f>
      </c>
      <c r="J35" s="13">
        <f>IF(F35="","",IFERROR(IF(VLOOKUP(E35,'ALIM AYARLARI'!$A$4:$D$20,3,FALSE)="EVET",'GİDER AYARLARI'!$B$4,0),0))</f>
      </c>
      <c r="K35" s="13">
        <f>IF(F35="","",'GİDER AYARLARI'!$B$5)</f>
      </c>
      <c r="L35" s="13">
        <f>IF(F35="","",'GİDER AYARLARI'!$B$6)</f>
      </c>
      <c r="M35" s="13">
        <f>IF(F35="","",IFERROR(IF(VLOOKUP(E35,'ALIM AYARLARI'!$A$4:$D$20,3,FALSE)="EVET",'GİDER AYARLARI'!$B$7,0),0))</f>
      </c>
      <c r="N35" s="3"/>
      <c r="O35" s="13">
        <f>IF(OR(F35="",I35=""),"",IFERROR(IF(VLOOKUP(E35,'ALIM AYARLARI'!$A$4:$D$20,2,FALSE)="EVET",F35*'GİDER AYARLARI'!$B$8*I35/30,0),0))</f>
      </c>
      <c r="P35" s="14">
        <f>IF(F35="","",SUM(J35:O35))</f>
      </c>
      <c r="Q35" s="14">
        <f>IF(F35="","",F35+P35)</f>
      </c>
      <c r="R35" s="2"/>
      <c r="S35" s="2"/>
      <c r="T35" s="3"/>
      <c r="U35" s="14">
        <f>IF(OR(F35="",T35=""),"",T35-F35)</f>
      </c>
      <c r="V35" s="14">
        <f>IF(T35="","",T35-Q35)</f>
      </c>
      <c r="W35" s="15">
        <f>IFERROR(V35/T35,"")</f>
      </c>
      <c r="X35" s="12">
        <f>IF(F35="","",IF(H35="","STOKTA","SATILDI"))</f>
      </c>
      <c r="Y35" s="2"/>
      <c r="Z35" s="3"/>
      <c r="AA35" s="3"/>
      <c r="AB35" s="3"/>
      <c r="AC35" s="14">
        <f>IF(F35="","",SUM(Z35:AB35))</f>
      </c>
      <c r="AD35" s="14">
        <f>IF(T35="","",V35+AC35)</f>
      </c>
    </row>
    <row r="36" spans="1:30">
      <c r="A36">
        <f>IF(D36="","",ROW()-3)</f>
      </c>
      <c r="B36" s="2"/>
      <c r="C36" s="18"/>
      <c r="D36" s="2"/>
      <c r="E36" s="2"/>
      <c r="F36" s="3"/>
      <c r="G36" s="16"/>
      <c r="H36" s="16"/>
      <c r="I36" s="17">
        <f>IF(G36="","",IF(H36="",TODAY()-G36,H36-G36))</f>
      </c>
      <c r="J36" s="13">
        <f>IF(F36="","",IFERROR(IF(VLOOKUP(E36,'ALIM AYARLARI'!$A$4:$D$20,3,FALSE)="EVET",'GİDER AYARLARI'!$B$4,0),0))</f>
      </c>
      <c r="K36" s="13">
        <f>IF(F36="","",'GİDER AYARLARI'!$B$5)</f>
      </c>
      <c r="L36" s="13">
        <f>IF(F36="","",'GİDER AYARLARI'!$B$6)</f>
      </c>
      <c r="M36" s="13">
        <f>IF(F36="","",IFERROR(IF(VLOOKUP(E36,'ALIM AYARLARI'!$A$4:$D$20,3,FALSE)="EVET",'GİDER AYARLARI'!$B$7,0),0))</f>
      </c>
      <c r="N36" s="3"/>
      <c r="O36" s="13">
        <f>IF(OR(F36="",I36=""),"",IFERROR(IF(VLOOKUP(E36,'ALIM AYARLARI'!$A$4:$D$20,2,FALSE)="EVET",F36*'GİDER AYARLARI'!$B$8*I36/30,0),0))</f>
      </c>
      <c r="P36" s="14">
        <f>IF(F36="","",SUM(J36:O36))</f>
      </c>
      <c r="Q36" s="14">
        <f>IF(F36="","",F36+P36)</f>
      </c>
      <c r="R36" s="2"/>
      <c r="S36" s="2"/>
      <c r="T36" s="3"/>
      <c r="U36" s="14">
        <f>IF(OR(F36="",T36=""),"",T36-F36)</f>
      </c>
      <c r="V36" s="14">
        <f>IF(T36="","",T36-Q36)</f>
      </c>
      <c r="W36" s="15">
        <f>IFERROR(V36/T36,"")</f>
      </c>
      <c r="X36" s="12">
        <f>IF(F36="","",IF(H36="","STOKTA","SATILDI"))</f>
      </c>
      <c r="Y36" s="2"/>
      <c r="Z36" s="3"/>
      <c r="AA36" s="3"/>
      <c r="AB36" s="3"/>
      <c r="AC36" s="14">
        <f>IF(F36="","",SUM(Z36:AB36))</f>
      </c>
      <c r="AD36" s="14">
        <f>IF(T36="","",V36+AC36)</f>
      </c>
    </row>
    <row r="37" spans="1:30">
      <c r="A37">
        <f>IF(D37="","",ROW()-3)</f>
      </c>
      <c r="B37" s="2"/>
      <c r="C37" s="18"/>
      <c r="D37" s="2"/>
      <c r="E37" s="2"/>
      <c r="F37" s="3"/>
      <c r="G37" s="16"/>
      <c r="H37" s="16"/>
      <c r="I37" s="17">
        <f>IF(G37="","",IF(H37="",TODAY()-G37,H37-G37))</f>
      </c>
      <c r="J37" s="13">
        <f>IF(F37="","",IFERROR(IF(VLOOKUP(E37,'ALIM AYARLARI'!$A$4:$D$20,3,FALSE)="EVET",'GİDER AYARLARI'!$B$4,0),0))</f>
      </c>
      <c r="K37" s="13">
        <f>IF(F37="","",'GİDER AYARLARI'!$B$5)</f>
      </c>
      <c r="L37" s="13">
        <f>IF(F37="","",'GİDER AYARLARI'!$B$6)</f>
      </c>
      <c r="M37" s="13">
        <f>IF(F37="","",IFERROR(IF(VLOOKUP(E37,'ALIM AYARLARI'!$A$4:$D$20,3,FALSE)="EVET",'GİDER AYARLARI'!$B$7,0),0))</f>
      </c>
      <c r="N37" s="3"/>
      <c r="O37" s="13">
        <f>IF(OR(F37="",I37=""),"",IFERROR(IF(VLOOKUP(E37,'ALIM AYARLARI'!$A$4:$D$20,2,FALSE)="EVET",F37*'GİDER AYARLARI'!$B$8*I37/30,0),0))</f>
      </c>
      <c r="P37" s="14">
        <f>IF(F37="","",SUM(J37:O37))</f>
      </c>
      <c r="Q37" s="14">
        <f>IF(F37="","",F37+P37)</f>
      </c>
      <c r="R37" s="2"/>
      <c r="S37" s="2"/>
      <c r="T37" s="3"/>
      <c r="U37" s="14">
        <f>IF(OR(F37="",T37=""),"",T37-F37)</f>
      </c>
      <c r="V37" s="14">
        <f>IF(T37="","",T37-Q37)</f>
      </c>
      <c r="W37" s="15">
        <f>IFERROR(V37/T37,"")</f>
      </c>
      <c r="X37" s="12">
        <f>IF(F37="","",IF(H37="","STOKTA","SATILDI"))</f>
      </c>
      <c r="Y37" s="2"/>
      <c r="Z37" s="3"/>
      <c r="AA37" s="3"/>
      <c r="AB37" s="3"/>
      <c r="AC37" s="14">
        <f>IF(F37="","",SUM(Z37:AB37))</f>
      </c>
      <c r="AD37" s="14">
        <f>IF(T37="","",V37+AC37)</f>
      </c>
    </row>
    <row r="38" spans="1:30">
      <c r="A38">
        <f>IF(D38="","",ROW()-3)</f>
      </c>
      <c r="B38" s="2"/>
      <c r="C38" s="18"/>
      <c r="D38" s="2"/>
      <c r="E38" s="2"/>
      <c r="F38" s="3"/>
      <c r="G38" s="16"/>
      <c r="H38" s="16"/>
      <c r="I38" s="17">
        <f>IF(G38="","",IF(H38="",TODAY()-G38,H38-G38))</f>
      </c>
      <c r="J38" s="13">
        <f>IF(F38="","",IFERROR(IF(VLOOKUP(E38,'ALIM AYARLARI'!$A$4:$D$20,3,FALSE)="EVET",'GİDER AYARLARI'!$B$4,0),0))</f>
      </c>
      <c r="K38" s="13">
        <f>IF(F38="","",'GİDER AYARLARI'!$B$5)</f>
      </c>
      <c r="L38" s="13">
        <f>IF(F38="","",'GİDER AYARLARI'!$B$6)</f>
      </c>
      <c r="M38" s="13">
        <f>IF(F38="","",IFERROR(IF(VLOOKUP(E38,'ALIM AYARLARI'!$A$4:$D$20,3,FALSE)="EVET",'GİDER AYARLARI'!$B$7,0),0))</f>
      </c>
      <c r="N38" s="3"/>
      <c r="O38" s="13">
        <f>IF(OR(F38="",I38=""),"",IFERROR(IF(VLOOKUP(E38,'ALIM AYARLARI'!$A$4:$D$20,2,FALSE)="EVET",F38*'GİDER AYARLARI'!$B$8*I38/30,0),0))</f>
      </c>
      <c r="P38" s="14">
        <f>IF(F38="","",SUM(J38:O38))</f>
      </c>
      <c r="Q38" s="14">
        <f>IF(F38="","",F38+P38)</f>
      </c>
      <c r="R38" s="2"/>
      <c r="S38" s="2"/>
      <c r="T38" s="3"/>
      <c r="U38" s="14">
        <f>IF(OR(F38="",T38=""),"",T38-F38)</f>
      </c>
      <c r="V38" s="14">
        <f>IF(T38="","",T38-Q38)</f>
      </c>
      <c r="W38" s="15">
        <f>IFERROR(V38/T38,"")</f>
      </c>
      <c r="X38" s="12">
        <f>IF(F38="","",IF(H38="","STOKTA","SATILDI"))</f>
      </c>
      <c r="Y38" s="2"/>
      <c r="Z38" s="3"/>
      <c r="AA38" s="3"/>
      <c r="AB38" s="3"/>
      <c r="AC38" s="14">
        <f>IF(F38="","",SUM(Z38:AB38))</f>
      </c>
      <c r="AD38" s="14">
        <f>IF(T38="","",V38+AC38)</f>
      </c>
    </row>
    <row r="39" spans="1:30">
      <c r="A39">
        <f>IF(D39="","",ROW()-3)</f>
      </c>
      <c r="B39" s="2"/>
      <c r="C39" s="18"/>
      <c r="D39" s="2"/>
      <c r="E39" s="2"/>
      <c r="F39" s="3"/>
      <c r="G39" s="16"/>
      <c r="H39" s="16"/>
      <c r="I39" s="17">
        <f>IF(G39="","",IF(H39="",TODAY()-G39,H39-G39))</f>
      </c>
      <c r="J39" s="13">
        <f>IF(F39="","",IFERROR(IF(VLOOKUP(E39,'ALIM AYARLARI'!$A$4:$D$20,3,FALSE)="EVET",'GİDER AYARLARI'!$B$4,0),0))</f>
      </c>
      <c r="K39" s="13">
        <f>IF(F39="","",'GİDER AYARLARI'!$B$5)</f>
      </c>
      <c r="L39" s="13">
        <f>IF(F39="","",'GİDER AYARLARI'!$B$6)</f>
      </c>
      <c r="M39" s="13">
        <f>IF(F39="","",IFERROR(IF(VLOOKUP(E39,'ALIM AYARLARI'!$A$4:$D$20,3,FALSE)="EVET",'GİDER AYARLARI'!$B$7,0),0))</f>
      </c>
      <c r="N39" s="3"/>
      <c r="O39" s="13">
        <f>IF(OR(F39="",I39=""),"",IFERROR(IF(VLOOKUP(E39,'ALIM AYARLARI'!$A$4:$D$20,2,FALSE)="EVET",F39*'GİDER AYARLARI'!$B$8*I39/30,0),0))</f>
      </c>
      <c r="P39" s="14">
        <f>IF(F39="","",SUM(J39:O39))</f>
      </c>
      <c r="Q39" s="14">
        <f>IF(F39="","",F39+P39)</f>
      </c>
      <c r="R39" s="2"/>
      <c r="S39" s="2"/>
      <c r="T39" s="3"/>
      <c r="U39" s="14">
        <f>IF(OR(F39="",T39=""),"",T39-F39)</f>
      </c>
      <c r="V39" s="14">
        <f>IF(T39="","",T39-Q39)</f>
      </c>
      <c r="W39" s="15">
        <f>IFERROR(V39/T39,"")</f>
      </c>
      <c r="X39" s="12">
        <f>IF(F39="","",IF(H39="","STOKTA","SATILDI"))</f>
      </c>
      <c r="Y39" s="2"/>
      <c r="Z39" s="3"/>
      <c r="AA39" s="3"/>
      <c r="AB39" s="3"/>
      <c r="AC39" s="14">
        <f>IF(F39="","",SUM(Z39:AB39))</f>
      </c>
      <c r="AD39" s="14">
        <f>IF(T39="","",V39+AC39)</f>
      </c>
    </row>
    <row r="40" spans="1:30">
      <c r="A40">
        <f>IF(D40="","",ROW()-3)</f>
      </c>
      <c r="B40" s="2"/>
      <c r="C40" s="18"/>
      <c r="D40" s="2"/>
      <c r="E40" s="2"/>
      <c r="F40" s="3"/>
      <c r="G40" s="16"/>
      <c r="H40" s="16"/>
      <c r="I40" s="17">
        <f>IF(G40="","",IF(H40="",TODAY()-G40,H40-G40))</f>
      </c>
      <c r="J40" s="13">
        <f>IF(F40="","",IFERROR(IF(VLOOKUP(E40,'ALIM AYARLARI'!$A$4:$D$20,3,FALSE)="EVET",'GİDER AYARLARI'!$B$4,0),0))</f>
      </c>
      <c r="K40" s="13">
        <f>IF(F40="","",'GİDER AYARLARI'!$B$5)</f>
      </c>
      <c r="L40" s="13">
        <f>IF(F40="","",'GİDER AYARLARI'!$B$6)</f>
      </c>
      <c r="M40" s="13">
        <f>IF(F40="","",IFERROR(IF(VLOOKUP(E40,'ALIM AYARLARI'!$A$4:$D$20,3,FALSE)="EVET",'GİDER AYARLARI'!$B$7,0),0))</f>
      </c>
      <c r="N40" s="3"/>
      <c r="O40" s="13">
        <f>IF(OR(F40="",I40=""),"",IFERROR(IF(VLOOKUP(E40,'ALIM AYARLARI'!$A$4:$D$20,2,FALSE)="EVET",F40*'GİDER AYARLARI'!$B$8*I40/30,0),0))</f>
      </c>
      <c r="P40" s="14">
        <f>IF(F40="","",SUM(J40:O40))</f>
      </c>
      <c r="Q40" s="14">
        <f>IF(F40="","",F40+P40)</f>
      </c>
      <c r="R40" s="2"/>
      <c r="S40" s="2"/>
      <c r="T40" s="3"/>
      <c r="U40" s="14">
        <f>IF(OR(F40="",T40=""),"",T40-F40)</f>
      </c>
      <c r="V40" s="14">
        <f>IF(T40="","",T40-Q40)</f>
      </c>
      <c r="W40" s="15">
        <f>IFERROR(V40/T40,"")</f>
      </c>
      <c r="X40" s="12">
        <f>IF(F40="","",IF(H40="","STOKTA","SATILDI"))</f>
      </c>
      <c r="Y40" s="2"/>
      <c r="Z40" s="3"/>
      <c r="AA40" s="3"/>
      <c r="AB40" s="3"/>
      <c r="AC40" s="14">
        <f>IF(F40="","",SUM(Z40:AB40))</f>
      </c>
      <c r="AD40" s="14">
        <f>IF(T40="","",V40+AC40)</f>
      </c>
    </row>
    <row r="41" spans="1:30">
      <c r="A41">
        <f>IF(D41="","",ROW()-3)</f>
      </c>
      <c r="B41" s="2"/>
      <c r="C41" s="18"/>
      <c r="D41" s="2"/>
      <c r="E41" s="2"/>
      <c r="F41" s="3"/>
      <c r="G41" s="16"/>
      <c r="H41" s="16"/>
      <c r="I41" s="17">
        <f>IF(G41="","",IF(H41="",TODAY()-G41,H41-G41))</f>
      </c>
      <c r="J41" s="13">
        <f>IF(F41="","",IFERROR(IF(VLOOKUP(E41,'ALIM AYARLARI'!$A$4:$D$20,3,FALSE)="EVET",'GİDER AYARLARI'!$B$4,0),0))</f>
      </c>
      <c r="K41" s="13">
        <f>IF(F41="","",'GİDER AYARLARI'!$B$5)</f>
      </c>
      <c r="L41" s="13">
        <f>IF(F41="","",'GİDER AYARLARI'!$B$6)</f>
      </c>
      <c r="M41" s="13">
        <f>IF(F41="","",IFERROR(IF(VLOOKUP(E41,'ALIM AYARLARI'!$A$4:$D$20,3,FALSE)="EVET",'GİDER AYARLARI'!$B$7,0),0))</f>
      </c>
      <c r="N41" s="3"/>
      <c r="O41" s="13">
        <f>IF(OR(F41="",I41=""),"",IFERROR(IF(VLOOKUP(E41,'ALIM AYARLARI'!$A$4:$D$20,2,FALSE)="EVET",F41*'GİDER AYARLARI'!$B$8*I41/30,0),0))</f>
      </c>
      <c r="P41" s="14">
        <f>IF(F41="","",SUM(J41:O41))</f>
      </c>
      <c r="Q41" s="14">
        <f>IF(F41="","",F41+P41)</f>
      </c>
      <c r="R41" s="2"/>
      <c r="S41" s="2"/>
      <c r="T41" s="3"/>
      <c r="U41" s="14">
        <f>IF(OR(F41="",T41=""),"",T41-F41)</f>
      </c>
      <c r="V41" s="14">
        <f>IF(T41="","",T41-Q41)</f>
      </c>
      <c r="W41" s="15">
        <f>IFERROR(V41/T41,"")</f>
      </c>
      <c r="X41" s="12">
        <f>IF(F41="","",IF(H41="","STOKTA","SATILDI"))</f>
      </c>
      <c r="Y41" s="2"/>
      <c r="Z41" s="3"/>
      <c r="AA41" s="3"/>
      <c r="AB41" s="3"/>
      <c r="AC41" s="14">
        <f>IF(F41="","",SUM(Z41:AB41))</f>
      </c>
      <c r="AD41" s="14">
        <f>IF(T41="","",V41+AC41)</f>
      </c>
    </row>
    <row r="42" spans="1:30">
      <c r="A42">
        <f>IF(D42="","",ROW()-3)</f>
      </c>
      <c r="B42" s="2"/>
      <c r="C42" s="18"/>
      <c r="D42" s="2"/>
      <c r="E42" s="2"/>
      <c r="F42" s="3"/>
      <c r="G42" s="16"/>
      <c r="H42" s="16"/>
      <c r="I42" s="17">
        <f>IF(G42="","",IF(H42="",TODAY()-G42,H42-G42))</f>
      </c>
      <c r="J42" s="13">
        <f>IF(F42="","",IFERROR(IF(VLOOKUP(E42,'ALIM AYARLARI'!$A$4:$D$20,3,FALSE)="EVET",'GİDER AYARLARI'!$B$4,0),0))</f>
      </c>
      <c r="K42" s="13">
        <f>IF(F42="","",'GİDER AYARLARI'!$B$5)</f>
      </c>
      <c r="L42" s="13">
        <f>IF(F42="","",'GİDER AYARLARI'!$B$6)</f>
      </c>
      <c r="M42" s="13">
        <f>IF(F42="","",IFERROR(IF(VLOOKUP(E42,'ALIM AYARLARI'!$A$4:$D$20,3,FALSE)="EVET",'GİDER AYARLARI'!$B$7,0),0))</f>
      </c>
      <c r="N42" s="3"/>
      <c r="O42" s="13">
        <f>IF(OR(F42="",I42=""),"",IFERROR(IF(VLOOKUP(E42,'ALIM AYARLARI'!$A$4:$D$20,2,FALSE)="EVET",F42*'GİDER AYARLARI'!$B$8*I42/30,0),0))</f>
      </c>
      <c r="P42" s="14">
        <f>IF(F42="","",SUM(J42:O42))</f>
      </c>
      <c r="Q42" s="14">
        <f>IF(F42="","",F42+P42)</f>
      </c>
      <c r="R42" s="2"/>
      <c r="S42" s="2"/>
      <c r="T42" s="3"/>
      <c r="U42" s="14">
        <f>IF(OR(F42="",T42=""),"",T42-F42)</f>
      </c>
      <c r="V42" s="14">
        <f>IF(T42="","",T42-Q42)</f>
      </c>
      <c r="W42" s="15">
        <f>IFERROR(V42/T42,"")</f>
      </c>
      <c r="X42" s="12">
        <f>IF(F42="","",IF(H42="","STOKTA","SATILDI"))</f>
      </c>
      <c r="Y42" s="2"/>
      <c r="Z42" s="3"/>
      <c r="AA42" s="3"/>
      <c r="AB42" s="3"/>
      <c r="AC42" s="14">
        <f>IF(F42="","",SUM(Z42:AB42))</f>
      </c>
      <c r="AD42" s="14">
        <f>IF(T42="","",V42+AC42)</f>
      </c>
    </row>
    <row r="43" spans="1:30">
      <c r="A43">
        <f>IF(D43="","",ROW()-3)</f>
      </c>
      <c r="B43" s="2"/>
      <c r="C43" s="18"/>
      <c r="D43" s="2"/>
      <c r="E43" s="2"/>
      <c r="F43" s="3"/>
      <c r="G43" s="16"/>
      <c r="H43" s="16"/>
      <c r="I43" s="17">
        <f>IF(G43="","",IF(H43="",TODAY()-G43,H43-G43))</f>
      </c>
      <c r="J43" s="13">
        <f>IF(F43="","",IFERROR(IF(VLOOKUP(E43,'ALIM AYARLARI'!$A$4:$D$20,3,FALSE)="EVET",'GİDER AYARLARI'!$B$4,0),0))</f>
      </c>
      <c r="K43" s="13">
        <f>IF(F43="","",'GİDER AYARLARI'!$B$5)</f>
      </c>
      <c r="L43" s="13">
        <f>IF(F43="","",'GİDER AYARLARI'!$B$6)</f>
      </c>
      <c r="M43" s="13">
        <f>IF(F43="","",IFERROR(IF(VLOOKUP(E43,'ALIM AYARLARI'!$A$4:$D$20,3,FALSE)="EVET",'GİDER AYARLARI'!$B$7,0),0))</f>
      </c>
      <c r="N43" s="3"/>
      <c r="O43" s="13">
        <f>IF(OR(F43="",I43=""),"",IFERROR(IF(VLOOKUP(E43,'ALIM AYARLARI'!$A$4:$D$20,2,FALSE)="EVET",F43*'GİDER AYARLARI'!$B$8*I43/30,0),0))</f>
      </c>
      <c r="P43" s="14">
        <f>IF(F43="","",SUM(J43:O43))</f>
      </c>
      <c r="Q43" s="14">
        <f>IF(F43="","",F43+P43)</f>
      </c>
      <c r="R43" s="2"/>
      <c r="S43" s="2"/>
      <c r="T43" s="3"/>
      <c r="U43" s="14">
        <f>IF(OR(F43="",T43=""),"",T43-F43)</f>
      </c>
      <c r="V43" s="14">
        <f>IF(T43="","",T43-Q43)</f>
      </c>
      <c r="W43" s="15">
        <f>IFERROR(V43/T43,"")</f>
      </c>
      <c r="X43" s="12">
        <f>IF(F43="","",IF(H43="","STOKTA","SATILDI"))</f>
      </c>
      <c r="Y43" s="2"/>
      <c r="Z43" s="3"/>
      <c r="AA43" s="3"/>
      <c r="AB43" s="3"/>
      <c r="AC43" s="14">
        <f>IF(F43="","",SUM(Z43:AB43))</f>
      </c>
      <c r="AD43" s="14">
        <f>IF(T43="","",V43+AC43)</f>
      </c>
    </row>
    <row r="44" spans="1:30">
      <c r="A44">
        <f>IF(D44="","",ROW()-3)</f>
      </c>
      <c r="B44" s="2"/>
      <c r="C44" s="18"/>
      <c r="D44" s="2"/>
      <c r="E44" s="2"/>
      <c r="F44" s="3"/>
      <c r="G44" s="16"/>
      <c r="H44" s="16"/>
      <c r="I44" s="17">
        <f>IF(G44="","",IF(H44="",TODAY()-G44,H44-G44))</f>
      </c>
      <c r="J44" s="13">
        <f>IF(F44="","",IFERROR(IF(VLOOKUP(E44,'ALIM AYARLARI'!$A$4:$D$20,3,FALSE)="EVET",'GİDER AYARLARI'!$B$4,0),0))</f>
      </c>
      <c r="K44" s="13">
        <f>IF(F44="","",'GİDER AYARLARI'!$B$5)</f>
      </c>
      <c r="L44" s="13">
        <f>IF(F44="","",'GİDER AYARLARI'!$B$6)</f>
      </c>
      <c r="M44" s="13">
        <f>IF(F44="","",IFERROR(IF(VLOOKUP(E44,'ALIM AYARLARI'!$A$4:$D$20,3,FALSE)="EVET",'GİDER AYARLARI'!$B$7,0),0))</f>
      </c>
      <c r="N44" s="3"/>
      <c r="O44" s="13">
        <f>IF(OR(F44="",I44=""),"",IFERROR(IF(VLOOKUP(E44,'ALIM AYARLARI'!$A$4:$D$20,2,FALSE)="EVET",F44*'GİDER AYARLARI'!$B$8*I44/30,0),0))</f>
      </c>
      <c r="P44" s="14">
        <f>IF(F44="","",SUM(J44:O44))</f>
      </c>
      <c r="Q44" s="14">
        <f>IF(F44="","",F44+P44)</f>
      </c>
      <c r="R44" s="2"/>
      <c r="S44" s="2"/>
      <c r="T44" s="3"/>
      <c r="U44" s="14">
        <f>IF(OR(F44="",T44=""),"",T44-F44)</f>
      </c>
      <c r="V44" s="14">
        <f>IF(T44="","",T44-Q44)</f>
      </c>
      <c r="W44" s="15">
        <f>IFERROR(V44/T44,"")</f>
      </c>
      <c r="X44" s="12">
        <f>IF(F44="","",IF(H44="","STOKTA","SATILDI"))</f>
      </c>
      <c r="Y44" s="2"/>
      <c r="Z44" s="3"/>
      <c r="AA44" s="3"/>
      <c r="AB44" s="3"/>
      <c r="AC44" s="14">
        <f>IF(F44="","",SUM(Z44:AB44))</f>
      </c>
      <c r="AD44" s="14">
        <f>IF(T44="","",V44+AC44)</f>
      </c>
    </row>
    <row r="45" spans="1:30">
      <c r="A45">
        <f>IF(D45="","",ROW()-3)</f>
      </c>
      <c r="B45" s="2"/>
      <c r="C45" s="18"/>
      <c r="D45" s="2"/>
      <c r="E45" s="2"/>
      <c r="F45" s="3"/>
      <c r="G45" s="16"/>
      <c r="H45" s="16"/>
      <c r="I45" s="17">
        <f>IF(G45="","",IF(H45="",TODAY()-G45,H45-G45))</f>
      </c>
      <c r="J45" s="13">
        <f>IF(F45="","",IFERROR(IF(VLOOKUP(E45,'ALIM AYARLARI'!$A$4:$D$20,3,FALSE)="EVET",'GİDER AYARLARI'!$B$4,0),0))</f>
      </c>
      <c r="K45" s="13">
        <f>IF(F45="","",'GİDER AYARLARI'!$B$5)</f>
      </c>
      <c r="L45" s="13">
        <f>IF(F45="","",'GİDER AYARLARI'!$B$6)</f>
      </c>
      <c r="M45" s="13">
        <f>IF(F45="","",IFERROR(IF(VLOOKUP(E45,'ALIM AYARLARI'!$A$4:$D$20,3,FALSE)="EVET",'GİDER AYARLARI'!$B$7,0),0))</f>
      </c>
      <c r="N45" s="3"/>
      <c r="O45" s="13">
        <f>IF(OR(F45="",I45=""),"",IFERROR(IF(VLOOKUP(E45,'ALIM AYARLARI'!$A$4:$D$20,2,FALSE)="EVET",F45*'GİDER AYARLARI'!$B$8*I45/30,0),0))</f>
      </c>
      <c r="P45" s="14">
        <f>IF(F45="","",SUM(J45:O45))</f>
      </c>
      <c r="Q45" s="14">
        <f>IF(F45="","",F45+P45)</f>
      </c>
      <c r="R45" s="2"/>
      <c r="S45" s="2"/>
      <c r="T45" s="3"/>
      <c r="U45" s="14">
        <f>IF(OR(F45="",T45=""),"",T45-F45)</f>
      </c>
      <c r="V45" s="14">
        <f>IF(T45="","",T45-Q45)</f>
      </c>
      <c r="W45" s="15">
        <f>IFERROR(V45/T45,"")</f>
      </c>
      <c r="X45" s="12">
        <f>IF(F45="","",IF(H45="","STOKTA","SATILDI"))</f>
      </c>
      <c r="Y45" s="2"/>
      <c r="Z45" s="3"/>
      <c r="AA45" s="3"/>
      <c r="AB45" s="3"/>
      <c r="AC45" s="14">
        <f>IF(F45="","",SUM(Z45:AB45))</f>
      </c>
      <c r="AD45" s="14">
        <f>IF(T45="","",V45+AC45)</f>
      </c>
    </row>
    <row r="46" spans="1:30">
      <c r="A46">
        <f>IF(D46="","",ROW()-3)</f>
      </c>
      <c r="B46" s="2"/>
      <c r="C46" s="18"/>
      <c r="D46" s="2"/>
      <c r="E46" s="2"/>
      <c r="F46" s="3"/>
      <c r="G46" s="16"/>
      <c r="H46" s="16"/>
      <c r="I46" s="17">
        <f>IF(G46="","",IF(H46="",TODAY()-G46,H46-G46))</f>
      </c>
      <c r="J46" s="13">
        <f>IF(F46="","",IFERROR(IF(VLOOKUP(E46,'ALIM AYARLARI'!$A$4:$D$20,3,FALSE)="EVET",'GİDER AYARLARI'!$B$4,0),0))</f>
      </c>
      <c r="K46" s="13">
        <f>IF(F46="","",'GİDER AYARLARI'!$B$5)</f>
      </c>
      <c r="L46" s="13">
        <f>IF(F46="","",'GİDER AYARLARI'!$B$6)</f>
      </c>
      <c r="M46" s="13">
        <f>IF(F46="","",IFERROR(IF(VLOOKUP(E46,'ALIM AYARLARI'!$A$4:$D$20,3,FALSE)="EVET",'GİDER AYARLARI'!$B$7,0),0))</f>
      </c>
      <c r="N46" s="3"/>
      <c r="O46" s="13">
        <f>IF(OR(F46="",I46=""),"",IFERROR(IF(VLOOKUP(E46,'ALIM AYARLARI'!$A$4:$D$20,2,FALSE)="EVET",F46*'GİDER AYARLARI'!$B$8*I46/30,0),0))</f>
      </c>
      <c r="P46" s="14">
        <f>IF(F46="","",SUM(J46:O46))</f>
      </c>
      <c r="Q46" s="14">
        <f>IF(F46="","",F46+P46)</f>
      </c>
      <c r="R46" s="2"/>
      <c r="S46" s="2"/>
      <c r="T46" s="3"/>
      <c r="U46" s="14">
        <f>IF(OR(F46="",T46=""),"",T46-F46)</f>
      </c>
      <c r="V46" s="14">
        <f>IF(T46="","",T46-Q46)</f>
      </c>
      <c r="W46" s="15">
        <f>IFERROR(V46/T46,"")</f>
      </c>
      <c r="X46" s="12">
        <f>IF(F46="","",IF(H46="","STOKTA","SATILDI"))</f>
      </c>
      <c r="Y46" s="2"/>
      <c r="Z46" s="3"/>
      <c r="AA46" s="3"/>
      <c r="AB46" s="3"/>
      <c r="AC46" s="14">
        <f>IF(F46="","",SUM(Z46:AB46))</f>
      </c>
      <c r="AD46" s="14">
        <f>IF(T46="","",V46+AC46)</f>
      </c>
    </row>
    <row r="47" spans="1:30">
      <c r="A47">
        <f>IF(D47="","",ROW()-3)</f>
      </c>
      <c r="B47" s="2"/>
      <c r="C47" s="18"/>
      <c r="D47" s="2"/>
      <c r="E47" s="2"/>
      <c r="F47" s="3"/>
      <c r="G47" s="16"/>
      <c r="H47" s="16"/>
      <c r="I47" s="17">
        <f>IF(G47="","",IF(H47="",TODAY()-G47,H47-G47))</f>
      </c>
      <c r="J47" s="13">
        <f>IF(F47="","",IFERROR(IF(VLOOKUP(E47,'ALIM AYARLARI'!$A$4:$D$20,3,FALSE)="EVET",'GİDER AYARLARI'!$B$4,0),0))</f>
      </c>
      <c r="K47" s="13">
        <f>IF(F47="","",'GİDER AYARLARI'!$B$5)</f>
      </c>
      <c r="L47" s="13">
        <f>IF(F47="","",'GİDER AYARLARI'!$B$6)</f>
      </c>
      <c r="M47" s="13">
        <f>IF(F47="","",IFERROR(IF(VLOOKUP(E47,'ALIM AYARLARI'!$A$4:$D$20,3,FALSE)="EVET",'GİDER AYARLARI'!$B$7,0),0))</f>
      </c>
      <c r="N47" s="3"/>
      <c r="O47" s="13">
        <f>IF(OR(F47="",I47=""),"",IFERROR(IF(VLOOKUP(E47,'ALIM AYARLARI'!$A$4:$D$20,2,FALSE)="EVET",F47*'GİDER AYARLARI'!$B$8*I47/30,0),0))</f>
      </c>
      <c r="P47" s="14">
        <f>IF(F47="","",SUM(J47:O47))</f>
      </c>
      <c r="Q47" s="14">
        <f>IF(F47="","",F47+P47)</f>
      </c>
      <c r="R47" s="2"/>
      <c r="S47" s="2"/>
      <c r="T47" s="3"/>
      <c r="U47" s="14">
        <f>IF(OR(F47="",T47=""),"",T47-F47)</f>
      </c>
      <c r="V47" s="14">
        <f>IF(T47="","",T47-Q47)</f>
      </c>
      <c r="W47" s="15">
        <f>IFERROR(V47/T47,"")</f>
      </c>
      <c r="X47" s="12">
        <f>IF(F47="","",IF(H47="","STOKTA","SATILDI"))</f>
      </c>
      <c r="Y47" s="2"/>
      <c r="Z47" s="3"/>
      <c r="AA47" s="3"/>
      <c r="AB47" s="3"/>
      <c r="AC47" s="14">
        <f>IF(F47="","",SUM(Z47:AB47))</f>
      </c>
      <c r="AD47" s="14">
        <f>IF(T47="","",V47+AC47)</f>
      </c>
    </row>
    <row r="48" spans="1:30">
      <c r="A48">
        <f>IF(D48="","",ROW()-3)</f>
      </c>
      <c r="B48" s="2"/>
      <c r="C48" s="18"/>
      <c r="D48" s="2"/>
      <c r="E48" s="2"/>
      <c r="F48" s="3"/>
      <c r="G48" s="16"/>
      <c r="H48" s="16"/>
      <c r="I48" s="17">
        <f>IF(G48="","",IF(H48="",TODAY()-G48,H48-G48))</f>
      </c>
      <c r="J48" s="13">
        <f>IF(F48="","",IFERROR(IF(VLOOKUP(E48,'ALIM AYARLARI'!$A$4:$D$20,3,FALSE)="EVET",'GİDER AYARLARI'!$B$4,0),0))</f>
      </c>
      <c r="K48" s="13">
        <f>IF(F48="","",'GİDER AYARLARI'!$B$5)</f>
      </c>
      <c r="L48" s="13">
        <f>IF(F48="","",'GİDER AYARLARI'!$B$6)</f>
      </c>
      <c r="M48" s="13">
        <f>IF(F48="","",IFERROR(IF(VLOOKUP(E48,'ALIM AYARLARI'!$A$4:$D$20,3,FALSE)="EVET",'GİDER AYARLARI'!$B$7,0),0))</f>
      </c>
      <c r="N48" s="3"/>
      <c r="O48" s="13">
        <f>IF(OR(F48="",I48=""),"",IFERROR(IF(VLOOKUP(E48,'ALIM AYARLARI'!$A$4:$D$20,2,FALSE)="EVET",F48*'GİDER AYARLARI'!$B$8*I48/30,0),0))</f>
      </c>
      <c r="P48" s="14">
        <f>IF(F48="","",SUM(J48:O48))</f>
      </c>
      <c r="Q48" s="14">
        <f>IF(F48="","",F48+P48)</f>
      </c>
      <c r="R48" s="2"/>
      <c r="S48" s="2"/>
      <c r="T48" s="3"/>
      <c r="U48" s="14">
        <f>IF(OR(F48="",T48=""),"",T48-F48)</f>
      </c>
      <c r="V48" s="14">
        <f>IF(T48="","",T48-Q48)</f>
      </c>
      <c r="W48" s="15">
        <f>IFERROR(V48/T48,"")</f>
      </c>
      <c r="X48" s="12">
        <f>IF(F48="","",IF(H48="","STOKTA","SATILDI"))</f>
      </c>
      <c r="Y48" s="2"/>
      <c r="Z48" s="3"/>
      <c r="AA48" s="3"/>
      <c r="AB48" s="3"/>
      <c r="AC48" s="14">
        <f>IF(F48="","",SUM(Z48:AB48))</f>
      </c>
      <c r="AD48" s="14">
        <f>IF(T48="","",V48+AC48)</f>
      </c>
    </row>
    <row r="49" spans="1:30">
      <c r="A49">
        <f>IF(D49="","",ROW()-3)</f>
      </c>
      <c r="B49" s="2"/>
      <c r="C49" s="18"/>
      <c r="D49" s="2"/>
      <c r="E49" s="2"/>
      <c r="F49" s="3"/>
      <c r="G49" s="16"/>
      <c r="H49" s="16"/>
      <c r="I49" s="17">
        <f>IF(G49="","",IF(H49="",TODAY()-G49,H49-G49))</f>
      </c>
      <c r="J49" s="13">
        <f>IF(F49="","",IFERROR(IF(VLOOKUP(E49,'ALIM AYARLARI'!$A$4:$D$20,3,FALSE)="EVET",'GİDER AYARLARI'!$B$4,0),0))</f>
      </c>
      <c r="K49" s="13">
        <f>IF(F49="","",'GİDER AYARLARI'!$B$5)</f>
      </c>
      <c r="L49" s="13">
        <f>IF(F49="","",'GİDER AYARLARI'!$B$6)</f>
      </c>
      <c r="M49" s="13">
        <f>IF(F49="","",IFERROR(IF(VLOOKUP(E49,'ALIM AYARLARI'!$A$4:$D$20,3,FALSE)="EVET",'GİDER AYARLARI'!$B$7,0),0))</f>
      </c>
      <c r="N49" s="3"/>
      <c r="O49" s="13">
        <f>IF(OR(F49="",I49=""),"",IFERROR(IF(VLOOKUP(E49,'ALIM AYARLARI'!$A$4:$D$20,2,FALSE)="EVET",F49*'GİDER AYARLARI'!$B$8*I49/30,0),0))</f>
      </c>
      <c r="P49" s="14">
        <f>IF(F49="","",SUM(J49:O49))</f>
      </c>
      <c r="Q49" s="14">
        <f>IF(F49="","",F49+P49)</f>
      </c>
      <c r="R49" s="2"/>
      <c r="S49" s="2"/>
      <c r="T49" s="3"/>
      <c r="U49" s="14">
        <f>IF(OR(F49="",T49=""),"",T49-F49)</f>
      </c>
      <c r="V49" s="14">
        <f>IF(T49="","",T49-Q49)</f>
      </c>
      <c r="W49" s="15">
        <f>IFERROR(V49/T49,"")</f>
      </c>
      <c r="X49" s="12">
        <f>IF(F49="","",IF(H49="","STOKTA","SATILDI"))</f>
      </c>
      <c r="Y49" s="2"/>
      <c r="Z49" s="3"/>
      <c r="AA49" s="3"/>
      <c r="AB49" s="3"/>
      <c r="AC49" s="14">
        <f>IF(F49="","",SUM(Z49:AB49))</f>
      </c>
      <c r="AD49" s="14">
        <f>IF(T49="","",V49+AC49)</f>
      </c>
    </row>
    <row r="50" spans="1:30">
      <c r="A50">
        <f>IF(D50="","",ROW()-3)</f>
      </c>
      <c r="B50" s="2"/>
      <c r="C50" s="18"/>
      <c r="D50" s="2"/>
      <c r="E50" s="2"/>
      <c r="F50" s="3"/>
      <c r="G50" s="16"/>
      <c r="H50" s="16"/>
      <c r="I50" s="17">
        <f>IF(G50="","",IF(H50="",TODAY()-G50,H50-G50))</f>
      </c>
      <c r="J50" s="13">
        <f>IF(F50="","",IFERROR(IF(VLOOKUP(E50,'ALIM AYARLARI'!$A$4:$D$20,3,FALSE)="EVET",'GİDER AYARLARI'!$B$4,0),0))</f>
      </c>
      <c r="K50" s="13">
        <f>IF(F50="","",'GİDER AYARLARI'!$B$5)</f>
      </c>
      <c r="L50" s="13">
        <f>IF(F50="","",'GİDER AYARLARI'!$B$6)</f>
      </c>
      <c r="M50" s="13">
        <f>IF(F50="","",IFERROR(IF(VLOOKUP(E50,'ALIM AYARLARI'!$A$4:$D$20,3,FALSE)="EVET",'GİDER AYARLARI'!$B$7,0),0))</f>
      </c>
      <c r="N50" s="3"/>
      <c r="O50" s="13">
        <f>IF(OR(F50="",I50=""),"",IFERROR(IF(VLOOKUP(E50,'ALIM AYARLARI'!$A$4:$D$20,2,FALSE)="EVET",F50*'GİDER AYARLARI'!$B$8*I50/30,0),0))</f>
      </c>
      <c r="P50" s="14">
        <f>IF(F50="","",SUM(J50:O50))</f>
      </c>
      <c r="Q50" s="14">
        <f>IF(F50="","",F50+P50)</f>
      </c>
      <c r="R50" s="2"/>
      <c r="S50" s="2"/>
      <c r="T50" s="3"/>
      <c r="U50" s="14">
        <f>IF(OR(F50="",T50=""),"",T50-F50)</f>
      </c>
      <c r="V50" s="14">
        <f>IF(T50="","",T50-Q50)</f>
      </c>
      <c r="W50" s="15">
        <f>IFERROR(V50/T50,"")</f>
      </c>
      <c r="X50" s="12">
        <f>IF(F50="","",IF(H50="","STOKTA","SATILDI"))</f>
      </c>
      <c r="Y50" s="2"/>
      <c r="Z50" s="3"/>
      <c r="AA50" s="3"/>
      <c r="AB50" s="3"/>
      <c r="AC50" s="14">
        <f>IF(F50="","",SUM(Z50:AB50))</f>
      </c>
      <c r="AD50" s="14">
        <f>IF(T50="","",V50+AC50)</f>
      </c>
    </row>
    <row r="51" spans="1:30">
      <c r="A51">
        <f>IF(D51="","",ROW()-3)</f>
      </c>
      <c r="B51" s="2"/>
      <c r="C51" s="18"/>
      <c r="D51" s="2"/>
      <c r="E51" s="2"/>
      <c r="F51" s="3"/>
      <c r="G51" s="16"/>
      <c r="H51" s="16"/>
      <c r="I51" s="17">
        <f>IF(G51="","",IF(H51="",TODAY()-G51,H51-G51))</f>
      </c>
      <c r="J51" s="13">
        <f>IF(F51="","",IFERROR(IF(VLOOKUP(E51,'ALIM AYARLARI'!$A$4:$D$20,3,FALSE)="EVET",'GİDER AYARLARI'!$B$4,0),0))</f>
      </c>
      <c r="K51" s="13">
        <f>IF(F51="","",'GİDER AYARLARI'!$B$5)</f>
      </c>
      <c r="L51" s="13">
        <f>IF(F51="","",'GİDER AYARLARI'!$B$6)</f>
      </c>
      <c r="M51" s="13">
        <f>IF(F51="","",IFERROR(IF(VLOOKUP(E51,'ALIM AYARLARI'!$A$4:$D$20,3,FALSE)="EVET",'GİDER AYARLARI'!$B$7,0),0))</f>
      </c>
      <c r="N51" s="3"/>
      <c r="O51" s="13">
        <f>IF(OR(F51="",I51=""),"",IFERROR(IF(VLOOKUP(E51,'ALIM AYARLARI'!$A$4:$D$20,2,FALSE)="EVET",F51*'GİDER AYARLARI'!$B$8*I51/30,0),0))</f>
      </c>
      <c r="P51" s="14">
        <f>IF(F51="","",SUM(J51:O51))</f>
      </c>
      <c r="Q51" s="14">
        <f>IF(F51="","",F51+P51)</f>
      </c>
      <c r="R51" s="2"/>
      <c r="S51" s="2"/>
      <c r="T51" s="3"/>
      <c r="U51" s="14">
        <f>IF(OR(F51="",T51=""),"",T51-F51)</f>
      </c>
      <c r="V51" s="14">
        <f>IF(T51="","",T51-Q51)</f>
      </c>
      <c r="W51" s="15">
        <f>IFERROR(V51/T51,"")</f>
      </c>
      <c r="X51" s="12">
        <f>IF(F51="","",IF(H51="","STOKTA","SATILDI"))</f>
      </c>
      <c r="Y51" s="2"/>
      <c r="Z51" s="3"/>
      <c r="AA51" s="3"/>
      <c r="AB51" s="3"/>
      <c r="AC51" s="14">
        <f>IF(F51="","",SUM(Z51:AB51))</f>
      </c>
      <c r="AD51" s="14">
        <f>IF(T51="","",V51+AC51)</f>
      </c>
    </row>
    <row r="52" spans="1:30">
      <c r="A52">
        <f>IF(D52="","",ROW()-3)</f>
      </c>
      <c r="B52" s="2"/>
      <c r="C52" s="18"/>
      <c r="D52" s="2"/>
      <c r="E52" s="2"/>
      <c r="F52" s="3"/>
      <c r="G52" s="16"/>
      <c r="H52" s="16"/>
      <c r="I52" s="17">
        <f>IF(G52="","",IF(H52="",TODAY()-G52,H52-G52))</f>
      </c>
      <c r="J52" s="13">
        <f>IF(F52="","",IFERROR(IF(VLOOKUP(E52,'ALIM AYARLARI'!$A$4:$D$20,3,FALSE)="EVET",'GİDER AYARLARI'!$B$4,0),0))</f>
      </c>
      <c r="K52" s="13">
        <f>IF(F52="","",'GİDER AYARLARI'!$B$5)</f>
      </c>
      <c r="L52" s="13">
        <f>IF(F52="","",'GİDER AYARLARI'!$B$6)</f>
      </c>
      <c r="M52" s="13">
        <f>IF(F52="","",IFERROR(IF(VLOOKUP(E52,'ALIM AYARLARI'!$A$4:$D$20,3,FALSE)="EVET",'GİDER AYARLARI'!$B$7,0),0))</f>
      </c>
      <c r="N52" s="3"/>
      <c r="O52" s="13">
        <f>IF(OR(F52="",I52=""),"",IFERROR(IF(VLOOKUP(E52,'ALIM AYARLARI'!$A$4:$D$20,2,FALSE)="EVET",F52*'GİDER AYARLARI'!$B$8*I52/30,0),0))</f>
      </c>
      <c r="P52" s="14">
        <f>IF(F52="","",SUM(J52:O52))</f>
      </c>
      <c r="Q52" s="14">
        <f>IF(F52="","",F52+P52)</f>
      </c>
      <c r="R52" s="2"/>
      <c r="S52" s="2"/>
      <c r="T52" s="3"/>
      <c r="U52" s="14">
        <f>IF(OR(F52="",T52=""),"",T52-F52)</f>
      </c>
      <c r="V52" s="14">
        <f>IF(T52="","",T52-Q52)</f>
      </c>
      <c r="W52" s="15">
        <f>IFERROR(V52/T52,"")</f>
      </c>
      <c r="X52" s="12">
        <f>IF(F52="","",IF(H52="","STOKTA","SATILDI"))</f>
      </c>
      <c r="Y52" s="2"/>
      <c r="Z52" s="3"/>
      <c r="AA52" s="3"/>
      <c r="AB52" s="3"/>
      <c r="AC52" s="14">
        <f>IF(F52="","",SUM(Z52:AB52))</f>
      </c>
      <c r="AD52" s="14">
        <f>IF(T52="","",V52+AC52)</f>
      </c>
    </row>
    <row r="53" spans="1:30">
      <c r="A53">
        <f>IF(D53="","",ROW()-3)</f>
      </c>
      <c r="B53" s="2"/>
      <c r="C53" s="18"/>
      <c r="D53" s="2"/>
      <c r="E53" s="2"/>
      <c r="F53" s="3"/>
      <c r="G53" s="16"/>
      <c r="H53" s="16"/>
      <c r="I53" s="17">
        <f>IF(G53="","",IF(H53="",TODAY()-G53,H53-G53))</f>
      </c>
      <c r="J53" s="13">
        <f>IF(F53="","",IFERROR(IF(VLOOKUP(E53,'ALIM AYARLARI'!$A$4:$D$20,3,FALSE)="EVET",'GİDER AYARLARI'!$B$4,0),0))</f>
      </c>
      <c r="K53" s="13">
        <f>IF(F53="","",'GİDER AYARLARI'!$B$5)</f>
      </c>
      <c r="L53" s="13">
        <f>IF(F53="","",'GİDER AYARLARI'!$B$6)</f>
      </c>
      <c r="M53" s="13">
        <f>IF(F53="","",IFERROR(IF(VLOOKUP(E53,'ALIM AYARLARI'!$A$4:$D$20,3,FALSE)="EVET",'GİDER AYARLARI'!$B$7,0),0))</f>
      </c>
      <c r="N53" s="3"/>
      <c r="O53" s="13">
        <f>IF(OR(F53="",I53=""),"",IFERROR(IF(VLOOKUP(E53,'ALIM AYARLARI'!$A$4:$D$20,2,FALSE)="EVET",F53*'GİDER AYARLARI'!$B$8*I53/30,0),0))</f>
      </c>
      <c r="P53" s="14">
        <f>IF(F53="","",SUM(J53:O53))</f>
      </c>
      <c r="Q53" s="14">
        <f>IF(F53="","",F53+P53)</f>
      </c>
      <c r="R53" s="2"/>
      <c r="S53" s="2"/>
      <c r="T53" s="3"/>
      <c r="U53" s="14">
        <f>IF(OR(F53="",T53=""),"",T53-F53)</f>
      </c>
      <c r="V53" s="14">
        <f>IF(T53="","",T53-Q53)</f>
      </c>
      <c r="W53" s="15">
        <f>IFERROR(V53/T53,"")</f>
      </c>
      <c r="X53" s="12">
        <f>IF(F53="","",IF(H53="","STOKTA","SATILDI"))</f>
      </c>
      <c r="Y53" s="2"/>
      <c r="Z53" s="3"/>
      <c r="AA53" s="3"/>
      <c r="AB53" s="3"/>
      <c r="AC53" s="14">
        <f>IF(F53="","",SUM(Z53:AB53))</f>
      </c>
      <c r="AD53" s="14">
        <f>IF(T53="","",V53+AC53)</f>
      </c>
    </row>
    <row r="54" spans="1:30">
      <c r="A54">
        <f>IF(D54="","",ROW()-3)</f>
      </c>
      <c r="B54" s="2"/>
      <c r="C54" s="18"/>
      <c r="D54" s="2"/>
      <c r="E54" s="2"/>
      <c r="F54" s="3"/>
      <c r="G54" s="16"/>
      <c r="H54" s="16"/>
      <c r="I54" s="17">
        <f>IF(G54="","",IF(H54="",TODAY()-G54,H54-G54))</f>
      </c>
      <c r="J54" s="13">
        <f>IF(F54="","",IFERROR(IF(VLOOKUP(E54,'ALIM AYARLARI'!$A$4:$D$20,3,FALSE)="EVET",'GİDER AYARLARI'!$B$4,0),0))</f>
      </c>
      <c r="K54" s="13">
        <f>IF(F54="","",'GİDER AYARLARI'!$B$5)</f>
      </c>
      <c r="L54" s="13">
        <f>IF(F54="","",'GİDER AYARLARI'!$B$6)</f>
      </c>
      <c r="M54" s="13">
        <f>IF(F54="","",IFERROR(IF(VLOOKUP(E54,'ALIM AYARLARI'!$A$4:$D$20,3,FALSE)="EVET",'GİDER AYARLARI'!$B$7,0),0))</f>
      </c>
      <c r="N54" s="3"/>
      <c r="O54" s="13">
        <f>IF(OR(F54="",I54=""),"",IFERROR(IF(VLOOKUP(E54,'ALIM AYARLARI'!$A$4:$D$20,2,FALSE)="EVET",F54*'GİDER AYARLARI'!$B$8*I54/30,0),0))</f>
      </c>
      <c r="P54" s="14">
        <f>IF(F54="","",SUM(J54:O54))</f>
      </c>
      <c r="Q54" s="14">
        <f>IF(F54="","",F54+P54)</f>
      </c>
      <c r="R54" s="2"/>
      <c r="S54" s="2"/>
      <c r="T54" s="3"/>
      <c r="U54" s="14">
        <f>IF(OR(F54="",T54=""),"",T54-F54)</f>
      </c>
      <c r="V54" s="14">
        <f>IF(T54="","",T54-Q54)</f>
      </c>
      <c r="W54" s="15">
        <f>IFERROR(V54/T54,"")</f>
      </c>
      <c r="X54" s="12">
        <f>IF(F54="","",IF(H54="","STOKTA","SATILDI"))</f>
      </c>
      <c r="Y54" s="2"/>
      <c r="Z54" s="3"/>
      <c r="AA54" s="3"/>
      <c r="AB54" s="3"/>
      <c r="AC54" s="14">
        <f>IF(F54="","",SUM(Z54:AB54))</f>
      </c>
      <c r="AD54" s="14">
        <f>IF(T54="","",V54+AC54)</f>
      </c>
    </row>
    <row r="55" spans="1:30">
      <c r="A55">
        <f>IF(D55="","",ROW()-3)</f>
      </c>
      <c r="B55" s="2"/>
      <c r="C55" s="18"/>
      <c r="D55" s="2"/>
      <c r="E55" s="2"/>
      <c r="F55" s="3"/>
      <c r="G55" s="16"/>
      <c r="H55" s="16"/>
      <c r="I55" s="17">
        <f>IF(G55="","",IF(H55="",TODAY()-G55,H55-G55))</f>
      </c>
      <c r="J55" s="13">
        <f>IF(F55="","",IFERROR(IF(VLOOKUP(E55,'ALIM AYARLARI'!$A$4:$D$20,3,FALSE)="EVET",'GİDER AYARLARI'!$B$4,0),0))</f>
      </c>
      <c r="K55" s="13">
        <f>IF(F55="","",'GİDER AYARLARI'!$B$5)</f>
      </c>
      <c r="L55" s="13">
        <f>IF(F55="","",'GİDER AYARLARI'!$B$6)</f>
      </c>
      <c r="M55" s="13">
        <f>IF(F55="","",IFERROR(IF(VLOOKUP(E55,'ALIM AYARLARI'!$A$4:$D$20,3,FALSE)="EVET",'GİDER AYARLARI'!$B$7,0),0))</f>
      </c>
      <c r="N55" s="3"/>
      <c r="O55" s="13">
        <f>IF(OR(F55="",I55=""),"",IFERROR(IF(VLOOKUP(E55,'ALIM AYARLARI'!$A$4:$D$20,2,FALSE)="EVET",F55*'GİDER AYARLARI'!$B$8*I55/30,0),0))</f>
      </c>
      <c r="P55" s="14">
        <f>IF(F55="","",SUM(J55:O55))</f>
      </c>
      <c r="Q55" s="14">
        <f>IF(F55="","",F55+P55)</f>
      </c>
      <c r="R55" s="2"/>
      <c r="S55" s="2"/>
      <c r="T55" s="3"/>
      <c r="U55" s="14">
        <f>IF(OR(F55="",T55=""),"",T55-F55)</f>
      </c>
      <c r="V55" s="14">
        <f>IF(T55="","",T55-Q55)</f>
      </c>
      <c r="W55" s="15">
        <f>IFERROR(V55/T55,"")</f>
      </c>
      <c r="X55" s="12">
        <f>IF(F55="","",IF(H55="","STOKTA","SATILDI"))</f>
      </c>
      <c r="Y55" s="2"/>
      <c r="Z55" s="3"/>
      <c r="AA55" s="3"/>
      <c r="AB55" s="3"/>
      <c r="AC55" s="14">
        <f>IF(F55="","",SUM(Z55:AB55))</f>
      </c>
      <c r="AD55" s="14">
        <f>IF(T55="","",V55+AC55)</f>
      </c>
    </row>
    <row r="56" spans="1:30">
      <c r="A56">
        <f>IF(D56="","",ROW()-3)</f>
      </c>
      <c r="B56" s="2"/>
      <c r="C56" s="18"/>
      <c r="D56" s="2"/>
      <c r="E56" s="2"/>
      <c r="F56" s="3"/>
      <c r="G56" s="16"/>
      <c r="H56" s="16"/>
      <c r="I56" s="17">
        <f>IF(G56="","",IF(H56="",TODAY()-G56,H56-G56))</f>
      </c>
      <c r="J56" s="13">
        <f>IF(F56="","",IFERROR(IF(VLOOKUP(E56,'ALIM AYARLARI'!$A$4:$D$20,3,FALSE)="EVET",'GİDER AYARLARI'!$B$4,0),0))</f>
      </c>
      <c r="K56" s="13">
        <f>IF(F56="","",'GİDER AYARLARI'!$B$5)</f>
      </c>
      <c r="L56" s="13">
        <f>IF(F56="","",'GİDER AYARLARI'!$B$6)</f>
      </c>
      <c r="M56" s="13">
        <f>IF(F56="","",IFERROR(IF(VLOOKUP(E56,'ALIM AYARLARI'!$A$4:$D$20,3,FALSE)="EVET",'GİDER AYARLARI'!$B$7,0),0))</f>
      </c>
      <c r="N56" s="3"/>
      <c r="O56" s="13">
        <f>IF(OR(F56="",I56=""),"",IFERROR(IF(VLOOKUP(E56,'ALIM AYARLARI'!$A$4:$D$20,2,FALSE)="EVET",F56*'GİDER AYARLARI'!$B$8*I56/30,0),0))</f>
      </c>
      <c r="P56" s="14">
        <f>IF(F56="","",SUM(J56:O56))</f>
      </c>
      <c r="Q56" s="14">
        <f>IF(F56="","",F56+P56)</f>
      </c>
      <c r="R56" s="2"/>
      <c r="S56" s="2"/>
      <c r="T56" s="3"/>
      <c r="U56" s="14">
        <f>IF(OR(F56="",T56=""),"",T56-F56)</f>
      </c>
      <c r="V56" s="14">
        <f>IF(T56="","",T56-Q56)</f>
      </c>
      <c r="W56" s="15">
        <f>IFERROR(V56/T56,"")</f>
      </c>
      <c r="X56" s="12">
        <f>IF(F56="","",IF(H56="","STOKTA","SATILDI"))</f>
      </c>
      <c r="Y56" s="2"/>
      <c r="Z56" s="3"/>
      <c r="AA56" s="3"/>
      <c r="AB56" s="3"/>
      <c r="AC56" s="14">
        <f>IF(F56="","",SUM(Z56:AB56))</f>
      </c>
      <c r="AD56" s="14">
        <f>IF(T56="","",V56+AC56)</f>
      </c>
    </row>
    <row r="57" spans="1:30">
      <c r="A57">
        <f>IF(D57="","",ROW()-3)</f>
      </c>
      <c r="B57" s="2"/>
      <c r="C57" s="18"/>
      <c r="D57" s="2"/>
      <c r="E57" s="2"/>
      <c r="F57" s="3"/>
      <c r="G57" s="16"/>
      <c r="H57" s="16"/>
      <c r="I57" s="17">
        <f>IF(G57="","",IF(H57="",TODAY()-G57,H57-G57))</f>
      </c>
      <c r="J57" s="13">
        <f>IF(F57="","",IFERROR(IF(VLOOKUP(E57,'ALIM AYARLARI'!$A$4:$D$20,3,FALSE)="EVET",'GİDER AYARLARI'!$B$4,0),0))</f>
      </c>
      <c r="K57" s="13">
        <f>IF(F57="","",'GİDER AYARLARI'!$B$5)</f>
      </c>
      <c r="L57" s="13">
        <f>IF(F57="","",'GİDER AYARLARI'!$B$6)</f>
      </c>
      <c r="M57" s="13">
        <f>IF(F57="","",IFERROR(IF(VLOOKUP(E57,'ALIM AYARLARI'!$A$4:$D$20,3,FALSE)="EVET",'GİDER AYARLARI'!$B$7,0),0))</f>
      </c>
      <c r="N57" s="3"/>
      <c r="O57" s="13">
        <f>IF(OR(F57="",I57=""),"",IFERROR(IF(VLOOKUP(E57,'ALIM AYARLARI'!$A$4:$D$20,2,FALSE)="EVET",F57*'GİDER AYARLARI'!$B$8*I57/30,0),0))</f>
      </c>
      <c r="P57" s="14">
        <f>IF(F57="","",SUM(J57:O57))</f>
      </c>
      <c r="Q57" s="14">
        <f>IF(F57="","",F57+P57)</f>
      </c>
      <c r="R57" s="2"/>
      <c r="S57" s="2"/>
      <c r="T57" s="3"/>
      <c r="U57" s="14">
        <f>IF(OR(F57="",T57=""),"",T57-F57)</f>
      </c>
      <c r="V57" s="14">
        <f>IF(T57="","",T57-Q57)</f>
      </c>
      <c r="W57" s="15">
        <f>IFERROR(V57/T57,"")</f>
      </c>
      <c r="X57" s="12">
        <f>IF(F57="","",IF(H57="","STOKTA","SATILDI"))</f>
      </c>
      <c r="Y57" s="2"/>
      <c r="Z57" s="3"/>
      <c r="AA57" s="3"/>
      <c r="AB57" s="3"/>
      <c r="AC57" s="14">
        <f>IF(F57="","",SUM(Z57:AB57))</f>
      </c>
      <c r="AD57" s="14">
        <f>IF(T57="","",V57+AC57)</f>
      </c>
    </row>
    <row r="58" spans="1:30">
      <c r="A58">
        <f>IF(D58="","",ROW()-3)</f>
      </c>
      <c r="B58" s="2"/>
      <c r="C58" s="18"/>
      <c r="D58" s="2"/>
      <c r="E58" s="2"/>
      <c r="F58" s="3"/>
      <c r="G58" s="16"/>
      <c r="H58" s="16"/>
      <c r="I58" s="17">
        <f>IF(G58="","",IF(H58="",TODAY()-G58,H58-G58))</f>
      </c>
      <c r="J58" s="13">
        <f>IF(F58="","",IFERROR(IF(VLOOKUP(E58,'ALIM AYARLARI'!$A$4:$D$20,3,FALSE)="EVET",'GİDER AYARLARI'!$B$4,0),0))</f>
      </c>
      <c r="K58" s="13">
        <f>IF(F58="","",'GİDER AYARLARI'!$B$5)</f>
      </c>
      <c r="L58" s="13">
        <f>IF(F58="","",'GİDER AYARLARI'!$B$6)</f>
      </c>
      <c r="M58" s="13">
        <f>IF(F58="","",IFERROR(IF(VLOOKUP(E58,'ALIM AYARLARI'!$A$4:$D$20,3,FALSE)="EVET",'GİDER AYARLARI'!$B$7,0),0))</f>
      </c>
      <c r="N58" s="3"/>
      <c r="O58" s="13">
        <f>IF(OR(F58="",I58=""),"",IFERROR(IF(VLOOKUP(E58,'ALIM AYARLARI'!$A$4:$D$20,2,FALSE)="EVET",F58*'GİDER AYARLARI'!$B$8*I58/30,0),0))</f>
      </c>
      <c r="P58" s="14">
        <f>IF(F58="","",SUM(J58:O58))</f>
      </c>
      <c r="Q58" s="14">
        <f>IF(F58="","",F58+P58)</f>
      </c>
      <c r="R58" s="2"/>
      <c r="S58" s="2"/>
      <c r="T58" s="3"/>
      <c r="U58" s="14">
        <f>IF(OR(F58="",T58=""),"",T58-F58)</f>
      </c>
      <c r="V58" s="14">
        <f>IF(T58="","",T58-Q58)</f>
      </c>
      <c r="W58" s="15">
        <f>IFERROR(V58/T58,"")</f>
      </c>
      <c r="X58" s="12">
        <f>IF(F58="","",IF(H58="","STOKTA","SATILDI"))</f>
      </c>
      <c r="Y58" s="2"/>
      <c r="Z58" s="3"/>
      <c r="AA58" s="3"/>
      <c r="AB58" s="3"/>
      <c r="AC58" s="14">
        <f>IF(F58="","",SUM(Z58:AB58))</f>
      </c>
      <c r="AD58" s="14">
        <f>IF(T58="","",V58+AC58)</f>
      </c>
    </row>
    <row r="59" spans="1:30">
      <c r="A59">
        <f>IF(D59="","",ROW()-3)</f>
      </c>
      <c r="B59" s="2"/>
      <c r="C59" s="18"/>
      <c r="D59" s="2"/>
      <c r="E59" s="2"/>
      <c r="F59" s="3"/>
      <c r="G59" s="16"/>
      <c r="H59" s="16"/>
      <c r="I59" s="17">
        <f>IF(G59="","",IF(H59="",TODAY()-G59,H59-G59))</f>
      </c>
      <c r="J59" s="13">
        <f>IF(F59="","",IFERROR(IF(VLOOKUP(E59,'ALIM AYARLARI'!$A$4:$D$20,3,FALSE)="EVET",'GİDER AYARLARI'!$B$4,0),0))</f>
      </c>
      <c r="K59" s="13">
        <f>IF(F59="","",'GİDER AYARLARI'!$B$5)</f>
      </c>
      <c r="L59" s="13">
        <f>IF(F59="","",'GİDER AYARLARI'!$B$6)</f>
      </c>
      <c r="M59" s="13">
        <f>IF(F59="","",IFERROR(IF(VLOOKUP(E59,'ALIM AYARLARI'!$A$4:$D$20,3,FALSE)="EVET",'GİDER AYARLARI'!$B$7,0),0))</f>
      </c>
      <c r="N59" s="3"/>
      <c r="O59" s="13">
        <f>IF(OR(F59="",I59=""),"",IFERROR(IF(VLOOKUP(E59,'ALIM AYARLARI'!$A$4:$D$20,2,FALSE)="EVET",F59*'GİDER AYARLARI'!$B$8*I59/30,0),0))</f>
      </c>
      <c r="P59" s="14">
        <f>IF(F59="","",SUM(J59:O59))</f>
      </c>
      <c r="Q59" s="14">
        <f>IF(F59="","",F59+P59)</f>
      </c>
      <c r="R59" s="2"/>
      <c r="S59" s="2"/>
      <c r="T59" s="3"/>
      <c r="U59" s="14">
        <f>IF(OR(F59="",T59=""),"",T59-F59)</f>
      </c>
      <c r="V59" s="14">
        <f>IF(T59="","",T59-Q59)</f>
      </c>
      <c r="W59" s="15">
        <f>IFERROR(V59/T59,"")</f>
      </c>
      <c r="X59" s="12">
        <f>IF(F59="","",IF(H59="","STOKTA","SATILDI"))</f>
      </c>
      <c r="Y59" s="2"/>
      <c r="Z59" s="3"/>
      <c r="AA59" s="3"/>
      <c r="AB59" s="3"/>
      <c r="AC59" s="14">
        <f>IF(F59="","",SUM(Z59:AB59))</f>
      </c>
      <c r="AD59" s="14">
        <f>IF(T59="","",V59+AC59)</f>
      </c>
    </row>
    <row r="60" spans="1:30">
      <c r="A60">
        <f>IF(D60="","",ROW()-3)</f>
      </c>
      <c r="B60" s="2"/>
      <c r="C60" s="18"/>
      <c r="D60" s="2"/>
      <c r="E60" s="2"/>
      <c r="F60" s="3"/>
      <c r="G60" s="16"/>
      <c r="H60" s="16"/>
      <c r="I60" s="17">
        <f>IF(G60="","",IF(H60="",TODAY()-G60,H60-G60))</f>
      </c>
      <c r="J60" s="13">
        <f>IF(F60="","",IFERROR(IF(VLOOKUP(E60,'ALIM AYARLARI'!$A$4:$D$20,3,FALSE)="EVET",'GİDER AYARLARI'!$B$4,0),0))</f>
      </c>
      <c r="K60" s="13">
        <f>IF(F60="","",'GİDER AYARLARI'!$B$5)</f>
      </c>
      <c r="L60" s="13">
        <f>IF(F60="","",'GİDER AYARLARI'!$B$6)</f>
      </c>
      <c r="M60" s="13">
        <f>IF(F60="","",IFERROR(IF(VLOOKUP(E60,'ALIM AYARLARI'!$A$4:$D$20,3,FALSE)="EVET",'GİDER AYARLARI'!$B$7,0),0))</f>
      </c>
      <c r="N60" s="3"/>
      <c r="O60" s="13">
        <f>IF(OR(F60="",I60=""),"",IFERROR(IF(VLOOKUP(E60,'ALIM AYARLARI'!$A$4:$D$20,2,FALSE)="EVET",F60*'GİDER AYARLARI'!$B$8*I60/30,0),0))</f>
      </c>
      <c r="P60" s="14">
        <f>IF(F60="","",SUM(J60:O60))</f>
      </c>
      <c r="Q60" s="14">
        <f>IF(F60="","",F60+P60)</f>
      </c>
      <c r="R60" s="2"/>
      <c r="S60" s="2"/>
      <c r="T60" s="3"/>
      <c r="U60" s="14">
        <f>IF(OR(F60="",T60=""),"",T60-F60)</f>
      </c>
      <c r="V60" s="14">
        <f>IF(T60="","",T60-Q60)</f>
      </c>
      <c r="W60" s="15">
        <f>IFERROR(V60/T60,"")</f>
      </c>
      <c r="X60" s="12">
        <f>IF(F60="","",IF(H60="","STOKTA","SATILDI"))</f>
      </c>
      <c r="Y60" s="2"/>
      <c r="Z60" s="3"/>
      <c r="AA60" s="3"/>
      <c r="AB60" s="3"/>
      <c r="AC60" s="14">
        <f>IF(F60="","",SUM(Z60:AB60))</f>
      </c>
      <c r="AD60" s="14">
        <f>IF(T60="","",V60+AC60)</f>
      </c>
    </row>
    <row r="61" spans="1:30">
      <c r="A61">
        <f>IF(D61="","",ROW()-3)</f>
      </c>
      <c r="B61" s="2"/>
      <c r="C61" s="18"/>
      <c r="D61" s="2"/>
      <c r="E61" s="2"/>
      <c r="F61" s="3"/>
      <c r="G61" s="16"/>
      <c r="H61" s="16"/>
      <c r="I61" s="17">
        <f>IF(G61="","",IF(H61="",TODAY()-G61,H61-G61))</f>
      </c>
      <c r="J61" s="13">
        <f>IF(F61="","",IFERROR(IF(VLOOKUP(E61,'ALIM AYARLARI'!$A$4:$D$20,3,FALSE)="EVET",'GİDER AYARLARI'!$B$4,0),0))</f>
      </c>
      <c r="K61" s="13">
        <f>IF(F61="","",'GİDER AYARLARI'!$B$5)</f>
      </c>
      <c r="L61" s="13">
        <f>IF(F61="","",'GİDER AYARLARI'!$B$6)</f>
      </c>
      <c r="M61" s="13">
        <f>IF(F61="","",IFERROR(IF(VLOOKUP(E61,'ALIM AYARLARI'!$A$4:$D$20,3,FALSE)="EVET",'GİDER AYARLARI'!$B$7,0),0))</f>
      </c>
      <c r="N61" s="3"/>
      <c r="O61" s="13">
        <f>IF(OR(F61="",I61=""),"",IFERROR(IF(VLOOKUP(E61,'ALIM AYARLARI'!$A$4:$D$20,2,FALSE)="EVET",F61*'GİDER AYARLARI'!$B$8*I61/30,0),0))</f>
      </c>
      <c r="P61" s="14">
        <f>IF(F61="","",SUM(J61:O61))</f>
      </c>
      <c r="Q61" s="14">
        <f>IF(F61="","",F61+P61)</f>
      </c>
      <c r="R61" s="2"/>
      <c r="S61" s="2"/>
      <c r="T61" s="3"/>
      <c r="U61" s="14">
        <f>IF(OR(F61="",T61=""),"",T61-F61)</f>
      </c>
      <c r="V61" s="14">
        <f>IF(T61="","",T61-Q61)</f>
      </c>
      <c r="W61" s="15">
        <f>IFERROR(V61/T61,"")</f>
      </c>
      <c r="X61" s="12">
        <f>IF(F61="","",IF(H61="","STOKTA","SATILDI"))</f>
      </c>
      <c r="Y61" s="2"/>
      <c r="Z61" s="3"/>
      <c r="AA61" s="3"/>
      <c r="AB61" s="3"/>
      <c r="AC61" s="14">
        <f>IF(F61="","",SUM(Z61:AB61))</f>
      </c>
      <c r="AD61" s="14">
        <f>IF(T61="","",V61+AC61)</f>
      </c>
    </row>
    <row r="62" spans="1:30">
      <c r="A62">
        <f>IF(D62="","",ROW()-3)</f>
      </c>
      <c r="B62" s="2"/>
      <c r="C62" s="18"/>
      <c r="D62" s="2"/>
      <c r="E62" s="2"/>
      <c r="F62" s="3"/>
      <c r="G62" s="16"/>
      <c r="H62" s="16"/>
      <c r="I62" s="17">
        <f>IF(G62="","",IF(H62="",TODAY()-G62,H62-G62))</f>
      </c>
      <c r="J62" s="13">
        <f>IF(F62="","",IFERROR(IF(VLOOKUP(E62,'ALIM AYARLARI'!$A$4:$D$20,3,FALSE)="EVET",'GİDER AYARLARI'!$B$4,0),0))</f>
      </c>
      <c r="K62" s="13">
        <f>IF(F62="","",'GİDER AYARLARI'!$B$5)</f>
      </c>
      <c r="L62" s="13">
        <f>IF(F62="","",'GİDER AYARLARI'!$B$6)</f>
      </c>
      <c r="M62" s="13">
        <f>IF(F62="","",IFERROR(IF(VLOOKUP(E62,'ALIM AYARLARI'!$A$4:$D$20,3,FALSE)="EVET",'GİDER AYARLARI'!$B$7,0),0))</f>
      </c>
      <c r="N62" s="3"/>
      <c r="O62" s="13">
        <f>IF(OR(F62="",I62=""),"",IFERROR(IF(VLOOKUP(E62,'ALIM AYARLARI'!$A$4:$D$20,2,FALSE)="EVET",F62*'GİDER AYARLARI'!$B$8*I62/30,0),0))</f>
      </c>
      <c r="P62" s="14">
        <f>IF(F62="","",SUM(J62:O62))</f>
      </c>
      <c r="Q62" s="14">
        <f>IF(F62="","",F62+P62)</f>
      </c>
      <c r="R62" s="2"/>
      <c r="S62" s="2"/>
      <c r="T62" s="3"/>
      <c r="U62" s="14">
        <f>IF(OR(F62="",T62=""),"",T62-F62)</f>
      </c>
      <c r="V62" s="14">
        <f>IF(T62="","",T62-Q62)</f>
      </c>
      <c r="W62" s="15">
        <f>IFERROR(V62/T62,"")</f>
      </c>
      <c r="X62" s="12">
        <f>IF(F62="","",IF(H62="","STOKTA","SATILDI"))</f>
      </c>
      <c r="Y62" s="2"/>
      <c r="Z62" s="3"/>
      <c r="AA62" s="3"/>
      <c r="AB62" s="3"/>
      <c r="AC62" s="14">
        <f>IF(F62="","",SUM(Z62:AB62))</f>
      </c>
      <c r="AD62" s="14">
        <f>IF(T62="","",V62+AC62)</f>
      </c>
    </row>
    <row r="63" spans="1:30">
      <c r="A63">
        <f>IF(D63="","",ROW()-3)</f>
      </c>
      <c r="B63" s="2"/>
      <c r="C63" s="18"/>
      <c r="D63" s="2"/>
      <c r="E63" s="2"/>
      <c r="F63" s="3"/>
      <c r="G63" s="16"/>
      <c r="H63" s="16"/>
      <c r="I63" s="17">
        <f>IF(G63="","",IF(H63="",TODAY()-G63,H63-G63))</f>
      </c>
      <c r="J63" s="13">
        <f>IF(F63="","",IFERROR(IF(VLOOKUP(E63,'ALIM AYARLARI'!$A$4:$D$20,3,FALSE)="EVET",'GİDER AYARLARI'!$B$4,0),0))</f>
      </c>
      <c r="K63" s="13">
        <f>IF(F63="","",'GİDER AYARLARI'!$B$5)</f>
      </c>
      <c r="L63" s="13">
        <f>IF(F63="","",'GİDER AYARLARI'!$B$6)</f>
      </c>
      <c r="M63" s="13">
        <f>IF(F63="","",IFERROR(IF(VLOOKUP(E63,'ALIM AYARLARI'!$A$4:$D$20,3,FALSE)="EVET",'GİDER AYARLARI'!$B$7,0),0))</f>
      </c>
      <c r="N63" s="3"/>
      <c r="O63" s="13">
        <f>IF(OR(F63="",I63=""),"",IFERROR(IF(VLOOKUP(E63,'ALIM AYARLARI'!$A$4:$D$20,2,FALSE)="EVET",F63*'GİDER AYARLARI'!$B$8*I63/30,0),0))</f>
      </c>
      <c r="P63" s="14">
        <f>IF(F63="","",SUM(J63:O63))</f>
      </c>
      <c r="Q63" s="14">
        <f>IF(F63="","",F63+P63)</f>
      </c>
      <c r="R63" s="2"/>
      <c r="S63" s="2"/>
      <c r="T63" s="3"/>
      <c r="U63" s="14">
        <f>IF(OR(F63="",T63=""),"",T63-F63)</f>
      </c>
      <c r="V63" s="14">
        <f>IF(T63="","",T63-Q63)</f>
      </c>
      <c r="W63" s="15">
        <f>IFERROR(V63/T63,"")</f>
      </c>
      <c r="X63" s="12">
        <f>IF(F63="","",IF(H63="","STOKTA","SATILDI"))</f>
      </c>
      <c r="Y63" s="2"/>
      <c r="Z63" s="3"/>
      <c r="AA63" s="3"/>
      <c r="AB63" s="3"/>
      <c r="AC63" s="14">
        <f>IF(F63="","",SUM(Z63:AB63))</f>
      </c>
      <c r="AD63" s="14">
        <f>IF(T63="","",V63+AC63)</f>
      </c>
    </row>
    <row r="64" spans="1:30">
      <c r="A64">
        <f>IF(D64="","",ROW()-3)</f>
      </c>
      <c r="B64" s="2"/>
      <c r="C64" s="18"/>
      <c r="D64" s="2"/>
      <c r="E64" s="2"/>
      <c r="F64" s="3"/>
      <c r="G64" s="16"/>
      <c r="H64" s="16"/>
      <c r="I64" s="17">
        <f>IF(G64="","",IF(H64="",TODAY()-G64,H64-G64))</f>
      </c>
      <c r="J64" s="13">
        <f>IF(F64="","",IFERROR(IF(VLOOKUP(E64,'ALIM AYARLARI'!$A$4:$D$20,3,FALSE)="EVET",'GİDER AYARLARI'!$B$4,0),0))</f>
      </c>
      <c r="K64" s="13">
        <f>IF(F64="","",'GİDER AYARLARI'!$B$5)</f>
      </c>
      <c r="L64" s="13">
        <f>IF(F64="","",'GİDER AYARLARI'!$B$6)</f>
      </c>
      <c r="M64" s="13">
        <f>IF(F64="","",IFERROR(IF(VLOOKUP(E64,'ALIM AYARLARI'!$A$4:$D$20,3,FALSE)="EVET",'GİDER AYARLARI'!$B$7,0),0))</f>
      </c>
      <c r="N64" s="3"/>
      <c r="O64" s="13">
        <f>IF(OR(F64="",I64=""),"",IFERROR(IF(VLOOKUP(E64,'ALIM AYARLARI'!$A$4:$D$20,2,FALSE)="EVET",F64*'GİDER AYARLARI'!$B$8*I64/30,0),0))</f>
      </c>
      <c r="P64" s="14">
        <f>IF(F64="","",SUM(J64:O64))</f>
      </c>
      <c r="Q64" s="14">
        <f>IF(F64="","",F64+P64)</f>
      </c>
      <c r="R64" s="2"/>
      <c r="S64" s="2"/>
      <c r="T64" s="3"/>
      <c r="U64" s="14">
        <f>IF(OR(F64="",T64=""),"",T64-F64)</f>
      </c>
      <c r="V64" s="14">
        <f>IF(T64="","",T64-Q64)</f>
      </c>
      <c r="W64" s="15">
        <f>IFERROR(V64/T64,"")</f>
      </c>
      <c r="X64" s="12">
        <f>IF(F64="","",IF(H64="","STOKTA","SATILDI"))</f>
      </c>
      <c r="Y64" s="2"/>
      <c r="Z64" s="3"/>
      <c r="AA64" s="3"/>
      <c r="AB64" s="3"/>
      <c r="AC64" s="14">
        <f>IF(F64="","",SUM(Z64:AB64))</f>
      </c>
      <c r="AD64" s="14">
        <f>IF(T64="","",V64+AC64)</f>
      </c>
    </row>
    <row r="65" spans="1:30">
      <c r="A65">
        <f>IF(D65="","",ROW()-3)</f>
      </c>
      <c r="B65" s="2"/>
      <c r="C65" s="18"/>
      <c r="D65" s="2"/>
      <c r="E65" s="2"/>
      <c r="F65" s="3"/>
      <c r="G65" s="16"/>
      <c r="H65" s="16"/>
      <c r="I65" s="17">
        <f>IF(G65="","",IF(H65="",TODAY()-G65,H65-G65))</f>
      </c>
      <c r="J65" s="13">
        <f>IF(F65="","",IFERROR(IF(VLOOKUP(E65,'ALIM AYARLARI'!$A$4:$D$20,3,FALSE)="EVET",'GİDER AYARLARI'!$B$4,0),0))</f>
      </c>
      <c r="K65" s="13">
        <f>IF(F65="","",'GİDER AYARLARI'!$B$5)</f>
      </c>
      <c r="L65" s="13">
        <f>IF(F65="","",'GİDER AYARLARI'!$B$6)</f>
      </c>
      <c r="M65" s="13">
        <f>IF(F65="","",IFERROR(IF(VLOOKUP(E65,'ALIM AYARLARI'!$A$4:$D$20,3,FALSE)="EVET",'GİDER AYARLARI'!$B$7,0),0))</f>
      </c>
      <c r="N65" s="3"/>
      <c r="O65" s="13">
        <f>IF(OR(F65="",I65=""),"",IFERROR(IF(VLOOKUP(E65,'ALIM AYARLARI'!$A$4:$D$20,2,FALSE)="EVET",F65*'GİDER AYARLARI'!$B$8*I65/30,0),0))</f>
      </c>
      <c r="P65" s="14">
        <f>IF(F65="","",SUM(J65:O65))</f>
      </c>
      <c r="Q65" s="14">
        <f>IF(F65="","",F65+P65)</f>
      </c>
      <c r="R65" s="2"/>
      <c r="S65" s="2"/>
      <c r="T65" s="3"/>
      <c r="U65" s="14">
        <f>IF(OR(F65="",T65=""),"",T65-F65)</f>
      </c>
      <c r="V65" s="14">
        <f>IF(T65="","",T65-Q65)</f>
      </c>
      <c r="W65" s="15">
        <f>IFERROR(V65/T65,"")</f>
      </c>
      <c r="X65" s="12">
        <f>IF(F65="","",IF(H65="","STOKTA","SATILDI"))</f>
      </c>
      <c r="Y65" s="2"/>
      <c r="Z65" s="3"/>
      <c r="AA65" s="3"/>
      <c r="AB65" s="3"/>
      <c r="AC65" s="14">
        <f>IF(F65="","",SUM(Z65:AB65))</f>
      </c>
      <c r="AD65" s="14">
        <f>IF(T65="","",V65+AC65)</f>
      </c>
    </row>
    <row r="66" spans="1:30">
      <c r="A66">
        <f>IF(D66="","",ROW()-3)</f>
      </c>
      <c r="B66" s="2"/>
      <c r="C66" s="18"/>
      <c r="D66" s="2"/>
      <c r="E66" s="2"/>
      <c r="F66" s="3"/>
      <c r="G66" s="16"/>
      <c r="H66" s="16"/>
      <c r="I66" s="17">
        <f>IF(G66="","",IF(H66="",TODAY()-G66,H66-G66))</f>
      </c>
      <c r="J66" s="13">
        <f>IF(F66="","",IFERROR(IF(VLOOKUP(E66,'ALIM AYARLARI'!$A$4:$D$20,3,FALSE)="EVET",'GİDER AYARLARI'!$B$4,0),0))</f>
      </c>
      <c r="K66" s="13">
        <f>IF(F66="","",'GİDER AYARLARI'!$B$5)</f>
      </c>
      <c r="L66" s="13">
        <f>IF(F66="","",'GİDER AYARLARI'!$B$6)</f>
      </c>
      <c r="M66" s="13">
        <f>IF(F66="","",IFERROR(IF(VLOOKUP(E66,'ALIM AYARLARI'!$A$4:$D$20,3,FALSE)="EVET",'GİDER AYARLARI'!$B$7,0),0))</f>
      </c>
      <c r="N66" s="3"/>
      <c r="O66" s="13">
        <f>IF(OR(F66="",I66=""),"",IFERROR(IF(VLOOKUP(E66,'ALIM AYARLARI'!$A$4:$D$20,2,FALSE)="EVET",F66*'GİDER AYARLARI'!$B$8*I66/30,0),0))</f>
      </c>
      <c r="P66" s="14">
        <f>IF(F66="","",SUM(J66:O66))</f>
      </c>
      <c r="Q66" s="14">
        <f>IF(F66="","",F66+P66)</f>
      </c>
      <c r="R66" s="2"/>
      <c r="S66" s="2"/>
      <c r="T66" s="3"/>
      <c r="U66" s="14">
        <f>IF(OR(F66="",T66=""),"",T66-F66)</f>
      </c>
      <c r="V66" s="14">
        <f>IF(T66="","",T66-Q66)</f>
      </c>
      <c r="W66" s="15">
        <f>IFERROR(V66/T66,"")</f>
      </c>
      <c r="X66" s="12">
        <f>IF(F66="","",IF(H66="","STOKTA","SATILDI"))</f>
      </c>
      <c r="Y66" s="2"/>
      <c r="Z66" s="3"/>
      <c r="AA66" s="3"/>
      <c r="AB66" s="3"/>
      <c r="AC66" s="14">
        <f>IF(F66="","",SUM(Z66:AB66))</f>
      </c>
      <c r="AD66" s="14">
        <f>IF(T66="","",V66+AC66)</f>
      </c>
    </row>
    <row r="67" spans="1:30">
      <c r="A67">
        <f>IF(D67="","",ROW()-3)</f>
      </c>
      <c r="B67" s="2"/>
      <c r="C67" s="18"/>
      <c r="D67" s="2"/>
      <c r="E67" s="2"/>
      <c r="F67" s="3"/>
      <c r="G67" s="16"/>
      <c r="H67" s="16"/>
      <c r="I67" s="17">
        <f>IF(G67="","",IF(H67="",TODAY()-G67,H67-G67))</f>
      </c>
      <c r="J67" s="13">
        <f>IF(F67="","",IFERROR(IF(VLOOKUP(E67,'ALIM AYARLARI'!$A$4:$D$20,3,FALSE)="EVET",'GİDER AYARLARI'!$B$4,0),0))</f>
      </c>
      <c r="K67" s="13">
        <f>IF(F67="","",'GİDER AYARLARI'!$B$5)</f>
      </c>
      <c r="L67" s="13">
        <f>IF(F67="","",'GİDER AYARLARI'!$B$6)</f>
      </c>
      <c r="M67" s="13">
        <f>IF(F67="","",IFERROR(IF(VLOOKUP(E67,'ALIM AYARLARI'!$A$4:$D$20,3,FALSE)="EVET",'GİDER AYARLARI'!$B$7,0),0))</f>
      </c>
      <c r="N67" s="3"/>
      <c r="O67" s="13">
        <f>IF(OR(F67="",I67=""),"",IFERROR(IF(VLOOKUP(E67,'ALIM AYARLARI'!$A$4:$D$20,2,FALSE)="EVET",F67*'GİDER AYARLARI'!$B$8*I67/30,0),0))</f>
      </c>
      <c r="P67" s="14">
        <f>IF(F67="","",SUM(J67:O67))</f>
      </c>
      <c r="Q67" s="14">
        <f>IF(F67="","",F67+P67)</f>
      </c>
      <c r="R67" s="2"/>
      <c r="S67" s="2"/>
      <c r="T67" s="3"/>
      <c r="U67" s="14">
        <f>IF(OR(F67="",T67=""),"",T67-F67)</f>
      </c>
      <c r="V67" s="14">
        <f>IF(T67="","",T67-Q67)</f>
      </c>
      <c r="W67" s="15">
        <f>IFERROR(V67/T67,"")</f>
      </c>
      <c r="X67" s="12">
        <f>IF(F67="","",IF(H67="","STOKTA","SATILDI"))</f>
      </c>
      <c r="Y67" s="2"/>
      <c r="Z67" s="3"/>
      <c r="AA67" s="3"/>
      <c r="AB67" s="3"/>
      <c r="AC67" s="14">
        <f>IF(F67="","",SUM(Z67:AB67))</f>
      </c>
      <c r="AD67" s="14">
        <f>IF(T67="","",V67+AC67)</f>
      </c>
    </row>
    <row r="68" spans="1:30">
      <c r="A68">
        <f>IF(D68="","",ROW()-3)</f>
      </c>
      <c r="B68" s="2"/>
      <c r="C68" s="18"/>
      <c r="D68" s="2"/>
      <c r="E68" s="2"/>
      <c r="F68" s="3"/>
      <c r="G68" s="16"/>
      <c r="H68" s="16"/>
      <c r="I68" s="17">
        <f>IF(G68="","",IF(H68="",TODAY()-G68,H68-G68))</f>
      </c>
      <c r="J68" s="13">
        <f>IF(F68="","",IFERROR(IF(VLOOKUP(E68,'ALIM AYARLARI'!$A$4:$D$20,3,FALSE)="EVET",'GİDER AYARLARI'!$B$4,0),0))</f>
      </c>
      <c r="K68" s="13">
        <f>IF(F68="","",'GİDER AYARLARI'!$B$5)</f>
      </c>
      <c r="L68" s="13">
        <f>IF(F68="","",'GİDER AYARLARI'!$B$6)</f>
      </c>
      <c r="M68" s="13">
        <f>IF(F68="","",IFERROR(IF(VLOOKUP(E68,'ALIM AYARLARI'!$A$4:$D$20,3,FALSE)="EVET",'GİDER AYARLARI'!$B$7,0),0))</f>
      </c>
      <c r="N68" s="3"/>
      <c r="O68" s="13">
        <f>IF(OR(F68="",I68=""),"",IFERROR(IF(VLOOKUP(E68,'ALIM AYARLARI'!$A$4:$D$20,2,FALSE)="EVET",F68*'GİDER AYARLARI'!$B$8*I68/30,0),0))</f>
      </c>
      <c r="P68" s="14">
        <f>IF(F68="","",SUM(J68:O68))</f>
      </c>
      <c r="Q68" s="14">
        <f>IF(F68="","",F68+P68)</f>
      </c>
      <c r="R68" s="2"/>
      <c r="S68" s="2"/>
      <c r="T68" s="3"/>
      <c r="U68" s="14">
        <f>IF(OR(F68="",T68=""),"",T68-F68)</f>
      </c>
      <c r="V68" s="14">
        <f>IF(T68="","",T68-Q68)</f>
      </c>
      <c r="W68" s="15">
        <f>IFERROR(V68/T68,"")</f>
      </c>
      <c r="X68" s="12">
        <f>IF(F68="","",IF(H68="","STOKTA","SATILDI"))</f>
      </c>
      <c r="Y68" s="2"/>
      <c r="Z68" s="3"/>
      <c r="AA68" s="3"/>
      <c r="AB68" s="3"/>
      <c r="AC68" s="14">
        <f>IF(F68="","",SUM(Z68:AB68))</f>
      </c>
      <c r="AD68" s="14">
        <f>IF(T68="","",V68+AC68)</f>
      </c>
    </row>
    <row r="69" spans="1:30">
      <c r="A69">
        <f>IF(D69="","",ROW()-3)</f>
      </c>
      <c r="B69" s="2"/>
      <c r="C69" s="18"/>
      <c r="D69" s="2"/>
      <c r="E69" s="2"/>
      <c r="F69" s="3"/>
      <c r="G69" s="16"/>
      <c r="H69" s="16"/>
      <c r="I69" s="17">
        <f>IF(G69="","",IF(H69="",TODAY()-G69,H69-G69))</f>
      </c>
      <c r="J69" s="13">
        <f>IF(F69="","",IFERROR(IF(VLOOKUP(E69,'ALIM AYARLARI'!$A$4:$D$20,3,FALSE)="EVET",'GİDER AYARLARI'!$B$4,0),0))</f>
      </c>
      <c r="K69" s="13">
        <f>IF(F69="","",'GİDER AYARLARI'!$B$5)</f>
      </c>
      <c r="L69" s="13">
        <f>IF(F69="","",'GİDER AYARLARI'!$B$6)</f>
      </c>
      <c r="M69" s="13">
        <f>IF(F69="","",IFERROR(IF(VLOOKUP(E69,'ALIM AYARLARI'!$A$4:$D$20,3,FALSE)="EVET",'GİDER AYARLARI'!$B$7,0),0))</f>
      </c>
      <c r="N69" s="3"/>
      <c r="O69" s="13">
        <f>IF(OR(F69="",I69=""),"",IFERROR(IF(VLOOKUP(E69,'ALIM AYARLARI'!$A$4:$D$20,2,FALSE)="EVET",F69*'GİDER AYARLARI'!$B$8*I69/30,0),0))</f>
      </c>
      <c r="P69" s="14">
        <f>IF(F69="","",SUM(J69:O69))</f>
      </c>
      <c r="Q69" s="14">
        <f>IF(F69="","",F69+P69)</f>
      </c>
      <c r="R69" s="2"/>
      <c r="S69" s="2"/>
      <c r="T69" s="3"/>
      <c r="U69" s="14">
        <f>IF(OR(F69="",T69=""),"",T69-F69)</f>
      </c>
      <c r="V69" s="14">
        <f>IF(T69="","",T69-Q69)</f>
      </c>
      <c r="W69" s="15">
        <f>IFERROR(V69/T69,"")</f>
      </c>
      <c r="X69" s="12">
        <f>IF(F69="","",IF(H69="","STOKTA","SATILDI"))</f>
      </c>
      <c r="Y69" s="2"/>
      <c r="Z69" s="3"/>
      <c r="AA69" s="3"/>
      <c r="AB69" s="3"/>
      <c r="AC69" s="14">
        <f>IF(F69="","",SUM(Z69:AB69))</f>
      </c>
      <c r="AD69" s="14">
        <f>IF(T69="","",V69+AC69)</f>
      </c>
    </row>
    <row r="70" spans="1:30">
      <c r="A70">
        <f>IF(D70="","",ROW()-3)</f>
      </c>
      <c r="B70" s="2"/>
      <c r="C70" s="18"/>
      <c r="D70" s="2"/>
      <c r="E70" s="2"/>
      <c r="F70" s="3"/>
      <c r="G70" s="16"/>
      <c r="H70" s="16"/>
      <c r="I70" s="17">
        <f>IF(G70="","",IF(H70="",TODAY()-G70,H70-G70))</f>
      </c>
      <c r="J70" s="13">
        <f>IF(F70="","",IFERROR(IF(VLOOKUP(E70,'ALIM AYARLARI'!$A$4:$D$20,3,FALSE)="EVET",'GİDER AYARLARI'!$B$4,0),0))</f>
      </c>
      <c r="K70" s="13">
        <f>IF(F70="","",'GİDER AYARLARI'!$B$5)</f>
      </c>
      <c r="L70" s="13">
        <f>IF(F70="","",'GİDER AYARLARI'!$B$6)</f>
      </c>
      <c r="M70" s="13">
        <f>IF(F70="","",IFERROR(IF(VLOOKUP(E70,'ALIM AYARLARI'!$A$4:$D$20,3,FALSE)="EVET",'GİDER AYARLARI'!$B$7,0),0))</f>
      </c>
      <c r="N70" s="3"/>
      <c r="O70" s="13">
        <f>IF(OR(F70="",I70=""),"",IFERROR(IF(VLOOKUP(E70,'ALIM AYARLARI'!$A$4:$D$20,2,FALSE)="EVET",F70*'GİDER AYARLARI'!$B$8*I70/30,0),0))</f>
      </c>
      <c r="P70" s="14">
        <f>IF(F70="","",SUM(J70:O70))</f>
      </c>
      <c r="Q70" s="14">
        <f>IF(F70="","",F70+P70)</f>
      </c>
      <c r="R70" s="2"/>
      <c r="S70" s="2"/>
      <c r="T70" s="3"/>
      <c r="U70" s="14">
        <f>IF(OR(F70="",T70=""),"",T70-F70)</f>
      </c>
      <c r="V70" s="14">
        <f>IF(T70="","",T70-Q70)</f>
      </c>
      <c r="W70" s="15">
        <f>IFERROR(V70/T70,"")</f>
      </c>
      <c r="X70" s="12">
        <f>IF(F70="","",IF(H70="","STOKTA","SATILDI"))</f>
      </c>
      <c r="Y70" s="2"/>
      <c r="Z70" s="3"/>
      <c r="AA70" s="3"/>
      <c r="AB70" s="3"/>
      <c r="AC70" s="14">
        <f>IF(F70="","",SUM(Z70:AB70))</f>
      </c>
      <c r="AD70" s="14">
        <f>IF(T70="","",V70+AC70)</f>
      </c>
    </row>
    <row r="71" spans="1:30">
      <c r="A71">
        <f>IF(D71="","",ROW()-3)</f>
      </c>
      <c r="B71" s="2"/>
      <c r="C71" s="18"/>
      <c r="D71" s="2"/>
      <c r="E71" s="2"/>
      <c r="F71" s="3"/>
      <c r="G71" s="16"/>
      <c r="H71" s="16"/>
      <c r="I71" s="17">
        <f>IF(G71="","",IF(H71="",TODAY()-G71,H71-G71))</f>
      </c>
      <c r="J71" s="13">
        <f>IF(F71="","",IFERROR(IF(VLOOKUP(E71,'ALIM AYARLARI'!$A$4:$D$20,3,FALSE)="EVET",'GİDER AYARLARI'!$B$4,0),0))</f>
      </c>
      <c r="K71" s="13">
        <f>IF(F71="","",'GİDER AYARLARI'!$B$5)</f>
      </c>
      <c r="L71" s="13">
        <f>IF(F71="","",'GİDER AYARLARI'!$B$6)</f>
      </c>
      <c r="M71" s="13">
        <f>IF(F71="","",IFERROR(IF(VLOOKUP(E71,'ALIM AYARLARI'!$A$4:$D$20,3,FALSE)="EVET",'GİDER AYARLARI'!$B$7,0),0))</f>
      </c>
      <c r="N71" s="3"/>
      <c r="O71" s="13">
        <f>IF(OR(F71="",I71=""),"",IFERROR(IF(VLOOKUP(E71,'ALIM AYARLARI'!$A$4:$D$20,2,FALSE)="EVET",F71*'GİDER AYARLARI'!$B$8*I71/30,0),0))</f>
      </c>
      <c r="P71" s="14">
        <f>IF(F71="","",SUM(J71:O71))</f>
      </c>
      <c r="Q71" s="14">
        <f>IF(F71="","",F71+P71)</f>
      </c>
      <c r="R71" s="2"/>
      <c r="S71" s="2"/>
      <c r="T71" s="3"/>
      <c r="U71" s="14">
        <f>IF(OR(F71="",T71=""),"",T71-F71)</f>
      </c>
      <c r="V71" s="14">
        <f>IF(T71="","",T71-Q71)</f>
      </c>
      <c r="W71" s="15">
        <f>IFERROR(V71/T71,"")</f>
      </c>
      <c r="X71" s="12">
        <f>IF(F71="","",IF(H71="","STOKTA","SATILDI"))</f>
      </c>
      <c r="Y71" s="2"/>
      <c r="Z71" s="3"/>
      <c r="AA71" s="3"/>
      <c r="AB71" s="3"/>
      <c r="AC71" s="14">
        <f>IF(F71="","",SUM(Z71:AB71))</f>
      </c>
      <c r="AD71" s="14">
        <f>IF(T71="","",V71+AC71)</f>
      </c>
    </row>
    <row r="72" spans="1:30">
      <c r="A72">
        <f>IF(D72="","",ROW()-3)</f>
      </c>
      <c r="B72" s="2"/>
      <c r="C72" s="18"/>
      <c r="D72" s="2"/>
      <c r="E72" s="2"/>
      <c r="F72" s="3"/>
      <c r="G72" s="16"/>
      <c r="H72" s="16"/>
      <c r="I72" s="17">
        <f>IF(G72="","",IF(H72="",TODAY()-G72,H72-G72))</f>
      </c>
      <c r="J72" s="13">
        <f>IF(F72="","",IFERROR(IF(VLOOKUP(E72,'ALIM AYARLARI'!$A$4:$D$20,3,FALSE)="EVET",'GİDER AYARLARI'!$B$4,0),0))</f>
      </c>
      <c r="K72" s="13">
        <f>IF(F72="","",'GİDER AYARLARI'!$B$5)</f>
      </c>
      <c r="L72" s="13">
        <f>IF(F72="","",'GİDER AYARLARI'!$B$6)</f>
      </c>
      <c r="M72" s="13">
        <f>IF(F72="","",IFERROR(IF(VLOOKUP(E72,'ALIM AYARLARI'!$A$4:$D$20,3,FALSE)="EVET",'GİDER AYARLARI'!$B$7,0),0))</f>
      </c>
      <c r="N72" s="3"/>
      <c r="O72" s="13">
        <f>IF(OR(F72="",I72=""),"",IFERROR(IF(VLOOKUP(E72,'ALIM AYARLARI'!$A$4:$D$20,2,FALSE)="EVET",F72*'GİDER AYARLARI'!$B$8*I72/30,0),0))</f>
      </c>
      <c r="P72" s="14">
        <f>IF(F72="","",SUM(J72:O72))</f>
      </c>
      <c r="Q72" s="14">
        <f>IF(F72="","",F72+P72)</f>
      </c>
      <c r="R72" s="2"/>
      <c r="S72" s="2"/>
      <c r="T72" s="3"/>
      <c r="U72" s="14">
        <f>IF(OR(F72="",T72=""),"",T72-F72)</f>
      </c>
      <c r="V72" s="14">
        <f>IF(T72="","",T72-Q72)</f>
      </c>
      <c r="W72" s="15">
        <f>IFERROR(V72/T72,"")</f>
      </c>
      <c r="X72" s="12">
        <f>IF(F72="","",IF(H72="","STOKTA","SATILDI"))</f>
      </c>
      <c r="Y72" s="2"/>
      <c r="Z72" s="3"/>
      <c r="AA72" s="3"/>
      <c r="AB72" s="3"/>
      <c r="AC72" s="14">
        <f>IF(F72="","",SUM(Z72:AB72))</f>
      </c>
      <c r="AD72" s="14">
        <f>IF(T72="","",V72+AC72)</f>
      </c>
    </row>
    <row r="73" spans="1:30">
      <c r="A73">
        <f>IF(D73="","",ROW()-3)</f>
      </c>
      <c r="B73" s="2"/>
      <c r="C73" s="18"/>
      <c r="D73" s="2"/>
      <c r="E73" s="2"/>
      <c r="F73" s="3"/>
      <c r="G73" s="16"/>
      <c r="H73" s="16"/>
      <c r="I73" s="17">
        <f>IF(G73="","",IF(H73="",TODAY()-G73,H73-G73))</f>
      </c>
      <c r="J73" s="13">
        <f>IF(F73="","",IFERROR(IF(VLOOKUP(E73,'ALIM AYARLARI'!$A$4:$D$20,3,FALSE)="EVET",'GİDER AYARLARI'!$B$4,0),0))</f>
      </c>
      <c r="K73" s="13">
        <f>IF(F73="","",'GİDER AYARLARI'!$B$5)</f>
      </c>
      <c r="L73" s="13">
        <f>IF(F73="","",'GİDER AYARLARI'!$B$6)</f>
      </c>
      <c r="M73" s="13">
        <f>IF(F73="","",IFERROR(IF(VLOOKUP(E73,'ALIM AYARLARI'!$A$4:$D$20,3,FALSE)="EVET",'GİDER AYARLARI'!$B$7,0),0))</f>
      </c>
      <c r="N73" s="3"/>
      <c r="O73" s="13">
        <f>IF(OR(F73="",I73=""),"",IFERROR(IF(VLOOKUP(E73,'ALIM AYARLARI'!$A$4:$D$20,2,FALSE)="EVET",F73*'GİDER AYARLARI'!$B$8*I73/30,0),0))</f>
      </c>
      <c r="P73" s="14">
        <f>IF(F73="","",SUM(J73:O73))</f>
      </c>
      <c r="Q73" s="14">
        <f>IF(F73="","",F73+P73)</f>
      </c>
      <c r="R73" s="2"/>
      <c r="S73" s="2"/>
      <c r="T73" s="3"/>
      <c r="U73" s="14">
        <f>IF(OR(F73="",T73=""),"",T73-F73)</f>
      </c>
      <c r="V73" s="14">
        <f>IF(T73="","",T73-Q73)</f>
      </c>
      <c r="W73" s="15">
        <f>IFERROR(V73/T73,"")</f>
      </c>
      <c r="X73" s="12">
        <f>IF(F73="","",IF(H73="","STOKTA","SATILDI"))</f>
      </c>
      <c r="Y73" s="2"/>
      <c r="Z73" s="3"/>
      <c r="AA73" s="3"/>
      <c r="AB73" s="3"/>
      <c r="AC73" s="14">
        <f>IF(F73="","",SUM(Z73:AB73))</f>
      </c>
      <c r="AD73" s="14">
        <f>IF(T73="","",V73+AC73)</f>
      </c>
    </row>
    <row r="74" spans="1:30">
      <c r="A74">
        <f>IF(D74="","",ROW()-3)</f>
      </c>
      <c r="B74" s="2"/>
      <c r="C74" s="18"/>
      <c r="D74" s="2"/>
      <c r="E74" s="2"/>
      <c r="F74" s="3"/>
      <c r="G74" s="16"/>
      <c r="H74" s="16"/>
      <c r="I74" s="17">
        <f>IF(G74="","",IF(H74="",TODAY()-G74,H74-G74))</f>
      </c>
      <c r="J74" s="13">
        <f>IF(F74="","",IFERROR(IF(VLOOKUP(E74,'ALIM AYARLARI'!$A$4:$D$20,3,FALSE)="EVET",'GİDER AYARLARI'!$B$4,0),0))</f>
      </c>
      <c r="K74" s="13">
        <f>IF(F74="","",'GİDER AYARLARI'!$B$5)</f>
      </c>
      <c r="L74" s="13">
        <f>IF(F74="","",'GİDER AYARLARI'!$B$6)</f>
      </c>
      <c r="M74" s="13">
        <f>IF(F74="","",IFERROR(IF(VLOOKUP(E74,'ALIM AYARLARI'!$A$4:$D$20,3,FALSE)="EVET",'GİDER AYARLARI'!$B$7,0),0))</f>
      </c>
      <c r="N74" s="3"/>
      <c r="O74" s="13">
        <f>IF(OR(F74="",I74=""),"",IFERROR(IF(VLOOKUP(E74,'ALIM AYARLARI'!$A$4:$D$20,2,FALSE)="EVET",F74*'GİDER AYARLARI'!$B$8*I74/30,0),0))</f>
      </c>
      <c r="P74" s="14">
        <f>IF(F74="","",SUM(J74:O74))</f>
      </c>
      <c r="Q74" s="14">
        <f>IF(F74="","",F74+P74)</f>
      </c>
      <c r="R74" s="2"/>
      <c r="S74" s="2"/>
      <c r="T74" s="3"/>
      <c r="U74" s="14">
        <f>IF(OR(F74="",T74=""),"",T74-F74)</f>
      </c>
      <c r="V74" s="14">
        <f>IF(T74="","",T74-Q74)</f>
      </c>
      <c r="W74" s="15">
        <f>IFERROR(V74/T74,"")</f>
      </c>
      <c r="X74" s="12">
        <f>IF(F74="","",IF(H74="","STOKTA","SATILDI"))</f>
      </c>
      <c r="Y74" s="2"/>
      <c r="Z74" s="3"/>
      <c r="AA74" s="3"/>
      <c r="AB74" s="3"/>
      <c r="AC74" s="14">
        <f>IF(F74="","",SUM(Z74:AB74))</f>
      </c>
      <c r="AD74" s="14">
        <f>IF(T74="","",V74+AC74)</f>
      </c>
    </row>
    <row r="75" spans="1:30">
      <c r="A75">
        <f>IF(D75="","",ROW()-3)</f>
      </c>
      <c r="B75" s="2"/>
      <c r="C75" s="18"/>
      <c r="D75" s="2"/>
      <c r="E75" s="2"/>
      <c r="F75" s="3"/>
      <c r="G75" s="16"/>
      <c r="H75" s="16"/>
      <c r="I75" s="17">
        <f>IF(G75="","",IF(H75="",TODAY()-G75,H75-G75))</f>
      </c>
      <c r="J75" s="13">
        <f>IF(F75="","",IFERROR(IF(VLOOKUP(E75,'ALIM AYARLARI'!$A$4:$D$20,3,FALSE)="EVET",'GİDER AYARLARI'!$B$4,0),0))</f>
      </c>
      <c r="K75" s="13">
        <f>IF(F75="","",'GİDER AYARLARI'!$B$5)</f>
      </c>
      <c r="L75" s="13">
        <f>IF(F75="","",'GİDER AYARLARI'!$B$6)</f>
      </c>
      <c r="M75" s="13">
        <f>IF(F75="","",IFERROR(IF(VLOOKUP(E75,'ALIM AYARLARI'!$A$4:$D$20,3,FALSE)="EVET",'GİDER AYARLARI'!$B$7,0),0))</f>
      </c>
      <c r="N75" s="3"/>
      <c r="O75" s="13">
        <f>IF(OR(F75="",I75=""),"",IFERROR(IF(VLOOKUP(E75,'ALIM AYARLARI'!$A$4:$D$20,2,FALSE)="EVET",F75*'GİDER AYARLARI'!$B$8*I75/30,0),0))</f>
      </c>
      <c r="P75" s="14">
        <f>IF(F75="","",SUM(J75:O75))</f>
      </c>
      <c r="Q75" s="14">
        <f>IF(F75="","",F75+P75)</f>
      </c>
      <c r="R75" s="2"/>
      <c r="S75" s="2"/>
      <c r="T75" s="3"/>
      <c r="U75" s="14">
        <f>IF(OR(F75="",T75=""),"",T75-F75)</f>
      </c>
      <c r="V75" s="14">
        <f>IF(T75="","",T75-Q75)</f>
      </c>
      <c r="W75" s="15">
        <f>IFERROR(V75/T75,"")</f>
      </c>
      <c r="X75" s="12">
        <f>IF(F75="","",IF(H75="","STOKTA","SATILDI"))</f>
      </c>
      <c r="Y75" s="2"/>
      <c r="Z75" s="3"/>
      <c r="AA75" s="3"/>
      <c r="AB75" s="3"/>
      <c r="AC75" s="14">
        <f>IF(F75="","",SUM(Z75:AB75))</f>
      </c>
      <c r="AD75" s="14">
        <f>IF(T75="","",V75+AC75)</f>
      </c>
    </row>
    <row r="76" spans="1:30">
      <c r="A76">
        <f>IF(D76="","",ROW()-3)</f>
      </c>
      <c r="B76" s="2"/>
      <c r="C76" s="18"/>
      <c r="D76" s="2"/>
      <c r="E76" s="2"/>
      <c r="F76" s="3"/>
      <c r="G76" s="16"/>
      <c r="H76" s="16"/>
      <c r="I76" s="17">
        <f>IF(G76="","",IF(H76="",TODAY()-G76,H76-G76))</f>
      </c>
      <c r="J76" s="13">
        <f>IF(F76="","",IFERROR(IF(VLOOKUP(E76,'ALIM AYARLARI'!$A$4:$D$20,3,FALSE)="EVET",'GİDER AYARLARI'!$B$4,0),0))</f>
      </c>
      <c r="K76" s="13">
        <f>IF(F76="","",'GİDER AYARLARI'!$B$5)</f>
      </c>
      <c r="L76" s="13">
        <f>IF(F76="","",'GİDER AYARLARI'!$B$6)</f>
      </c>
      <c r="M76" s="13">
        <f>IF(F76="","",IFERROR(IF(VLOOKUP(E76,'ALIM AYARLARI'!$A$4:$D$20,3,FALSE)="EVET",'GİDER AYARLARI'!$B$7,0),0))</f>
      </c>
      <c r="N76" s="3"/>
      <c r="O76" s="13">
        <f>IF(OR(F76="",I76=""),"",IFERROR(IF(VLOOKUP(E76,'ALIM AYARLARI'!$A$4:$D$20,2,FALSE)="EVET",F76*'GİDER AYARLARI'!$B$8*I76/30,0),0))</f>
      </c>
      <c r="P76" s="14">
        <f>IF(F76="","",SUM(J76:O76))</f>
      </c>
      <c r="Q76" s="14">
        <f>IF(F76="","",F76+P76)</f>
      </c>
      <c r="R76" s="2"/>
      <c r="S76" s="2"/>
      <c r="T76" s="3"/>
      <c r="U76" s="14">
        <f>IF(OR(F76="",T76=""),"",T76-F76)</f>
      </c>
      <c r="V76" s="14">
        <f>IF(T76="","",T76-Q76)</f>
      </c>
      <c r="W76" s="15">
        <f>IFERROR(V76/T76,"")</f>
      </c>
      <c r="X76" s="12">
        <f>IF(F76="","",IF(H76="","STOKTA","SATILDI"))</f>
      </c>
      <c r="Y76" s="2"/>
      <c r="Z76" s="3"/>
      <c r="AA76" s="3"/>
      <c r="AB76" s="3"/>
      <c r="AC76" s="14">
        <f>IF(F76="","",SUM(Z76:AB76))</f>
      </c>
      <c r="AD76" s="14">
        <f>IF(T76="","",V76+AC76)</f>
      </c>
    </row>
    <row r="77" spans="1:30">
      <c r="A77">
        <f>IF(D77="","",ROW()-3)</f>
      </c>
      <c r="B77" s="2"/>
      <c r="C77" s="18"/>
      <c r="D77" s="2"/>
      <c r="E77" s="2"/>
      <c r="F77" s="3"/>
      <c r="G77" s="16"/>
      <c r="H77" s="16"/>
      <c r="I77" s="17">
        <f>IF(G77="","",IF(H77="",TODAY()-G77,H77-G77))</f>
      </c>
      <c r="J77" s="13">
        <f>IF(F77="","",IFERROR(IF(VLOOKUP(E77,'ALIM AYARLARI'!$A$4:$D$20,3,FALSE)="EVET",'GİDER AYARLARI'!$B$4,0),0))</f>
      </c>
      <c r="K77" s="13">
        <f>IF(F77="","",'GİDER AYARLARI'!$B$5)</f>
      </c>
      <c r="L77" s="13">
        <f>IF(F77="","",'GİDER AYARLARI'!$B$6)</f>
      </c>
      <c r="M77" s="13">
        <f>IF(F77="","",IFERROR(IF(VLOOKUP(E77,'ALIM AYARLARI'!$A$4:$D$20,3,FALSE)="EVET",'GİDER AYARLARI'!$B$7,0),0))</f>
      </c>
      <c r="N77" s="3"/>
      <c r="O77" s="13">
        <f>IF(OR(F77="",I77=""),"",IFERROR(IF(VLOOKUP(E77,'ALIM AYARLARI'!$A$4:$D$20,2,FALSE)="EVET",F77*'GİDER AYARLARI'!$B$8*I77/30,0),0))</f>
      </c>
      <c r="P77" s="14">
        <f>IF(F77="","",SUM(J77:O77))</f>
      </c>
      <c r="Q77" s="14">
        <f>IF(F77="","",F77+P77)</f>
      </c>
      <c r="R77" s="2"/>
      <c r="S77" s="2"/>
      <c r="T77" s="3"/>
      <c r="U77" s="14">
        <f>IF(OR(F77="",T77=""),"",T77-F77)</f>
      </c>
      <c r="V77" s="14">
        <f>IF(T77="","",T77-Q77)</f>
      </c>
      <c r="W77" s="15">
        <f>IFERROR(V77/T77,"")</f>
      </c>
      <c r="X77" s="12">
        <f>IF(F77="","",IF(H77="","STOKTA","SATILDI"))</f>
      </c>
      <c r="Y77" s="2"/>
      <c r="Z77" s="3"/>
      <c r="AA77" s="3"/>
      <c r="AB77" s="3"/>
      <c r="AC77" s="14">
        <f>IF(F77="","",SUM(Z77:AB77))</f>
      </c>
      <c r="AD77" s="14">
        <f>IF(T77="","",V77+AC77)</f>
      </c>
    </row>
    <row r="78" spans="1:30">
      <c r="A78">
        <f>IF(D78="","",ROW()-3)</f>
      </c>
      <c r="B78" s="2"/>
      <c r="C78" s="18"/>
      <c r="D78" s="2"/>
      <c r="E78" s="2"/>
      <c r="F78" s="3"/>
      <c r="G78" s="16"/>
      <c r="H78" s="16"/>
      <c r="I78" s="17">
        <f>IF(G78="","",IF(H78="",TODAY()-G78,H78-G78))</f>
      </c>
      <c r="J78" s="13">
        <f>IF(F78="","",IFERROR(IF(VLOOKUP(E78,'ALIM AYARLARI'!$A$4:$D$20,3,FALSE)="EVET",'GİDER AYARLARI'!$B$4,0),0))</f>
      </c>
      <c r="K78" s="13">
        <f>IF(F78="","",'GİDER AYARLARI'!$B$5)</f>
      </c>
      <c r="L78" s="13">
        <f>IF(F78="","",'GİDER AYARLARI'!$B$6)</f>
      </c>
      <c r="M78" s="13">
        <f>IF(F78="","",IFERROR(IF(VLOOKUP(E78,'ALIM AYARLARI'!$A$4:$D$20,3,FALSE)="EVET",'GİDER AYARLARI'!$B$7,0),0))</f>
      </c>
      <c r="N78" s="3"/>
      <c r="O78" s="13">
        <f>IF(OR(F78="",I78=""),"",IFERROR(IF(VLOOKUP(E78,'ALIM AYARLARI'!$A$4:$D$20,2,FALSE)="EVET",F78*'GİDER AYARLARI'!$B$8*I78/30,0),0))</f>
      </c>
      <c r="P78" s="14">
        <f>IF(F78="","",SUM(J78:O78))</f>
      </c>
      <c r="Q78" s="14">
        <f>IF(F78="","",F78+P78)</f>
      </c>
      <c r="R78" s="2"/>
      <c r="S78" s="2"/>
      <c r="T78" s="3"/>
      <c r="U78" s="14">
        <f>IF(OR(F78="",T78=""),"",T78-F78)</f>
      </c>
      <c r="V78" s="14">
        <f>IF(T78="","",T78-Q78)</f>
      </c>
      <c r="W78" s="15">
        <f>IFERROR(V78/T78,"")</f>
      </c>
      <c r="X78" s="12">
        <f>IF(F78="","",IF(H78="","STOKTA","SATILDI"))</f>
      </c>
      <c r="Y78" s="2"/>
      <c r="Z78" s="3"/>
      <c r="AA78" s="3"/>
      <c r="AB78" s="3"/>
      <c r="AC78" s="14">
        <f>IF(F78="","",SUM(Z78:AB78))</f>
      </c>
      <c r="AD78" s="14">
        <f>IF(T78="","",V78+AC78)</f>
      </c>
    </row>
    <row r="79" spans="1:30">
      <c r="A79">
        <f>IF(D79="","",ROW()-3)</f>
      </c>
      <c r="B79" s="2"/>
      <c r="C79" s="18"/>
      <c r="D79" s="2"/>
      <c r="E79" s="2"/>
      <c r="F79" s="3"/>
      <c r="G79" s="16"/>
      <c r="H79" s="16"/>
      <c r="I79" s="17">
        <f>IF(G79="","",IF(H79="",TODAY()-G79,H79-G79))</f>
      </c>
      <c r="J79" s="13">
        <f>IF(F79="","",IFERROR(IF(VLOOKUP(E79,'ALIM AYARLARI'!$A$4:$D$20,3,FALSE)="EVET",'GİDER AYARLARI'!$B$4,0),0))</f>
      </c>
      <c r="K79" s="13">
        <f>IF(F79="","",'GİDER AYARLARI'!$B$5)</f>
      </c>
      <c r="L79" s="13">
        <f>IF(F79="","",'GİDER AYARLARI'!$B$6)</f>
      </c>
      <c r="M79" s="13">
        <f>IF(F79="","",IFERROR(IF(VLOOKUP(E79,'ALIM AYARLARI'!$A$4:$D$20,3,FALSE)="EVET",'GİDER AYARLARI'!$B$7,0),0))</f>
      </c>
      <c r="N79" s="3"/>
      <c r="O79" s="13">
        <f>IF(OR(F79="",I79=""),"",IFERROR(IF(VLOOKUP(E79,'ALIM AYARLARI'!$A$4:$D$20,2,FALSE)="EVET",F79*'GİDER AYARLARI'!$B$8*I79/30,0),0))</f>
      </c>
      <c r="P79" s="14">
        <f>IF(F79="","",SUM(J79:O79))</f>
      </c>
      <c r="Q79" s="14">
        <f>IF(F79="","",F79+P79)</f>
      </c>
      <c r="R79" s="2"/>
      <c r="S79" s="2"/>
      <c r="T79" s="3"/>
      <c r="U79" s="14">
        <f>IF(OR(F79="",T79=""),"",T79-F79)</f>
      </c>
      <c r="V79" s="14">
        <f>IF(T79="","",T79-Q79)</f>
      </c>
      <c r="W79" s="15">
        <f>IFERROR(V79/T79,"")</f>
      </c>
      <c r="X79" s="12">
        <f>IF(F79="","",IF(H79="","STOKTA","SATILDI"))</f>
      </c>
      <c r="Y79" s="2"/>
      <c r="Z79" s="3"/>
      <c r="AA79" s="3"/>
      <c r="AB79" s="3"/>
      <c r="AC79" s="14">
        <f>IF(F79="","",SUM(Z79:AB79))</f>
      </c>
      <c r="AD79" s="14">
        <f>IF(T79="","",V79+AC79)</f>
      </c>
    </row>
    <row r="80" spans="1:30">
      <c r="A80">
        <f>IF(D80="","",ROW()-3)</f>
      </c>
      <c r="B80" s="2"/>
      <c r="C80" s="18"/>
      <c r="D80" s="2"/>
      <c r="E80" s="2"/>
      <c r="F80" s="3"/>
      <c r="G80" s="16"/>
      <c r="H80" s="16"/>
      <c r="I80" s="17">
        <f>IF(G80="","",IF(H80="",TODAY()-G80,H80-G80))</f>
      </c>
      <c r="J80" s="13">
        <f>IF(F80="","",IFERROR(IF(VLOOKUP(E80,'ALIM AYARLARI'!$A$4:$D$20,3,FALSE)="EVET",'GİDER AYARLARI'!$B$4,0),0))</f>
      </c>
      <c r="K80" s="13">
        <f>IF(F80="","",'GİDER AYARLARI'!$B$5)</f>
      </c>
      <c r="L80" s="13">
        <f>IF(F80="","",'GİDER AYARLARI'!$B$6)</f>
      </c>
      <c r="M80" s="13">
        <f>IF(F80="","",IFERROR(IF(VLOOKUP(E80,'ALIM AYARLARI'!$A$4:$D$20,3,FALSE)="EVET",'GİDER AYARLARI'!$B$7,0),0))</f>
      </c>
      <c r="N80" s="3"/>
      <c r="O80" s="13">
        <f>IF(OR(F80="",I80=""),"",IFERROR(IF(VLOOKUP(E80,'ALIM AYARLARI'!$A$4:$D$20,2,FALSE)="EVET",F80*'GİDER AYARLARI'!$B$8*I80/30,0),0))</f>
      </c>
      <c r="P80" s="14">
        <f>IF(F80="","",SUM(J80:O80))</f>
      </c>
      <c r="Q80" s="14">
        <f>IF(F80="","",F80+P80)</f>
      </c>
      <c r="R80" s="2"/>
      <c r="S80" s="2"/>
      <c r="T80" s="3"/>
      <c r="U80" s="14">
        <f>IF(OR(F80="",T80=""),"",T80-F80)</f>
      </c>
      <c r="V80" s="14">
        <f>IF(T80="","",T80-Q80)</f>
      </c>
      <c r="W80" s="15">
        <f>IFERROR(V80/T80,"")</f>
      </c>
      <c r="X80" s="12">
        <f>IF(F80="","",IF(H80="","STOKTA","SATILDI"))</f>
      </c>
      <c r="Y80" s="2"/>
      <c r="Z80" s="3"/>
      <c r="AA80" s="3"/>
      <c r="AB80" s="3"/>
      <c r="AC80" s="14">
        <f>IF(F80="","",SUM(Z80:AB80))</f>
      </c>
      <c r="AD80" s="14">
        <f>IF(T80="","",V80+AC80)</f>
      </c>
    </row>
    <row r="81" spans="1:30">
      <c r="A81">
        <f>IF(D81="","",ROW()-3)</f>
      </c>
      <c r="B81" s="2"/>
      <c r="C81" s="18"/>
      <c r="D81" s="2"/>
      <c r="E81" s="2"/>
      <c r="F81" s="3"/>
      <c r="G81" s="16"/>
      <c r="H81" s="16"/>
      <c r="I81" s="17">
        <f>IF(G81="","",IF(H81="",TODAY()-G81,H81-G81))</f>
      </c>
      <c r="J81" s="13">
        <f>IF(F81="","",IFERROR(IF(VLOOKUP(E81,'ALIM AYARLARI'!$A$4:$D$20,3,FALSE)="EVET",'GİDER AYARLARI'!$B$4,0),0))</f>
      </c>
      <c r="K81" s="13">
        <f>IF(F81="","",'GİDER AYARLARI'!$B$5)</f>
      </c>
      <c r="L81" s="13">
        <f>IF(F81="","",'GİDER AYARLARI'!$B$6)</f>
      </c>
      <c r="M81" s="13">
        <f>IF(F81="","",IFERROR(IF(VLOOKUP(E81,'ALIM AYARLARI'!$A$4:$D$20,3,FALSE)="EVET",'GİDER AYARLARI'!$B$7,0),0))</f>
      </c>
      <c r="N81" s="3"/>
      <c r="O81" s="13">
        <f>IF(OR(F81="",I81=""),"",IFERROR(IF(VLOOKUP(E81,'ALIM AYARLARI'!$A$4:$D$20,2,FALSE)="EVET",F81*'GİDER AYARLARI'!$B$8*I81/30,0),0))</f>
      </c>
      <c r="P81" s="14">
        <f>IF(F81="","",SUM(J81:O81))</f>
      </c>
      <c r="Q81" s="14">
        <f>IF(F81="","",F81+P81)</f>
      </c>
      <c r="R81" s="2"/>
      <c r="S81" s="2"/>
      <c r="T81" s="3"/>
      <c r="U81" s="14">
        <f>IF(OR(F81="",T81=""),"",T81-F81)</f>
      </c>
      <c r="V81" s="14">
        <f>IF(T81="","",T81-Q81)</f>
      </c>
      <c r="W81" s="15">
        <f>IFERROR(V81/T81,"")</f>
      </c>
      <c r="X81" s="12">
        <f>IF(F81="","",IF(H81="","STOKTA","SATILDI"))</f>
      </c>
      <c r="Y81" s="2"/>
      <c r="Z81" s="3"/>
      <c r="AA81" s="3"/>
      <c r="AB81" s="3"/>
      <c r="AC81" s="14">
        <f>IF(F81="","",SUM(Z81:AB81))</f>
      </c>
      <c r="AD81" s="14">
        <f>IF(T81="","",V81+AC81)</f>
      </c>
    </row>
    <row r="82" spans="1:30">
      <c r="A82">
        <f>IF(D82="","",ROW()-3)</f>
      </c>
      <c r="B82" s="2"/>
      <c r="C82" s="18"/>
      <c r="D82" s="2"/>
      <c r="E82" s="2"/>
      <c r="F82" s="3"/>
      <c r="G82" s="16"/>
      <c r="H82" s="16"/>
      <c r="I82" s="17">
        <f>IF(G82="","",IF(H82="",TODAY()-G82,H82-G82))</f>
      </c>
      <c r="J82" s="13">
        <f>IF(F82="","",IFERROR(IF(VLOOKUP(E82,'ALIM AYARLARI'!$A$4:$D$20,3,FALSE)="EVET",'GİDER AYARLARI'!$B$4,0),0))</f>
      </c>
      <c r="K82" s="13">
        <f>IF(F82="","",'GİDER AYARLARI'!$B$5)</f>
      </c>
      <c r="L82" s="13">
        <f>IF(F82="","",'GİDER AYARLARI'!$B$6)</f>
      </c>
      <c r="M82" s="13">
        <f>IF(F82="","",IFERROR(IF(VLOOKUP(E82,'ALIM AYARLARI'!$A$4:$D$20,3,FALSE)="EVET",'GİDER AYARLARI'!$B$7,0),0))</f>
      </c>
      <c r="N82" s="3"/>
      <c r="O82" s="13">
        <f>IF(OR(F82="",I82=""),"",IFERROR(IF(VLOOKUP(E82,'ALIM AYARLARI'!$A$4:$D$20,2,FALSE)="EVET",F82*'GİDER AYARLARI'!$B$8*I82/30,0),0))</f>
      </c>
      <c r="P82" s="14">
        <f>IF(F82="","",SUM(J82:O82))</f>
      </c>
      <c r="Q82" s="14">
        <f>IF(F82="","",F82+P82)</f>
      </c>
      <c r="R82" s="2"/>
      <c r="S82" s="2"/>
      <c r="T82" s="3"/>
      <c r="U82" s="14">
        <f>IF(OR(F82="",T82=""),"",T82-F82)</f>
      </c>
      <c r="V82" s="14">
        <f>IF(T82="","",T82-Q82)</f>
      </c>
      <c r="W82" s="15">
        <f>IFERROR(V82/T82,"")</f>
      </c>
      <c r="X82" s="12">
        <f>IF(F82="","",IF(H82="","STOKTA","SATILDI"))</f>
      </c>
      <c r="Y82" s="2"/>
      <c r="Z82" s="3"/>
      <c r="AA82" s="3"/>
      <c r="AB82" s="3"/>
      <c r="AC82" s="14">
        <f>IF(F82="","",SUM(Z82:AB82))</f>
      </c>
      <c r="AD82" s="14">
        <f>IF(T82="","",V82+AC82)</f>
      </c>
    </row>
    <row r="83" spans="1:30">
      <c r="A83">
        <f>IF(D83="","",ROW()-3)</f>
      </c>
      <c r="B83" s="2"/>
      <c r="C83" s="18"/>
      <c r="D83" s="2"/>
      <c r="E83" s="2"/>
      <c r="F83" s="3"/>
      <c r="G83" s="16"/>
      <c r="H83" s="16"/>
      <c r="I83" s="17">
        <f>IF(G83="","",IF(H83="",TODAY()-G83,H83-G83))</f>
      </c>
      <c r="J83" s="13">
        <f>IF(F83="","",IFERROR(IF(VLOOKUP(E83,'ALIM AYARLARI'!$A$4:$D$20,3,FALSE)="EVET",'GİDER AYARLARI'!$B$4,0),0))</f>
      </c>
      <c r="K83" s="13">
        <f>IF(F83="","",'GİDER AYARLARI'!$B$5)</f>
      </c>
      <c r="L83" s="13">
        <f>IF(F83="","",'GİDER AYARLARI'!$B$6)</f>
      </c>
      <c r="M83" s="13">
        <f>IF(F83="","",IFERROR(IF(VLOOKUP(E83,'ALIM AYARLARI'!$A$4:$D$20,3,FALSE)="EVET",'GİDER AYARLARI'!$B$7,0),0))</f>
      </c>
      <c r="N83" s="3"/>
      <c r="O83" s="13">
        <f>IF(OR(F83="",I83=""),"",IFERROR(IF(VLOOKUP(E83,'ALIM AYARLARI'!$A$4:$D$20,2,FALSE)="EVET",F83*'GİDER AYARLARI'!$B$8*I83/30,0),0))</f>
      </c>
      <c r="P83" s="14">
        <f>IF(F83="","",SUM(J83:O83))</f>
      </c>
      <c r="Q83" s="14">
        <f>IF(F83="","",F83+P83)</f>
      </c>
      <c r="R83" s="2"/>
      <c r="S83" s="2"/>
      <c r="T83" s="3"/>
      <c r="U83" s="14">
        <f>IF(OR(F83="",T83=""),"",T83-F83)</f>
      </c>
      <c r="V83" s="14">
        <f>IF(T83="","",T83-Q83)</f>
      </c>
      <c r="W83" s="15">
        <f>IFERROR(V83/T83,"")</f>
      </c>
      <c r="X83" s="12">
        <f>IF(F83="","",IF(H83="","STOKTA","SATILDI"))</f>
      </c>
      <c r="Y83" s="2"/>
      <c r="Z83" s="3"/>
      <c r="AA83" s="3"/>
      <c r="AB83" s="3"/>
      <c r="AC83" s="14">
        <f>IF(F83="","",SUM(Z83:AB83))</f>
      </c>
      <c r="AD83" s="14">
        <f>IF(T83="","",V83+AC83)</f>
      </c>
    </row>
    <row r="84" spans="1:30">
      <c r="A84">
        <f>IF(D84="","",ROW()-3)</f>
      </c>
      <c r="B84" s="2"/>
      <c r="C84" s="18"/>
      <c r="D84" s="2"/>
      <c r="E84" s="2"/>
      <c r="F84" s="3"/>
      <c r="G84" s="16"/>
      <c r="H84" s="16"/>
      <c r="I84" s="17">
        <f>IF(G84="","",IF(H84="",TODAY()-G84,H84-G84))</f>
      </c>
      <c r="J84" s="13">
        <f>IF(F84="","",IFERROR(IF(VLOOKUP(E84,'ALIM AYARLARI'!$A$4:$D$20,3,FALSE)="EVET",'GİDER AYARLARI'!$B$4,0),0))</f>
      </c>
      <c r="K84" s="13">
        <f>IF(F84="","",'GİDER AYARLARI'!$B$5)</f>
      </c>
      <c r="L84" s="13">
        <f>IF(F84="","",'GİDER AYARLARI'!$B$6)</f>
      </c>
      <c r="M84" s="13">
        <f>IF(F84="","",IFERROR(IF(VLOOKUP(E84,'ALIM AYARLARI'!$A$4:$D$20,3,FALSE)="EVET",'GİDER AYARLARI'!$B$7,0),0))</f>
      </c>
      <c r="N84" s="3"/>
      <c r="O84" s="13">
        <f>IF(OR(F84="",I84=""),"",IFERROR(IF(VLOOKUP(E84,'ALIM AYARLARI'!$A$4:$D$20,2,FALSE)="EVET",F84*'GİDER AYARLARI'!$B$8*I84/30,0),0))</f>
      </c>
      <c r="P84" s="14">
        <f>IF(F84="","",SUM(J84:O84))</f>
      </c>
      <c r="Q84" s="14">
        <f>IF(F84="","",F84+P84)</f>
      </c>
      <c r="R84" s="2"/>
      <c r="S84" s="2"/>
      <c r="T84" s="3"/>
      <c r="U84" s="14">
        <f>IF(OR(F84="",T84=""),"",T84-F84)</f>
      </c>
      <c r="V84" s="14">
        <f>IF(T84="","",T84-Q84)</f>
      </c>
      <c r="W84" s="15">
        <f>IFERROR(V84/T84,"")</f>
      </c>
      <c r="X84" s="12">
        <f>IF(F84="","",IF(H84="","STOKTA","SATILDI"))</f>
      </c>
      <c r="Y84" s="2"/>
      <c r="Z84" s="3"/>
      <c r="AA84" s="3"/>
      <c r="AB84" s="3"/>
      <c r="AC84" s="14">
        <f>IF(F84="","",SUM(Z84:AB84))</f>
      </c>
      <c r="AD84" s="14">
        <f>IF(T84="","",V84+AC84)</f>
      </c>
    </row>
    <row r="85" spans="1:30">
      <c r="A85">
        <f>IF(D85="","",ROW()-3)</f>
      </c>
      <c r="B85" s="2"/>
      <c r="C85" s="18"/>
      <c r="D85" s="2"/>
      <c r="E85" s="2"/>
      <c r="F85" s="3"/>
      <c r="G85" s="16"/>
      <c r="H85" s="16"/>
      <c r="I85" s="17">
        <f>IF(G85="","",IF(H85="",TODAY()-G85,H85-G85))</f>
      </c>
      <c r="J85" s="13">
        <f>IF(F85="","",IFERROR(IF(VLOOKUP(E85,'ALIM AYARLARI'!$A$4:$D$20,3,FALSE)="EVET",'GİDER AYARLARI'!$B$4,0),0))</f>
      </c>
      <c r="K85" s="13">
        <f>IF(F85="","",'GİDER AYARLARI'!$B$5)</f>
      </c>
      <c r="L85" s="13">
        <f>IF(F85="","",'GİDER AYARLARI'!$B$6)</f>
      </c>
      <c r="M85" s="13">
        <f>IF(F85="","",IFERROR(IF(VLOOKUP(E85,'ALIM AYARLARI'!$A$4:$D$20,3,FALSE)="EVET",'GİDER AYARLARI'!$B$7,0),0))</f>
      </c>
      <c r="N85" s="3"/>
      <c r="O85" s="13">
        <f>IF(OR(F85="",I85=""),"",IFERROR(IF(VLOOKUP(E85,'ALIM AYARLARI'!$A$4:$D$20,2,FALSE)="EVET",F85*'GİDER AYARLARI'!$B$8*I85/30,0),0))</f>
      </c>
      <c r="P85" s="14">
        <f>IF(F85="","",SUM(J85:O85))</f>
      </c>
      <c r="Q85" s="14">
        <f>IF(F85="","",F85+P85)</f>
      </c>
      <c r="R85" s="2"/>
      <c r="S85" s="2"/>
      <c r="T85" s="3"/>
      <c r="U85" s="14">
        <f>IF(OR(F85="",T85=""),"",T85-F85)</f>
      </c>
      <c r="V85" s="14">
        <f>IF(T85="","",T85-Q85)</f>
      </c>
      <c r="W85" s="15">
        <f>IFERROR(V85/T85,"")</f>
      </c>
      <c r="X85" s="12">
        <f>IF(F85="","",IF(H85="","STOKTA","SATILDI"))</f>
      </c>
      <c r="Y85" s="2"/>
      <c r="Z85" s="3"/>
      <c r="AA85" s="3"/>
      <c r="AB85" s="3"/>
      <c r="AC85" s="14">
        <f>IF(F85="","",SUM(Z85:AB85))</f>
      </c>
      <c r="AD85" s="14">
        <f>IF(T85="","",V85+AC85)</f>
      </c>
    </row>
    <row r="86" spans="1:30">
      <c r="A86">
        <f>IF(D86="","",ROW()-3)</f>
      </c>
      <c r="B86" s="2"/>
      <c r="C86" s="18"/>
      <c r="D86" s="2"/>
      <c r="E86" s="2"/>
      <c r="F86" s="3"/>
      <c r="G86" s="16"/>
      <c r="H86" s="16"/>
      <c r="I86" s="17">
        <f>IF(G86="","",IF(H86="",TODAY()-G86,H86-G86))</f>
      </c>
      <c r="J86" s="13">
        <f>IF(F86="","",IFERROR(IF(VLOOKUP(E86,'ALIM AYARLARI'!$A$4:$D$20,3,FALSE)="EVET",'GİDER AYARLARI'!$B$4,0),0))</f>
      </c>
      <c r="K86" s="13">
        <f>IF(F86="","",'GİDER AYARLARI'!$B$5)</f>
      </c>
      <c r="L86" s="13">
        <f>IF(F86="","",'GİDER AYARLARI'!$B$6)</f>
      </c>
      <c r="M86" s="13">
        <f>IF(F86="","",IFERROR(IF(VLOOKUP(E86,'ALIM AYARLARI'!$A$4:$D$20,3,FALSE)="EVET",'GİDER AYARLARI'!$B$7,0),0))</f>
      </c>
      <c r="N86" s="3"/>
      <c r="O86" s="13">
        <f>IF(OR(F86="",I86=""),"",IFERROR(IF(VLOOKUP(E86,'ALIM AYARLARI'!$A$4:$D$20,2,FALSE)="EVET",F86*'GİDER AYARLARI'!$B$8*I86/30,0),0))</f>
      </c>
      <c r="P86" s="14">
        <f>IF(F86="","",SUM(J86:O86))</f>
      </c>
      <c r="Q86" s="14">
        <f>IF(F86="","",F86+P86)</f>
      </c>
      <c r="R86" s="2"/>
      <c r="S86" s="2"/>
      <c r="T86" s="3"/>
      <c r="U86" s="14">
        <f>IF(OR(F86="",T86=""),"",T86-F86)</f>
      </c>
      <c r="V86" s="14">
        <f>IF(T86="","",T86-Q86)</f>
      </c>
      <c r="W86" s="15">
        <f>IFERROR(V86/T86,"")</f>
      </c>
      <c r="X86" s="12">
        <f>IF(F86="","",IF(H86="","STOKTA","SATILDI"))</f>
      </c>
      <c r="Y86" s="2"/>
      <c r="Z86" s="3"/>
      <c r="AA86" s="3"/>
      <c r="AB86" s="3"/>
      <c r="AC86" s="14">
        <f>IF(F86="","",SUM(Z86:AB86))</f>
      </c>
      <c r="AD86" s="14">
        <f>IF(T86="","",V86+AC86)</f>
      </c>
    </row>
    <row r="87" spans="1:30">
      <c r="A87">
        <f>IF(D87="","",ROW()-3)</f>
      </c>
      <c r="B87" s="2"/>
      <c r="C87" s="18"/>
      <c r="D87" s="2"/>
      <c r="E87" s="2"/>
      <c r="F87" s="3"/>
      <c r="G87" s="16"/>
      <c r="H87" s="16"/>
      <c r="I87" s="17">
        <f>IF(G87="","",IF(H87="",TODAY()-G87,H87-G87))</f>
      </c>
      <c r="J87" s="13">
        <f>IF(F87="","",IFERROR(IF(VLOOKUP(E87,'ALIM AYARLARI'!$A$4:$D$20,3,FALSE)="EVET",'GİDER AYARLARI'!$B$4,0),0))</f>
      </c>
      <c r="K87" s="13">
        <f>IF(F87="","",'GİDER AYARLARI'!$B$5)</f>
      </c>
      <c r="L87" s="13">
        <f>IF(F87="","",'GİDER AYARLARI'!$B$6)</f>
      </c>
      <c r="M87" s="13">
        <f>IF(F87="","",IFERROR(IF(VLOOKUP(E87,'ALIM AYARLARI'!$A$4:$D$20,3,FALSE)="EVET",'GİDER AYARLARI'!$B$7,0),0))</f>
      </c>
      <c r="N87" s="3"/>
      <c r="O87" s="13">
        <f>IF(OR(F87="",I87=""),"",IFERROR(IF(VLOOKUP(E87,'ALIM AYARLARI'!$A$4:$D$20,2,FALSE)="EVET",F87*'GİDER AYARLARI'!$B$8*I87/30,0),0))</f>
      </c>
      <c r="P87" s="14">
        <f>IF(F87="","",SUM(J87:O87))</f>
      </c>
      <c r="Q87" s="14">
        <f>IF(F87="","",F87+P87)</f>
      </c>
      <c r="R87" s="2"/>
      <c r="S87" s="2"/>
      <c r="T87" s="3"/>
      <c r="U87" s="14">
        <f>IF(OR(F87="",T87=""),"",T87-F87)</f>
      </c>
      <c r="V87" s="14">
        <f>IF(T87="","",T87-Q87)</f>
      </c>
      <c r="W87" s="15">
        <f>IFERROR(V87/T87,"")</f>
      </c>
      <c r="X87" s="12">
        <f>IF(F87="","",IF(H87="","STOKTA","SATILDI"))</f>
      </c>
      <c r="Y87" s="2"/>
      <c r="Z87" s="3"/>
      <c r="AA87" s="3"/>
      <c r="AB87" s="3"/>
      <c r="AC87" s="14">
        <f>IF(F87="","",SUM(Z87:AB87))</f>
      </c>
      <c r="AD87" s="14">
        <f>IF(T87="","",V87+AC87)</f>
      </c>
    </row>
    <row r="88" spans="1:30">
      <c r="A88">
        <f>IF(D88="","",ROW()-3)</f>
      </c>
      <c r="B88" s="2"/>
      <c r="C88" s="18"/>
      <c r="D88" s="2"/>
      <c r="E88" s="2"/>
      <c r="F88" s="3"/>
      <c r="G88" s="16"/>
      <c r="H88" s="16"/>
      <c r="I88" s="17">
        <f>IF(G88="","",IF(H88="",TODAY()-G88,H88-G88))</f>
      </c>
      <c r="J88" s="13">
        <f>IF(F88="","",IFERROR(IF(VLOOKUP(E88,'ALIM AYARLARI'!$A$4:$D$20,3,FALSE)="EVET",'GİDER AYARLARI'!$B$4,0),0))</f>
      </c>
      <c r="K88" s="13">
        <f>IF(F88="","",'GİDER AYARLARI'!$B$5)</f>
      </c>
      <c r="L88" s="13">
        <f>IF(F88="","",'GİDER AYARLARI'!$B$6)</f>
      </c>
      <c r="M88" s="13">
        <f>IF(F88="","",IFERROR(IF(VLOOKUP(E88,'ALIM AYARLARI'!$A$4:$D$20,3,FALSE)="EVET",'GİDER AYARLARI'!$B$7,0),0))</f>
      </c>
      <c r="N88" s="3"/>
      <c r="O88" s="13">
        <f>IF(OR(F88="",I88=""),"",IFERROR(IF(VLOOKUP(E88,'ALIM AYARLARI'!$A$4:$D$20,2,FALSE)="EVET",F88*'GİDER AYARLARI'!$B$8*I88/30,0),0))</f>
      </c>
      <c r="P88" s="14">
        <f>IF(F88="","",SUM(J88:O88))</f>
      </c>
      <c r="Q88" s="14">
        <f>IF(F88="","",F88+P88)</f>
      </c>
      <c r="R88" s="2"/>
      <c r="S88" s="2"/>
      <c r="T88" s="3"/>
      <c r="U88" s="14">
        <f>IF(OR(F88="",T88=""),"",T88-F88)</f>
      </c>
      <c r="V88" s="14">
        <f>IF(T88="","",T88-Q88)</f>
      </c>
      <c r="W88" s="15">
        <f>IFERROR(V88/T88,"")</f>
      </c>
      <c r="X88" s="12">
        <f>IF(F88="","",IF(H88="","STOKTA","SATILDI"))</f>
      </c>
      <c r="Y88" s="2"/>
      <c r="Z88" s="3"/>
      <c r="AA88" s="3"/>
      <c r="AB88" s="3"/>
      <c r="AC88" s="14">
        <f>IF(F88="","",SUM(Z88:AB88))</f>
      </c>
      <c r="AD88" s="14">
        <f>IF(T88="","",V88+AC88)</f>
      </c>
    </row>
    <row r="89" spans="1:30">
      <c r="A89">
        <f>IF(D89="","",ROW()-3)</f>
      </c>
      <c r="B89" s="2"/>
      <c r="C89" s="18"/>
      <c r="D89" s="2"/>
      <c r="E89" s="2"/>
      <c r="F89" s="3"/>
      <c r="G89" s="16"/>
      <c r="H89" s="16"/>
      <c r="I89" s="17">
        <f>IF(G89="","",IF(H89="",TODAY()-G89,H89-G89))</f>
      </c>
      <c r="J89" s="13">
        <f>IF(F89="","",IFERROR(IF(VLOOKUP(E89,'ALIM AYARLARI'!$A$4:$D$20,3,FALSE)="EVET",'GİDER AYARLARI'!$B$4,0),0))</f>
      </c>
      <c r="K89" s="13">
        <f>IF(F89="","",'GİDER AYARLARI'!$B$5)</f>
      </c>
      <c r="L89" s="13">
        <f>IF(F89="","",'GİDER AYARLARI'!$B$6)</f>
      </c>
      <c r="M89" s="13">
        <f>IF(F89="","",IFERROR(IF(VLOOKUP(E89,'ALIM AYARLARI'!$A$4:$D$20,3,FALSE)="EVET",'GİDER AYARLARI'!$B$7,0),0))</f>
      </c>
      <c r="N89" s="3"/>
      <c r="O89" s="13">
        <f>IF(OR(F89="",I89=""),"",IFERROR(IF(VLOOKUP(E89,'ALIM AYARLARI'!$A$4:$D$20,2,FALSE)="EVET",F89*'GİDER AYARLARI'!$B$8*I89/30,0),0))</f>
      </c>
      <c r="P89" s="14">
        <f>IF(F89="","",SUM(J89:O89))</f>
      </c>
      <c r="Q89" s="14">
        <f>IF(F89="","",F89+P89)</f>
      </c>
      <c r="R89" s="2"/>
      <c r="S89" s="2"/>
      <c r="T89" s="3"/>
      <c r="U89" s="14">
        <f>IF(OR(F89="",T89=""),"",T89-F89)</f>
      </c>
      <c r="V89" s="14">
        <f>IF(T89="","",T89-Q89)</f>
      </c>
      <c r="W89" s="15">
        <f>IFERROR(V89/T89,"")</f>
      </c>
      <c r="X89" s="12">
        <f>IF(F89="","",IF(H89="","STOKTA","SATILDI"))</f>
      </c>
      <c r="Y89" s="2"/>
      <c r="Z89" s="3"/>
      <c r="AA89" s="3"/>
      <c r="AB89" s="3"/>
      <c r="AC89" s="14">
        <f>IF(F89="","",SUM(Z89:AB89))</f>
      </c>
      <c r="AD89" s="14">
        <f>IF(T89="","",V89+AC89)</f>
      </c>
    </row>
    <row r="90" spans="1:30">
      <c r="A90">
        <f>IF(D90="","",ROW()-3)</f>
      </c>
      <c r="B90" s="2"/>
      <c r="C90" s="18"/>
      <c r="D90" s="2"/>
      <c r="E90" s="2"/>
      <c r="F90" s="3"/>
      <c r="G90" s="16"/>
      <c r="H90" s="16"/>
      <c r="I90" s="17">
        <f>IF(G90="","",IF(H90="",TODAY()-G90,H90-G90))</f>
      </c>
      <c r="J90" s="13">
        <f>IF(F90="","",IFERROR(IF(VLOOKUP(E90,'ALIM AYARLARI'!$A$4:$D$20,3,FALSE)="EVET",'GİDER AYARLARI'!$B$4,0),0))</f>
      </c>
      <c r="K90" s="13">
        <f>IF(F90="","",'GİDER AYARLARI'!$B$5)</f>
      </c>
      <c r="L90" s="13">
        <f>IF(F90="","",'GİDER AYARLARI'!$B$6)</f>
      </c>
      <c r="M90" s="13">
        <f>IF(F90="","",IFERROR(IF(VLOOKUP(E90,'ALIM AYARLARI'!$A$4:$D$20,3,FALSE)="EVET",'GİDER AYARLARI'!$B$7,0),0))</f>
      </c>
      <c r="N90" s="3"/>
      <c r="O90" s="13">
        <f>IF(OR(F90="",I90=""),"",IFERROR(IF(VLOOKUP(E90,'ALIM AYARLARI'!$A$4:$D$20,2,FALSE)="EVET",F90*'GİDER AYARLARI'!$B$8*I90/30,0),0))</f>
      </c>
      <c r="P90" s="14">
        <f>IF(F90="","",SUM(J90:O90))</f>
      </c>
      <c r="Q90" s="14">
        <f>IF(F90="","",F90+P90)</f>
      </c>
      <c r="R90" s="2"/>
      <c r="S90" s="2"/>
      <c r="T90" s="3"/>
      <c r="U90" s="14">
        <f>IF(OR(F90="",T90=""),"",T90-F90)</f>
      </c>
      <c r="V90" s="14">
        <f>IF(T90="","",T90-Q90)</f>
      </c>
      <c r="W90" s="15">
        <f>IFERROR(V90/T90,"")</f>
      </c>
      <c r="X90" s="12">
        <f>IF(F90="","",IF(H90="","STOKTA","SATILDI"))</f>
      </c>
      <c r="Y90" s="2"/>
      <c r="Z90" s="3"/>
      <c r="AA90" s="3"/>
      <c r="AB90" s="3"/>
      <c r="AC90" s="14">
        <f>IF(F90="","",SUM(Z90:AB90))</f>
      </c>
      <c r="AD90" s="14">
        <f>IF(T90="","",V90+AC90)</f>
      </c>
    </row>
    <row r="91" spans="1:30">
      <c r="A91">
        <f>IF(D91="","",ROW()-3)</f>
      </c>
      <c r="B91" s="2"/>
      <c r="C91" s="18"/>
      <c r="D91" s="2"/>
      <c r="E91" s="2"/>
      <c r="F91" s="3"/>
      <c r="G91" s="16"/>
      <c r="H91" s="16"/>
      <c r="I91" s="17">
        <f>IF(G91="","",IF(H91="",TODAY()-G91,H91-G91))</f>
      </c>
      <c r="J91" s="13">
        <f>IF(F91="","",IFERROR(IF(VLOOKUP(E91,'ALIM AYARLARI'!$A$4:$D$20,3,FALSE)="EVET",'GİDER AYARLARI'!$B$4,0),0))</f>
      </c>
      <c r="K91" s="13">
        <f>IF(F91="","",'GİDER AYARLARI'!$B$5)</f>
      </c>
      <c r="L91" s="13">
        <f>IF(F91="","",'GİDER AYARLARI'!$B$6)</f>
      </c>
      <c r="M91" s="13">
        <f>IF(F91="","",IFERROR(IF(VLOOKUP(E91,'ALIM AYARLARI'!$A$4:$D$20,3,FALSE)="EVET",'GİDER AYARLARI'!$B$7,0),0))</f>
      </c>
      <c r="N91" s="3"/>
      <c r="O91" s="13">
        <f>IF(OR(F91="",I91=""),"",IFERROR(IF(VLOOKUP(E91,'ALIM AYARLARI'!$A$4:$D$20,2,FALSE)="EVET",F91*'GİDER AYARLARI'!$B$8*I91/30,0),0))</f>
      </c>
      <c r="P91" s="14">
        <f>IF(F91="","",SUM(J91:O91))</f>
      </c>
      <c r="Q91" s="14">
        <f>IF(F91="","",F91+P91)</f>
      </c>
      <c r="R91" s="2"/>
      <c r="S91" s="2"/>
      <c r="T91" s="3"/>
      <c r="U91" s="14">
        <f>IF(OR(F91="",T91=""),"",T91-F91)</f>
      </c>
      <c r="V91" s="14">
        <f>IF(T91="","",T91-Q91)</f>
      </c>
      <c r="W91" s="15">
        <f>IFERROR(V91/T91,"")</f>
      </c>
      <c r="X91" s="12">
        <f>IF(F91="","",IF(H91="","STOKTA","SATILDI"))</f>
      </c>
      <c r="Y91" s="2"/>
      <c r="Z91" s="3"/>
      <c r="AA91" s="3"/>
      <c r="AB91" s="3"/>
      <c r="AC91" s="14">
        <f>IF(F91="","",SUM(Z91:AB91))</f>
      </c>
      <c r="AD91" s="14">
        <f>IF(T91="","",V91+AC91)</f>
      </c>
    </row>
    <row r="92" spans="1:30">
      <c r="A92">
        <f>IF(D92="","",ROW()-3)</f>
      </c>
      <c r="B92" s="2"/>
      <c r="C92" s="18"/>
      <c r="D92" s="2"/>
      <c r="E92" s="2"/>
      <c r="F92" s="3"/>
      <c r="G92" s="16"/>
      <c r="H92" s="16"/>
      <c r="I92" s="17">
        <f>IF(G92="","",IF(H92="",TODAY()-G92,H92-G92))</f>
      </c>
      <c r="J92" s="13">
        <f>IF(F92="","",IFERROR(IF(VLOOKUP(E92,'ALIM AYARLARI'!$A$4:$D$20,3,FALSE)="EVET",'GİDER AYARLARI'!$B$4,0),0))</f>
      </c>
      <c r="K92" s="13">
        <f>IF(F92="","",'GİDER AYARLARI'!$B$5)</f>
      </c>
      <c r="L92" s="13">
        <f>IF(F92="","",'GİDER AYARLARI'!$B$6)</f>
      </c>
      <c r="M92" s="13">
        <f>IF(F92="","",IFERROR(IF(VLOOKUP(E92,'ALIM AYARLARI'!$A$4:$D$20,3,FALSE)="EVET",'GİDER AYARLARI'!$B$7,0),0))</f>
      </c>
      <c r="N92" s="3"/>
      <c r="O92" s="13">
        <f>IF(OR(F92="",I92=""),"",IFERROR(IF(VLOOKUP(E92,'ALIM AYARLARI'!$A$4:$D$20,2,FALSE)="EVET",F92*'GİDER AYARLARI'!$B$8*I92/30,0),0))</f>
      </c>
      <c r="P92" s="14">
        <f>IF(F92="","",SUM(J92:O92))</f>
      </c>
      <c r="Q92" s="14">
        <f>IF(F92="","",F92+P92)</f>
      </c>
      <c r="R92" s="2"/>
      <c r="S92" s="2"/>
      <c r="T92" s="3"/>
      <c r="U92" s="14">
        <f>IF(OR(F92="",T92=""),"",T92-F92)</f>
      </c>
      <c r="V92" s="14">
        <f>IF(T92="","",T92-Q92)</f>
      </c>
      <c r="W92" s="15">
        <f>IFERROR(V92/T92,"")</f>
      </c>
      <c r="X92" s="12">
        <f>IF(F92="","",IF(H92="","STOKTA","SATILDI"))</f>
      </c>
      <c r="Y92" s="2"/>
      <c r="Z92" s="3"/>
      <c r="AA92" s="3"/>
      <c r="AB92" s="3"/>
      <c r="AC92" s="14">
        <f>IF(F92="","",SUM(Z92:AB92))</f>
      </c>
      <c r="AD92" s="14">
        <f>IF(T92="","",V92+AC92)</f>
      </c>
    </row>
    <row r="93" spans="1:30">
      <c r="A93">
        <f>IF(D93="","",ROW()-3)</f>
      </c>
      <c r="B93" s="2"/>
      <c r="C93" s="18"/>
      <c r="D93" s="2"/>
      <c r="E93" s="2"/>
      <c r="F93" s="3"/>
      <c r="G93" s="16"/>
      <c r="H93" s="16"/>
      <c r="I93" s="17">
        <f>IF(G93="","",IF(H93="",TODAY()-G93,H93-G93))</f>
      </c>
      <c r="J93" s="13">
        <f>IF(F93="","",IFERROR(IF(VLOOKUP(E93,'ALIM AYARLARI'!$A$4:$D$20,3,FALSE)="EVET",'GİDER AYARLARI'!$B$4,0),0))</f>
      </c>
      <c r="K93" s="13">
        <f>IF(F93="","",'GİDER AYARLARI'!$B$5)</f>
      </c>
      <c r="L93" s="13">
        <f>IF(F93="","",'GİDER AYARLARI'!$B$6)</f>
      </c>
      <c r="M93" s="13">
        <f>IF(F93="","",IFERROR(IF(VLOOKUP(E93,'ALIM AYARLARI'!$A$4:$D$20,3,FALSE)="EVET",'GİDER AYARLARI'!$B$7,0),0))</f>
      </c>
      <c r="N93" s="3"/>
      <c r="O93" s="13">
        <f>IF(OR(F93="",I93=""),"",IFERROR(IF(VLOOKUP(E93,'ALIM AYARLARI'!$A$4:$D$20,2,FALSE)="EVET",F93*'GİDER AYARLARI'!$B$8*I93/30,0),0))</f>
      </c>
      <c r="P93" s="14">
        <f>IF(F93="","",SUM(J93:O93))</f>
      </c>
      <c r="Q93" s="14">
        <f>IF(F93="","",F93+P93)</f>
      </c>
      <c r="R93" s="2"/>
      <c r="S93" s="2"/>
      <c r="T93" s="3"/>
      <c r="U93" s="14">
        <f>IF(OR(F93="",T93=""),"",T93-F93)</f>
      </c>
      <c r="V93" s="14">
        <f>IF(T93="","",T93-Q93)</f>
      </c>
      <c r="W93" s="15">
        <f>IFERROR(V93/T93,"")</f>
      </c>
      <c r="X93" s="12">
        <f>IF(F93="","",IF(H93="","STOKTA","SATILDI"))</f>
      </c>
      <c r="Y93" s="2"/>
      <c r="Z93" s="3"/>
      <c r="AA93" s="3"/>
      <c r="AB93" s="3"/>
      <c r="AC93" s="14">
        <f>IF(F93="","",SUM(Z93:AB93))</f>
      </c>
      <c r="AD93" s="14">
        <f>IF(T93="","",V93+AC93)</f>
      </c>
    </row>
    <row r="94" spans="1:30">
      <c r="A94">
        <f>IF(D94="","",ROW()-3)</f>
      </c>
      <c r="B94" s="2"/>
      <c r="C94" s="18"/>
      <c r="D94" s="2"/>
      <c r="E94" s="2"/>
      <c r="F94" s="3"/>
      <c r="G94" s="16"/>
      <c r="H94" s="16"/>
      <c r="I94" s="17">
        <f>IF(G94="","",IF(H94="",TODAY()-G94,H94-G94))</f>
      </c>
      <c r="J94" s="13">
        <f>IF(F94="","",IFERROR(IF(VLOOKUP(E94,'ALIM AYARLARI'!$A$4:$D$20,3,FALSE)="EVET",'GİDER AYARLARI'!$B$4,0),0))</f>
      </c>
      <c r="K94" s="13">
        <f>IF(F94="","",'GİDER AYARLARI'!$B$5)</f>
      </c>
      <c r="L94" s="13">
        <f>IF(F94="","",'GİDER AYARLARI'!$B$6)</f>
      </c>
      <c r="M94" s="13">
        <f>IF(F94="","",IFERROR(IF(VLOOKUP(E94,'ALIM AYARLARI'!$A$4:$D$20,3,FALSE)="EVET",'GİDER AYARLARI'!$B$7,0),0))</f>
      </c>
      <c r="N94" s="3"/>
      <c r="O94" s="13">
        <f>IF(OR(F94="",I94=""),"",IFERROR(IF(VLOOKUP(E94,'ALIM AYARLARI'!$A$4:$D$20,2,FALSE)="EVET",F94*'GİDER AYARLARI'!$B$8*I94/30,0),0))</f>
      </c>
      <c r="P94" s="14">
        <f>IF(F94="","",SUM(J94:O94))</f>
      </c>
      <c r="Q94" s="14">
        <f>IF(F94="","",F94+P94)</f>
      </c>
      <c r="R94" s="2"/>
      <c r="S94" s="2"/>
      <c r="T94" s="3"/>
      <c r="U94" s="14">
        <f>IF(OR(F94="",T94=""),"",T94-F94)</f>
      </c>
      <c r="V94" s="14">
        <f>IF(T94="","",T94-Q94)</f>
      </c>
      <c r="W94" s="15">
        <f>IFERROR(V94/T94,"")</f>
      </c>
      <c r="X94" s="12">
        <f>IF(F94="","",IF(H94="","STOKTA","SATILDI"))</f>
      </c>
      <c r="Y94" s="2"/>
      <c r="Z94" s="3"/>
      <c r="AA94" s="3"/>
      <c r="AB94" s="3"/>
      <c r="AC94" s="14">
        <f>IF(F94="","",SUM(Z94:AB94))</f>
      </c>
      <c r="AD94" s="14">
        <f>IF(T94="","",V94+AC94)</f>
      </c>
    </row>
    <row r="95" spans="1:30">
      <c r="A95">
        <f>IF(D95="","",ROW()-3)</f>
      </c>
      <c r="B95" s="2"/>
      <c r="C95" s="18"/>
      <c r="D95" s="2"/>
      <c r="E95" s="2"/>
      <c r="F95" s="3"/>
      <c r="G95" s="16"/>
      <c r="H95" s="16"/>
      <c r="I95" s="17">
        <f>IF(G95="","",IF(H95="",TODAY()-G95,H95-G95))</f>
      </c>
      <c r="J95" s="13">
        <f>IF(F95="","",IFERROR(IF(VLOOKUP(E95,'ALIM AYARLARI'!$A$4:$D$20,3,FALSE)="EVET",'GİDER AYARLARI'!$B$4,0),0))</f>
      </c>
      <c r="K95" s="13">
        <f>IF(F95="","",'GİDER AYARLARI'!$B$5)</f>
      </c>
      <c r="L95" s="13">
        <f>IF(F95="","",'GİDER AYARLARI'!$B$6)</f>
      </c>
      <c r="M95" s="13">
        <f>IF(F95="","",IFERROR(IF(VLOOKUP(E95,'ALIM AYARLARI'!$A$4:$D$20,3,FALSE)="EVET",'GİDER AYARLARI'!$B$7,0),0))</f>
      </c>
      <c r="N95" s="3"/>
      <c r="O95" s="13">
        <f>IF(OR(F95="",I95=""),"",IFERROR(IF(VLOOKUP(E95,'ALIM AYARLARI'!$A$4:$D$20,2,FALSE)="EVET",F95*'GİDER AYARLARI'!$B$8*I95/30,0),0))</f>
      </c>
      <c r="P95" s="14">
        <f>IF(F95="","",SUM(J95:O95))</f>
      </c>
      <c r="Q95" s="14">
        <f>IF(F95="","",F95+P95)</f>
      </c>
      <c r="R95" s="2"/>
      <c r="S95" s="2"/>
      <c r="T95" s="3"/>
      <c r="U95" s="14">
        <f>IF(OR(F95="",T95=""),"",T95-F95)</f>
      </c>
      <c r="V95" s="14">
        <f>IF(T95="","",T95-Q95)</f>
      </c>
      <c r="W95" s="15">
        <f>IFERROR(V95/T95,"")</f>
      </c>
      <c r="X95" s="12">
        <f>IF(F95="","",IF(H95="","STOKTA","SATILDI"))</f>
      </c>
      <c r="Y95" s="2"/>
      <c r="Z95" s="3"/>
      <c r="AA95" s="3"/>
      <c r="AB95" s="3"/>
      <c r="AC95" s="14">
        <f>IF(F95="","",SUM(Z95:AB95))</f>
      </c>
      <c r="AD95" s="14">
        <f>IF(T95="","",V95+AC95)</f>
      </c>
    </row>
    <row r="96" spans="1:30">
      <c r="A96">
        <f>IF(D96="","",ROW()-3)</f>
      </c>
      <c r="B96" s="2"/>
      <c r="C96" s="18"/>
      <c r="D96" s="2"/>
      <c r="E96" s="2"/>
      <c r="F96" s="3"/>
      <c r="G96" s="16"/>
      <c r="H96" s="16"/>
      <c r="I96" s="17">
        <f>IF(G96="","",IF(H96="",TODAY()-G96,H96-G96))</f>
      </c>
      <c r="J96" s="13">
        <f>IF(F96="","",IFERROR(IF(VLOOKUP(E96,'ALIM AYARLARI'!$A$4:$D$20,3,FALSE)="EVET",'GİDER AYARLARI'!$B$4,0),0))</f>
      </c>
      <c r="K96" s="13">
        <f>IF(F96="","",'GİDER AYARLARI'!$B$5)</f>
      </c>
      <c r="L96" s="13">
        <f>IF(F96="","",'GİDER AYARLARI'!$B$6)</f>
      </c>
      <c r="M96" s="13">
        <f>IF(F96="","",IFERROR(IF(VLOOKUP(E96,'ALIM AYARLARI'!$A$4:$D$20,3,FALSE)="EVET",'GİDER AYARLARI'!$B$7,0),0))</f>
      </c>
      <c r="N96" s="3"/>
      <c r="O96" s="13">
        <f>IF(OR(F96="",I96=""),"",IFERROR(IF(VLOOKUP(E96,'ALIM AYARLARI'!$A$4:$D$20,2,FALSE)="EVET",F96*'GİDER AYARLARI'!$B$8*I96/30,0),0))</f>
      </c>
      <c r="P96" s="14">
        <f>IF(F96="","",SUM(J96:O96))</f>
      </c>
      <c r="Q96" s="14">
        <f>IF(F96="","",F96+P96)</f>
      </c>
      <c r="R96" s="2"/>
      <c r="S96" s="2"/>
      <c r="T96" s="3"/>
      <c r="U96" s="14">
        <f>IF(OR(F96="",T96=""),"",T96-F96)</f>
      </c>
      <c r="V96" s="14">
        <f>IF(T96="","",T96-Q96)</f>
      </c>
      <c r="W96" s="15">
        <f>IFERROR(V96/T96,"")</f>
      </c>
      <c r="X96" s="12">
        <f>IF(F96="","",IF(H96="","STOKTA","SATILDI"))</f>
      </c>
      <c r="Y96" s="2"/>
      <c r="Z96" s="3"/>
      <c r="AA96" s="3"/>
      <c r="AB96" s="3"/>
      <c r="AC96" s="14">
        <f>IF(F96="","",SUM(Z96:AB96))</f>
      </c>
      <c r="AD96" s="14">
        <f>IF(T96="","",V96+AC96)</f>
      </c>
    </row>
    <row r="97" spans="1:30">
      <c r="A97">
        <f>IF(D97="","",ROW()-3)</f>
      </c>
      <c r="B97" s="2"/>
      <c r="C97" s="18"/>
      <c r="D97" s="2"/>
      <c r="E97" s="2"/>
      <c r="F97" s="3"/>
      <c r="G97" s="16"/>
      <c r="H97" s="16"/>
      <c r="I97" s="17">
        <f>IF(G97="","",IF(H97="",TODAY()-G97,H97-G97))</f>
      </c>
      <c r="J97" s="13">
        <f>IF(F97="","",IFERROR(IF(VLOOKUP(E97,'ALIM AYARLARI'!$A$4:$D$20,3,FALSE)="EVET",'GİDER AYARLARI'!$B$4,0),0))</f>
      </c>
      <c r="K97" s="13">
        <f>IF(F97="","",'GİDER AYARLARI'!$B$5)</f>
      </c>
      <c r="L97" s="13">
        <f>IF(F97="","",'GİDER AYARLARI'!$B$6)</f>
      </c>
      <c r="M97" s="13">
        <f>IF(F97="","",IFERROR(IF(VLOOKUP(E97,'ALIM AYARLARI'!$A$4:$D$20,3,FALSE)="EVET",'GİDER AYARLARI'!$B$7,0),0))</f>
      </c>
      <c r="N97" s="3"/>
      <c r="O97" s="13">
        <f>IF(OR(F97="",I97=""),"",IFERROR(IF(VLOOKUP(E97,'ALIM AYARLARI'!$A$4:$D$20,2,FALSE)="EVET",F97*'GİDER AYARLARI'!$B$8*I97/30,0),0))</f>
      </c>
      <c r="P97" s="14">
        <f>IF(F97="","",SUM(J97:O97))</f>
      </c>
      <c r="Q97" s="14">
        <f>IF(F97="","",F97+P97)</f>
      </c>
      <c r="R97" s="2"/>
      <c r="S97" s="2"/>
      <c r="T97" s="3"/>
      <c r="U97" s="14">
        <f>IF(OR(F97="",T97=""),"",T97-F97)</f>
      </c>
      <c r="V97" s="14">
        <f>IF(T97="","",T97-Q97)</f>
      </c>
      <c r="W97" s="15">
        <f>IFERROR(V97/T97,"")</f>
      </c>
      <c r="X97" s="12">
        <f>IF(F97="","",IF(H97="","STOKTA","SATILDI"))</f>
      </c>
      <c r="Y97" s="2"/>
      <c r="Z97" s="3"/>
      <c r="AA97" s="3"/>
      <c r="AB97" s="3"/>
      <c r="AC97" s="14">
        <f>IF(F97="","",SUM(Z97:AB97))</f>
      </c>
      <c r="AD97" s="14">
        <f>IF(T97="","",V97+AC97)</f>
      </c>
    </row>
    <row r="98" spans="1:30">
      <c r="A98">
        <f>IF(D98="","",ROW()-3)</f>
      </c>
      <c r="B98" s="2"/>
      <c r="C98" s="18"/>
      <c r="D98" s="2"/>
      <c r="E98" s="2"/>
      <c r="F98" s="3"/>
      <c r="G98" s="16"/>
      <c r="H98" s="16"/>
      <c r="I98" s="17">
        <f>IF(G98="","",IF(H98="",TODAY()-G98,H98-G98))</f>
      </c>
      <c r="J98" s="13">
        <f>IF(F98="","",IFERROR(IF(VLOOKUP(E98,'ALIM AYARLARI'!$A$4:$D$20,3,FALSE)="EVET",'GİDER AYARLARI'!$B$4,0),0))</f>
      </c>
      <c r="K98" s="13">
        <f>IF(F98="","",'GİDER AYARLARI'!$B$5)</f>
      </c>
      <c r="L98" s="13">
        <f>IF(F98="","",'GİDER AYARLARI'!$B$6)</f>
      </c>
      <c r="M98" s="13">
        <f>IF(F98="","",IFERROR(IF(VLOOKUP(E98,'ALIM AYARLARI'!$A$4:$D$20,3,FALSE)="EVET",'GİDER AYARLARI'!$B$7,0),0))</f>
      </c>
      <c r="N98" s="3"/>
      <c r="O98" s="13">
        <f>IF(OR(F98="",I98=""),"",IFERROR(IF(VLOOKUP(E98,'ALIM AYARLARI'!$A$4:$D$20,2,FALSE)="EVET",F98*'GİDER AYARLARI'!$B$8*I98/30,0),0))</f>
      </c>
      <c r="P98" s="14">
        <f>IF(F98="","",SUM(J98:O98))</f>
      </c>
      <c r="Q98" s="14">
        <f>IF(F98="","",F98+P98)</f>
      </c>
      <c r="R98" s="2"/>
      <c r="S98" s="2"/>
      <c r="T98" s="3"/>
      <c r="U98" s="14">
        <f>IF(OR(F98="",T98=""),"",T98-F98)</f>
      </c>
      <c r="V98" s="14">
        <f>IF(T98="","",T98-Q98)</f>
      </c>
      <c r="W98" s="15">
        <f>IFERROR(V98/T98,"")</f>
      </c>
      <c r="X98" s="12">
        <f>IF(F98="","",IF(H98="","STOKTA","SATILDI"))</f>
      </c>
      <c r="Y98" s="2"/>
      <c r="Z98" s="3"/>
      <c r="AA98" s="3"/>
      <c r="AB98" s="3"/>
      <c r="AC98" s="14">
        <f>IF(F98="","",SUM(Z98:AB98))</f>
      </c>
      <c r="AD98" s="14">
        <f>IF(T98="","",V98+AC98)</f>
      </c>
    </row>
    <row r="99" spans="1:30">
      <c r="A99">
        <f>IF(D99="","",ROW()-3)</f>
      </c>
      <c r="B99" s="2"/>
      <c r="C99" s="18"/>
      <c r="D99" s="2"/>
      <c r="E99" s="2"/>
      <c r="F99" s="3"/>
      <c r="G99" s="16"/>
      <c r="H99" s="16"/>
      <c r="I99" s="17">
        <f>IF(G99="","",IF(H99="",TODAY()-G99,H99-G99))</f>
      </c>
      <c r="J99" s="13">
        <f>IF(F99="","",IFERROR(IF(VLOOKUP(E99,'ALIM AYARLARI'!$A$4:$D$20,3,FALSE)="EVET",'GİDER AYARLARI'!$B$4,0),0))</f>
      </c>
      <c r="K99" s="13">
        <f>IF(F99="","",'GİDER AYARLARI'!$B$5)</f>
      </c>
      <c r="L99" s="13">
        <f>IF(F99="","",'GİDER AYARLARI'!$B$6)</f>
      </c>
      <c r="M99" s="13">
        <f>IF(F99="","",IFERROR(IF(VLOOKUP(E99,'ALIM AYARLARI'!$A$4:$D$20,3,FALSE)="EVET",'GİDER AYARLARI'!$B$7,0),0))</f>
      </c>
      <c r="N99" s="3"/>
      <c r="O99" s="13">
        <f>IF(OR(F99="",I99=""),"",IFERROR(IF(VLOOKUP(E99,'ALIM AYARLARI'!$A$4:$D$20,2,FALSE)="EVET",F99*'GİDER AYARLARI'!$B$8*I99/30,0),0))</f>
      </c>
      <c r="P99" s="14">
        <f>IF(F99="","",SUM(J99:O99))</f>
      </c>
      <c r="Q99" s="14">
        <f>IF(F99="","",F99+P99)</f>
      </c>
      <c r="R99" s="2"/>
      <c r="S99" s="2"/>
      <c r="T99" s="3"/>
      <c r="U99" s="14">
        <f>IF(OR(F99="",T99=""),"",T99-F99)</f>
      </c>
      <c r="V99" s="14">
        <f>IF(T99="","",T99-Q99)</f>
      </c>
      <c r="W99" s="15">
        <f>IFERROR(V99/T99,"")</f>
      </c>
      <c r="X99" s="12">
        <f>IF(F99="","",IF(H99="","STOKTA","SATILDI"))</f>
      </c>
      <c r="Y99" s="2"/>
      <c r="Z99" s="3"/>
      <c r="AA99" s="3"/>
      <c r="AB99" s="3"/>
      <c r="AC99" s="14">
        <f>IF(F99="","",SUM(Z99:AB99))</f>
      </c>
      <c r="AD99" s="14">
        <f>IF(T99="","",V99+AC99)</f>
      </c>
    </row>
    <row r="100" spans="1:30">
      <c r="A100">
        <f>IF(D100="","",ROW()-3)</f>
      </c>
      <c r="B100" s="2"/>
      <c r="C100" s="18"/>
      <c r="D100" s="2"/>
      <c r="E100" s="2"/>
      <c r="F100" s="3"/>
      <c r="G100" s="16"/>
      <c r="H100" s="16"/>
      <c r="I100" s="17">
        <f>IF(G100="","",IF(H100="",TODAY()-G100,H100-G100))</f>
      </c>
      <c r="J100" s="13">
        <f>IF(F100="","",IFERROR(IF(VLOOKUP(E100,'ALIM AYARLARI'!$A$4:$D$20,3,FALSE)="EVET",'GİDER AYARLARI'!$B$4,0),0))</f>
      </c>
      <c r="K100" s="13">
        <f>IF(F100="","",'GİDER AYARLARI'!$B$5)</f>
      </c>
      <c r="L100" s="13">
        <f>IF(F100="","",'GİDER AYARLARI'!$B$6)</f>
      </c>
      <c r="M100" s="13">
        <f>IF(F100="","",IFERROR(IF(VLOOKUP(E100,'ALIM AYARLARI'!$A$4:$D$20,3,FALSE)="EVET",'GİDER AYARLARI'!$B$7,0),0))</f>
      </c>
      <c r="N100" s="3"/>
      <c r="O100" s="13">
        <f>IF(OR(F100="",I100=""),"",IFERROR(IF(VLOOKUP(E100,'ALIM AYARLARI'!$A$4:$D$20,2,FALSE)="EVET",F100*'GİDER AYARLARI'!$B$8*I100/30,0),0))</f>
      </c>
      <c r="P100" s="14">
        <f>IF(F100="","",SUM(J100:O100))</f>
      </c>
      <c r="Q100" s="14">
        <f>IF(F100="","",F100+P100)</f>
      </c>
      <c r="R100" s="2"/>
      <c r="S100" s="2"/>
      <c r="T100" s="3"/>
      <c r="U100" s="14">
        <f>IF(OR(F100="",T100=""),"",T100-F100)</f>
      </c>
      <c r="V100" s="14">
        <f>IF(T100="","",T100-Q100)</f>
      </c>
      <c r="W100" s="15">
        <f>IFERROR(V100/T100,"")</f>
      </c>
      <c r="X100" s="12">
        <f>IF(F100="","",IF(H100="","STOKTA","SATILDI"))</f>
      </c>
      <c r="Y100" s="2"/>
      <c r="Z100" s="3"/>
      <c r="AA100" s="3"/>
      <c r="AB100" s="3"/>
      <c r="AC100" s="14">
        <f>IF(F100="","",SUM(Z100:AB100))</f>
      </c>
      <c r="AD100" s="14">
        <f>IF(T100="","",V100+AC100)</f>
      </c>
    </row>
    <row r="101" spans="1:30">
      <c r="A101">
        <f>IF(D101="","",ROW()-3)</f>
      </c>
      <c r="B101" s="2"/>
      <c r="C101" s="18"/>
      <c r="D101" s="2"/>
      <c r="E101" s="2"/>
      <c r="F101" s="3"/>
      <c r="G101" s="16"/>
      <c r="H101" s="16"/>
      <c r="I101" s="17">
        <f>IF(G101="","",IF(H101="",TODAY()-G101,H101-G101))</f>
      </c>
      <c r="J101" s="13">
        <f>IF(F101="","",IFERROR(IF(VLOOKUP(E101,'ALIM AYARLARI'!$A$4:$D$20,3,FALSE)="EVET",'GİDER AYARLARI'!$B$4,0),0))</f>
      </c>
      <c r="K101" s="13">
        <f>IF(F101="","",'GİDER AYARLARI'!$B$5)</f>
      </c>
      <c r="L101" s="13">
        <f>IF(F101="","",'GİDER AYARLARI'!$B$6)</f>
      </c>
      <c r="M101" s="13">
        <f>IF(F101="","",IFERROR(IF(VLOOKUP(E101,'ALIM AYARLARI'!$A$4:$D$20,3,FALSE)="EVET",'GİDER AYARLARI'!$B$7,0),0))</f>
      </c>
      <c r="N101" s="3"/>
      <c r="O101" s="13">
        <f>IF(OR(F101="",I101=""),"",IFERROR(IF(VLOOKUP(E101,'ALIM AYARLARI'!$A$4:$D$20,2,FALSE)="EVET",F101*'GİDER AYARLARI'!$B$8*I101/30,0),0))</f>
      </c>
      <c r="P101" s="14">
        <f>IF(F101="","",SUM(J101:O101))</f>
      </c>
      <c r="Q101" s="14">
        <f>IF(F101="","",F101+P101)</f>
      </c>
      <c r="R101" s="2"/>
      <c r="S101" s="2"/>
      <c r="T101" s="3"/>
      <c r="U101" s="14">
        <f>IF(OR(F101="",T101=""),"",T101-F101)</f>
      </c>
      <c r="V101" s="14">
        <f>IF(T101="","",T101-Q101)</f>
      </c>
      <c r="W101" s="15">
        <f>IFERROR(V101/T101,"")</f>
      </c>
      <c r="X101" s="12">
        <f>IF(F101="","",IF(H101="","STOKTA","SATILDI"))</f>
      </c>
      <c r="Y101" s="2"/>
      <c r="Z101" s="3"/>
      <c r="AA101" s="3"/>
      <c r="AB101" s="3"/>
      <c r="AC101" s="14">
        <f>IF(F101="","",SUM(Z101:AB101))</f>
      </c>
      <c r="AD101" s="14">
        <f>IF(T101="","",V101+AC101)</f>
      </c>
    </row>
    <row r="102" spans="1:30">
      <c r="A102">
        <f>IF(D102="","",ROW()-3)</f>
      </c>
      <c r="B102" s="2"/>
      <c r="C102" s="18"/>
      <c r="D102" s="2"/>
      <c r="E102" s="2"/>
      <c r="F102" s="3"/>
      <c r="G102" s="16"/>
      <c r="H102" s="16"/>
      <c r="I102" s="17">
        <f>IF(G102="","",IF(H102="",TODAY()-G102,H102-G102))</f>
      </c>
      <c r="J102" s="13">
        <f>IF(F102="","",IFERROR(IF(VLOOKUP(E102,'ALIM AYARLARI'!$A$4:$D$20,3,FALSE)="EVET",'GİDER AYARLARI'!$B$4,0),0))</f>
      </c>
      <c r="K102" s="13">
        <f>IF(F102="","",'GİDER AYARLARI'!$B$5)</f>
      </c>
      <c r="L102" s="13">
        <f>IF(F102="","",'GİDER AYARLARI'!$B$6)</f>
      </c>
      <c r="M102" s="13">
        <f>IF(F102="","",IFERROR(IF(VLOOKUP(E102,'ALIM AYARLARI'!$A$4:$D$20,3,FALSE)="EVET",'GİDER AYARLARI'!$B$7,0),0))</f>
      </c>
      <c r="N102" s="3"/>
      <c r="O102" s="13">
        <f>IF(OR(F102="",I102=""),"",IFERROR(IF(VLOOKUP(E102,'ALIM AYARLARI'!$A$4:$D$20,2,FALSE)="EVET",F102*'GİDER AYARLARI'!$B$8*I102/30,0),0))</f>
      </c>
      <c r="P102" s="14">
        <f>IF(F102="","",SUM(J102:O102))</f>
      </c>
      <c r="Q102" s="14">
        <f>IF(F102="","",F102+P102)</f>
      </c>
      <c r="R102" s="2"/>
      <c r="S102" s="2"/>
      <c r="T102" s="3"/>
      <c r="U102" s="14">
        <f>IF(OR(F102="",T102=""),"",T102-F102)</f>
      </c>
      <c r="V102" s="14">
        <f>IF(T102="","",T102-Q102)</f>
      </c>
      <c r="W102" s="15">
        <f>IFERROR(V102/T102,"")</f>
      </c>
      <c r="X102" s="12">
        <f>IF(F102="","",IF(H102="","STOKTA","SATILDI"))</f>
      </c>
      <c r="Y102" s="2"/>
      <c r="Z102" s="3"/>
      <c r="AA102" s="3"/>
      <c r="AB102" s="3"/>
      <c r="AC102" s="14">
        <f>IF(F102="","",SUM(Z102:AB102))</f>
      </c>
      <c r="AD102" s="14">
        <f>IF(T102="","",V102+AC102)</f>
      </c>
    </row>
    <row r="103" spans="1:30">
      <c r="A103">
        <f>IF(D103="","",ROW()-3)</f>
      </c>
      <c r="B103" s="2"/>
      <c r="C103" s="18"/>
      <c r="D103" s="2"/>
      <c r="E103" s="2"/>
      <c r="F103" s="3"/>
      <c r="G103" s="16"/>
      <c r="H103" s="16"/>
      <c r="I103" s="17">
        <f>IF(G103="","",IF(H103="",TODAY()-G103,H103-G103))</f>
      </c>
      <c r="J103" s="13">
        <f>IF(F103="","",IFERROR(IF(VLOOKUP(E103,'ALIM AYARLARI'!$A$4:$D$20,3,FALSE)="EVET",'GİDER AYARLARI'!$B$4,0),0))</f>
      </c>
      <c r="K103" s="13">
        <f>IF(F103="","",'GİDER AYARLARI'!$B$5)</f>
      </c>
      <c r="L103" s="13">
        <f>IF(F103="","",'GİDER AYARLARI'!$B$6)</f>
      </c>
      <c r="M103" s="13">
        <f>IF(F103="","",IFERROR(IF(VLOOKUP(E103,'ALIM AYARLARI'!$A$4:$D$20,3,FALSE)="EVET",'GİDER AYARLARI'!$B$7,0),0))</f>
      </c>
      <c r="N103" s="3"/>
      <c r="O103" s="13">
        <f>IF(OR(F103="",I103=""),"",IFERROR(IF(VLOOKUP(E103,'ALIM AYARLARI'!$A$4:$D$20,2,FALSE)="EVET",F103*'GİDER AYARLARI'!$B$8*I103/30,0),0))</f>
      </c>
      <c r="P103" s="14">
        <f>IF(F103="","",SUM(J103:O103))</f>
      </c>
      <c r="Q103" s="14">
        <f>IF(F103="","",F103+P103)</f>
      </c>
      <c r="R103" s="2"/>
      <c r="S103" s="2"/>
      <c r="T103" s="3"/>
      <c r="U103" s="14">
        <f>IF(OR(F103="",T103=""),"",T103-F103)</f>
      </c>
      <c r="V103" s="14">
        <f>IF(T103="","",T103-Q103)</f>
      </c>
      <c r="W103" s="15">
        <f>IFERROR(V103/T103,"")</f>
      </c>
      <c r="X103" s="12">
        <f>IF(F103="","",IF(H103="","STOKTA","SATILDI"))</f>
      </c>
      <c r="Y103" s="2"/>
      <c r="Z103" s="3"/>
      <c r="AA103" s="3"/>
      <c r="AB103" s="3"/>
      <c r="AC103" s="14">
        <f>IF(F103="","",SUM(Z103:AB103))</f>
      </c>
      <c r="AD103" s="14">
        <f>IF(T103="","",V103+AC103)</f>
      </c>
    </row>
    <row r="104" spans="1:30">
      <c r="A104">
        <f>IF(D104="","",ROW()-3)</f>
      </c>
      <c r="B104" s="2"/>
      <c r="C104" s="18"/>
      <c r="D104" s="2"/>
      <c r="E104" s="2"/>
      <c r="F104" s="3"/>
      <c r="G104" s="16"/>
      <c r="H104" s="16"/>
      <c r="I104" s="17">
        <f>IF(G104="","",IF(H104="",TODAY()-G104,H104-G104))</f>
      </c>
      <c r="J104" s="13">
        <f>IF(F104="","",IFERROR(IF(VLOOKUP(E104,'ALIM AYARLARI'!$A$4:$D$20,3,FALSE)="EVET",'GİDER AYARLARI'!$B$4,0),0))</f>
      </c>
      <c r="K104" s="13">
        <f>IF(F104="","",'GİDER AYARLARI'!$B$5)</f>
      </c>
      <c r="L104" s="13">
        <f>IF(F104="","",'GİDER AYARLARI'!$B$6)</f>
      </c>
      <c r="M104" s="13">
        <f>IF(F104="","",IFERROR(IF(VLOOKUP(E104,'ALIM AYARLARI'!$A$4:$D$20,3,FALSE)="EVET",'GİDER AYARLARI'!$B$7,0),0))</f>
      </c>
      <c r="N104" s="3"/>
      <c r="O104" s="13">
        <f>IF(OR(F104="",I104=""),"",IFERROR(IF(VLOOKUP(E104,'ALIM AYARLARI'!$A$4:$D$20,2,FALSE)="EVET",F104*'GİDER AYARLARI'!$B$8*I104/30,0),0))</f>
      </c>
      <c r="P104" s="14">
        <f>IF(F104="","",SUM(J104:O104))</f>
      </c>
      <c r="Q104" s="14">
        <f>IF(F104="","",F104+P104)</f>
      </c>
      <c r="R104" s="2"/>
      <c r="S104" s="2"/>
      <c r="T104" s="3"/>
      <c r="U104" s="14">
        <f>IF(OR(F104="",T104=""),"",T104-F104)</f>
      </c>
      <c r="V104" s="14">
        <f>IF(T104="","",T104-Q104)</f>
      </c>
      <c r="W104" s="15">
        <f>IFERROR(V104/T104,"")</f>
      </c>
      <c r="X104" s="12">
        <f>IF(F104="","",IF(H104="","STOKTA","SATILDI"))</f>
      </c>
      <c r="Y104" s="2"/>
      <c r="Z104" s="3"/>
      <c r="AA104" s="3"/>
      <c r="AB104" s="3"/>
      <c r="AC104" s="14">
        <f>IF(F104="","",SUM(Z104:AB104))</f>
      </c>
      <c r="AD104" s="14">
        <f>IF(T104="","",V104+AC104)</f>
      </c>
    </row>
    <row r="105" spans="1:30">
      <c r="A105">
        <f>IF(D105="","",ROW()-3)</f>
      </c>
      <c r="B105" s="2"/>
      <c r="C105" s="18"/>
      <c r="D105" s="2"/>
      <c r="E105" s="2"/>
      <c r="F105" s="3"/>
      <c r="G105" s="16"/>
      <c r="H105" s="16"/>
      <c r="I105" s="17">
        <f>IF(G105="","",IF(H105="",TODAY()-G105,H105-G105))</f>
      </c>
      <c r="J105" s="13">
        <f>IF(F105="","",IFERROR(IF(VLOOKUP(E105,'ALIM AYARLARI'!$A$4:$D$20,3,FALSE)="EVET",'GİDER AYARLARI'!$B$4,0),0))</f>
      </c>
      <c r="K105" s="13">
        <f>IF(F105="","",'GİDER AYARLARI'!$B$5)</f>
      </c>
      <c r="L105" s="13">
        <f>IF(F105="","",'GİDER AYARLARI'!$B$6)</f>
      </c>
      <c r="M105" s="13">
        <f>IF(F105="","",IFERROR(IF(VLOOKUP(E105,'ALIM AYARLARI'!$A$4:$D$20,3,FALSE)="EVET",'GİDER AYARLARI'!$B$7,0),0))</f>
      </c>
      <c r="N105" s="3"/>
      <c r="O105" s="13">
        <f>IF(OR(F105="",I105=""),"",IFERROR(IF(VLOOKUP(E105,'ALIM AYARLARI'!$A$4:$D$20,2,FALSE)="EVET",F105*'GİDER AYARLARI'!$B$8*I105/30,0),0))</f>
      </c>
      <c r="P105" s="14">
        <f>IF(F105="","",SUM(J105:O105))</f>
      </c>
      <c r="Q105" s="14">
        <f>IF(F105="","",F105+P105)</f>
      </c>
      <c r="R105" s="2"/>
      <c r="S105" s="2"/>
      <c r="T105" s="3"/>
      <c r="U105" s="14">
        <f>IF(OR(F105="",T105=""),"",T105-F105)</f>
      </c>
      <c r="V105" s="14">
        <f>IF(T105="","",T105-Q105)</f>
      </c>
      <c r="W105" s="15">
        <f>IFERROR(V105/T105,"")</f>
      </c>
      <c r="X105" s="12">
        <f>IF(F105="","",IF(H105="","STOKTA","SATILDI"))</f>
      </c>
      <c r="Y105" s="2"/>
      <c r="Z105" s="3"/>
      <c r="AA105" s="3"/>
      <c r="AB105" s="3"/>
      <c r="AC105" s="14">
        <f>IF(F105="","",SUM(Z105:AB105))</f>
      </c>
      <c r="AD105" s="14">
        <f>IF(T105="","",V105+AC105)</f>
      </c>
    </row>
    <row r="106" spans="1:30">
      <c r="A106">
        <f>IF(D106="","",ROW()-3)</f>
      </c>
      <c r="B106" s="2"/>
      <c r="C106" s="18"/>
      <c r="D106" s="2"/>
      <c r="E106" s="2"/>
      <c r="F106" s="3"/>
      <c r="G106" s="16"/>
      <c r="H106" s="16"/>
      <c r="I106" s="17">
        <f>IF(G106="","",IF(H106="",TODAY()-G106,H106-G106))</f>
      </c>
      <c r="J106" s="13">
        <f>IF(F106="","",IFERROR(IF(VLOOKUP(E106,'ALIM AYARLARI'!$A$4:$D$20,3,FALSE)="EVET",'GİDER AYARLARI'!$B$4,0),0))</f>
      </c>
      <c r="K106" s="13">
        <f>IF(F106="","",'GİDER AYARLARI'!$B$5)</f>
      </c>
      <c r="L106" s="13">
        <f>IF(F106="","",'GİDER AYARLARI'!$B$6)</f>
      </c>
      <c r="M106" s="13">
        <f>IF(F106="","",IFERROR(IF(VLOOKUP(E106,'ALIM AYARLARI'!$A$4:$D$20,3,FALSE)="EVET",'GİDER AYARLARI'!$B$7,0),0))</f>
      </c>
      <c r="N106" s="3"/>
      <c r="O106" s="13">
        <f>IF(OR(F106="",I106=""),"",IFERROR(IF(VLOOKUP(E106,'ALIM AYARLARI'!$A$4:$D$20,2,FALSE)="EVET",F106*'GİDER AYARLARI'!$B$8*I106/30,0),0))</f>
      </c>
      <c r="P106" s="14">
        <f>IF(F106="","",SUM(J106:O106))</f>
      </c>
      <c r="Q106" s="14">
        <f>IF(F106="","",F106+P106)</f>
      </c>
      <c r="R106" s="2"/>
      <c r="S106" s="2"/>
      <c r="T106" s="3"/>
      <c r="U106" s="14">
        <f>IF(OR(F106="",T106=""),"",T106-F106)</f>
      </c>
      <c r="V106" s="14">
        <f>IF(T106="","",T106-Q106)</f>
      </c>
      <c r="W106" s="15">
        <f>IFERROR(V106/T106,"")</f>
      </c>
      <c r="X106" s="12">
        <f>IF(F106="","",IF(H106="","STOKTA","SATILDI"))</f>
      </c>
      <c r="Y106" s="2"/>
      <c r="Z106" s="3"/>
      <c r="AA106" s="3"/>
      <c r="AB106" s="3"/>
      <c r="AC106" s="14">
        <f>IF(F106="","",SUM(Z106:AB106))</f>
      </c>
      <c r="AD106" s="14">
        <f>IF(T106="","",V106+AC106)</f>
      </c>
    </row>
    <row r="107" spans="1:30">
      <c r="A107">
        <f>IF(D107="","",ROW()-3)</f>
      </c>
      <c r="B107" s="2"/>
      <c r="C107" s="18"/>
      <c r="D107" s="2"/>
      <c r="E107" s="2"/>
      <c r="F107" s="3"/>
      <c r="G107" s="16"/>
      <c r="H107" s="16"/>
      <c r="I107" s="17">
        <f>IF(G107="","",IF(H107="",TODAY()-G107,H107-G107))</f>
      </c>
      <c r="J107" s="13">
        <f>IF(F107="","",IFERROR(IF(VLOOKUP(E107,'ALIM AYARLARI'!$A$4:$D$20,3,FALSE)="EVET",'GİDER AYARLARI'!$B$4,0),0))</f>
      </c>
      <c r="K107" s="13">
        <f>IF(F107="","",'GİDER AYARLARI'!$B$5)</f>
      </c>
      <c r="L107" s="13">
        <f>IF(F107="","",'GİDER AYARLARI'!$B$6)</f>
      </c>
      <c r="M107" s="13">
        <f>IF(F107="","",IFERROR(IF(VLOOKUP(E107,'ALIM AYARLARI'!$A$4:$D$20,3,FALSE)="EVET",'GİDER AYARLARI'!$B$7,0),0))</f>
      </c>
      <c r="N107" s="3"/>
      <c r="O107" s="13">
        <f>IF(OR(F107="",I107=""),"",IFERROR(IF(VLOOKUP(E107,'ALIM AYARLARI'!$A$4:$D$20,2,FALSE)="EVET",F107*'GİDER AYARLARI'!$B$8*I107/30,0),0))</f>
      </c>
      <c r="P107" s="14">
        <f>IF(F107="","",SUM(J107:O107))</f>
      </c>
      <c r="Q107" s="14">
        <f>IF(F107="","",F107+P107)</f>
      </c>
      <c r="R107" s="2"/>
      <c r="S107" s="2"/>
      <c r="T107" s="3"/>
      <c r="U107" s="14">
        <f>IF(OR(F107="",T107=""),"",T107-F107)</f>
      </c>
      <c r="V107" s="14">
        <f>IF(T107="","",T107-Q107)</f>
      </c>
      <c r="W107" s="15">
        <f>IFERROR(V107/T107,"")</f>
      </c>
      <c r="X107" s="12">
        <f>IF(F107="","",IF(H107="","STOKTA","SATILDI"))</f>
      </c>
      <c r="Y107" s="2"/>
      <c r="Z107" s="3"/>
      <c r="AA107" s="3"/>
      <c r="AB107" s="3"/>
      <c r="AC107" s="14">
        <f>IF(F107="","",SUM(Z107:AB107))</f>
      </c>
      <c r="AD107" s="14">
        <f>IF(T107="","",V107+AC107)</f>
      </c>
    </row>
    <row r="108" spans="1:30">
      <c r="A108">
        <f>IF(D108="","",ROW()-3)</f>
      </c>
      <c r="B108" s="2"/>
      <c r="C108" s="18"/>
      <c r="D108" s="2"/>
      <c r="E108" s="2"/>
      <c r="F108" s="3"/>
      <c r="G108" s="16"/>
      <c r="H108" s="16"/>
      <c r="I108" s="17">
        <f>IF(G108="","",IF(H108="",TODAY()-G108,H108-G108))</f>
      </c>
      <c r="J108" s="13">
        <f>IF(F108="","",IFERROR(IF(VLOOKUP(E108,'ALIM AYARLARI'!$A$4:$D$20,3,FALSE)="EVET",'GİDER AYARLARI'!$B$4,0),0))</f>
      </c>
      <c r="K108" s="13">
        <f>IF(F108="","",'GİDER AYARLARI'!$B$5)</f>
      </c>
      <c r="L108" s="13">
        <f>IF(F108="","",'GİDER AYARLARI'!$B$6)</f>
      </c>
      <c r="M108" s="13">
        <f>IF(F108="","",IFERROR(IF(VLOOKUP(E108,'ALIM AYARLARI'!$A$4:$D$20,3,FALSE)="EVET",'GİDER AYARLARI'!$B$7,0),0))</f>
      </c>
      <c r="N108" s="3"/>
      <c r="O108" s="13">
        <f>IF(OR(F108="",I108=""),"",IFERROR(IF(VLOOKUP(E108,'ALIM AYARLARI'!$A$4:$D$20,2,FALSE)="EVET",F108*'GİDER AYARLARI'!$B$8*I108/30,0),0))</f>
      </c>
      <c r="P108" s="14">
        <f>IF(F108="","",SUM(J108:O108))</f>
      </c>
      <c r="Q108" s="14">
        <f>IF(F108="","",F108+P108)</f>
      </c>
      <c r="R108" s="2"/>
      <c r="S108" s="2"/>
      <c r="T108" s="3"/>
      <c r="U108" s="14">
        <f>IF(OR(F108="",T108=""),"",T108-F108)</f>
      </c>
      <c r="V108" s="14">
        <f>IF(T108="","",T108-Q108)</f>
      </c>
      <c r="W108" s="15">
        <f>IFERROR(V108/T108,"")</f>
      </c>
      <c r="X108" s="12">
        <f>IF(F108="","",IF(H108="","STOKTA","SATILDI"))</f>
      </c>
      <c r="Y108" s="2"/>
      <c r="Z108" s="3"/>
      <c r="AA108" s="3"/>
      <c r="AB108" s="3"/>
      <c r="AC108" s="14">
        <f>IF(F108="","",SUM(Z108:AB108))</f>
      </c>
      <c r="AD108" s="14">
        <f>IF(T108="","",V108+AC108)</f>
      </c>
    </row>
    <row r="109" spans="1:30">
      <c r="A109">
        <f>IF(D109="","",ROW()-3)</f>
      </c>
      <c r="B109" s="2"/>
      <c r="C109" s="18"/>
      <c r="D109" s="2"/>
      <c r="E109" s="2"/>
      <c r="F109" s="3"/>
      <c r="G109" s="16"/>
      <c r="H109" s="16"/>
      <c r="I109" s="17">
        <f>IF(G109="","",IF(H109="",TODAY()-G109,H109-G109))</f>
      </c>
      <c r="J109" s="13">
        <f>IF(F109="","",IFERROR(IF(VLOOKUP(E109,'ALIM AYARLARI'!$A$4:$D$20,3,FALSE)="EVET",'GİDER AYARLARI'!$B$4,0),0))</f>
      </c>
      <c r="K109" s="13">
        <f>IF(F109="","",'GİDER AYARLARI'!$B$5)</f>
      </c>
      <c r="L109" s="13">
        <f>IF(F109="","",'GİDER AYARLARI'!$B$6)</f>
      </c>
      <c r="M109" s="13">
        <f>IF(F109="","",IFERROR(IF(VLOOKUP(E109,'ALIM AYARLARI'!$A$4:$D$20,3,FALSE)="EVET",'GİDER AYARLARI'!$B$7,0),0))</f>
      </c>
      <c r="N109" s="3"/>
      <c r="O109" s="13">
        <f>IF(OR(F109="",I109=""),"",IFERROR(IF(VLOOKUP(E109,'ALIM AYARLARI'!$A$4:$D$20,2,FALSE)="EVET",F109*'GİDER AYARLARI'!$B$8*I109/30,0),0))</f>
      </c>
      <c r="P109" s="14">
        <f>IF(F109="","",SUM(J109:O109))</f>
      </c>
      <c r="Q109" s="14">
        <f>IF(F109="","",F109+P109)</f>
      </c>
      <c r="R109" s="2"/>
      <c r="S109" s="2"/>
      <c r="T109" s="3"/>
      <c r="U109" s="14">
        <f>IF(OR(F109="",T109=""),"",T109-F109)</f>
      </c>
      <c r="V109" s="14">
        <f>IF(T109="","",T109-Q109)</f>
      </c>
      <c r="W109" s="15">
        <f>IFERROR(V109/T109,"")</f>
      </c>
      <c r="X109" s="12">
        <f>IF(F109="","",IF(H109="","STOKTA","SATILDI"))</f>
      </c>
      <c r="Y109" s="2"/>
      <c r="Z109" s="3"/>
      <c r="AA109" s="3"/>
      <c r="AB109" s="3"/>
      <c r="AC109" s="14">
        <f>IF(F109="","",SUM(Z109:AB109))</f>
      </c>
      <c r="AD109" s="14">
        <f>IF(T109="","",V109+AC109)</f>
      </c>
    </row>
    <row r="110" spans="1:30">
      <c r="A110">
        <f>IF(D110="","",ROW()-3)</f>
      </c>
      <c r="B110" s="2"/>
      <c r="C110" s="18"/>
      <c r="D110" s="2"/>
      <c r="E110" s="2"/>
      <c r="F110" s="3"/>
      <c r="G110" s="16"/>
      <c r="H110" s="16"/>
      <c r="I110" s="17">
        <f>IF(G110="","",IF(H110="",TODAY()-G110,H110-G110))</f>
      </c>
      <c r="J110" s="13">
        <f>IF(F110="","",IFERROR(IF(VLOOKUP(E110,'ALIM AYARLARI'!$A$4:$D$20,3,FALSE)="EVET",'GİDER AYARLARI'!$B$4,0),0))</f>
      </c>
      <c r="K110" s="13">
        <f>IF(F110="","",'GİDER AYARLARI'!$B$5)</f>
      </c>
      <c r="L110" s="13">
        <f>IF(F110="","",'GİDER AYARLARI'!$B$6)</f>
      </c>
      <c r="M110" s="13">
        <f>IF(F110="","",IFERROR(IF(VLOOKUP(E110,'ALIM AYARLARI'!$A$4:$D$20,3,FALSE)="EVET",'GİDER AYARLARI'!$B$7,0),0))</f>
      </c>
      <c r="N110" s="3"/>
      <c r="O110" s="13">
        <f>IF(OR(F110="",I110=""),"",IFERROR(IF(VLOOKUP(E110,'ALIM AYARLARI'!$A$4:$D$20,2,FALSE)="EVET",F110*'GİDER AYARLARI'!$B$8*I110/30,0),0))</f>
      </c>
      <c r="P110" s="14">
        <f>IF(F110="","",SUM(J110:O110))</f>
      </c>
      <c r="Q110" s="14">
        <f>IF(F110="","",F110+P110)</f>
      </c>
      <c r="R110" s="2"/>
      <c r="S110" s="2"/>
      <c r="T110" s="3"/>
      <c r="U110" s="14">
        <f>IF(OR(F110="",T110=""),"",T110-F110)</f>
      </c>
      <c r="V110" s="14">
        <f>IF(T110="","",T110-Q110)</f>
      </c>
      <c r="W110" s="15">
        <f>IFERROR(V110/T110,"")</f>
      </c>
      <c r="X110" s="12">
        <f>IF(F110="","",IF(H110="","STOKTA","SATILDI"))</f>
      </c>
      <c r="Y110" s="2"/>
      <c r="Z110" s="3"/>
      <c r="AA110" s="3"/>
      <c r="AB110" s="3"/>
      <c r="AC110" s="14">
        <f>IF(F110="","",SUM(Z110:AB110))</f>
      </c>
      <c r="AD110" s="14">
        <f>IF(T110="","",V110+AC110)</f>
      </c>
    </row>
    <row r="111" spans="1:30">
      <c r="A111">
        <f>IF(D111="","",ROW()-3)</f>
      </c>
      <c r="B111" s="2"/>
      <c r="C111" s="18"/>
      <c r="D111" s="2"/>
      <c r="E111" s="2"/>
      <c r="F111" s="3"/>
      <c r="G111" s="16"/>
      <c r="H111" s="16"/>
      <c r="I111" s="17">
        <f>IF(G111="","",IF(H111="",TODAY()-G111,H111-G111))</f>
      </c>
      <c r="J111" s="13">
        <f>IF(F111="","",IFERROR(IF(VLOOKUP(E111,'ALIM AYARLARI'!$A$4:$D$20,3,FALSE)="EVET",'GİDER AYARLARI'!$B$4,0),0))</f>
      </c>
      <c r="K111" s="13">
        <f>IF(F111="","",'GİDER AYARLARI'!$B$5)</f>
      </c>
      <c r="L111" s="13">
        <f>IF(F111="","",'GİDER AYARLARI'!$B$6)</f>
      </c>
      <c r="M111" s="13">
        <f>IF(F111="","",IFERROR(IF(VLOOKUP(E111,'ALIM AYARLARI'!$A$4:$D$20,3,FALSE)="EVET",'GİDER AYARLARI'!$B$7,0),0))</f>
      </c>
      <c r="N111" s="3"/>
      <c r="O111" s="13">
        <f>IF(OR(F111="",I111=""),"",IFERROR(IF(VLOOKUP(E111,'ALIM AYARLARI'!$A$4:$D$20,2,FALSE)="EVET",F111*'GİDER AYARLARI'!$B$8*I111/30,0),0))</f>
      </c>
      <c r="P111" s="14">
        <f>IF(F111="","",SUM(J111:O111))</f>
      </c>
      <c r="Q111" s="14">
        <f>IF(F111="","",F111+P111)</f>
      </c>
      <c r="R111" s="2"/>
      <c r="S111" s="2"/>
      <c r="T111" s="3"/>
      <c r="U111" s="14">
        <f>IF(OR(F111="",T111=""),"",T111-F111)</f>
      </c>
      <c r="V111" s="14">
        <f>IF(T111="","",T111-Q111)</f>
      </c>
      <c r="W111" s="15">
        <f>IFERROR(V111/T111,"")</f>
      </c>
      <c r="X111" s="12">
        <f>IF(F111="","",IF(H111="","STOKTA","SATILDI"))</f>
      </c>
      <c r="Y111" s="2"/>
      <c r="Z111" s="3"/>
      <c r="AA111" s="3"/>
      <c r="AB111" s="3"/>
      <c r="AC111" s="14">
        <f>IF(F111="","",SUM(Z111:AB111))</f>
      </c>
      <c r="AD111" s="14">
        <f>IF(T111="","",V111+AC111)</f>
      </c>
    </row>
    <row r="112" spans="1:30">
      <c r="A112">
        <f>IF(D112="","",ROW()-3)</f>
      </c>
      <c r="B112" s="2"/>
      <c r="C112" s="18"/>
      <c r="D112" s="2"/>
      <c r="E112" s="2"/>
      <c r="F112" s="3"/>
      <c r="G112" s="16"/>
      <c r="H112" s="16"/>
      <c r="I112" s="17">
        <f>IF(G112="","",IF(H112="",TODAY()-G112,H112-G112))</f>
      </c>
      <c r="J112" s="13">
        <f>IF(F112="","",IFERROR(IF(VLOOKUP(E112,'ALIM AYARLARI'!$A$4:$D$20,3,FALSE)="EVET",'GİDER AYARLARI'!$B$4,0),0))</f>
      </c>
      <c r="K112" s="13">
        <f>IF(F112="","",'GİDER AYARLARI'!$B$5)</f>
      </c>
      <c r="L112" s="13">
        <f>IF(F112="","",'GİDER AYARLARI'!$B$6)</f>
      </c>
      <c r="M112" s="13">
        <f>IF(F112="","",IFERROR(IF(VLOOKUP(E112,'ALIM AYARLARI'!$A$4:$D$20,3,FALSE)="EVET",'GİDER AYARLARI'!$B$7,0),0))</f>
      </c>
      <c r="N112" s="3"/>
      <c r="O112" s="13">
        <f>IF(OR(F112="",I112=""),"",IFERROR(IF(VLOOKUP(E112,'ALIM AYARLARI'!$A$4:$D$20,2,FALSE)="EVET",F112*'GİDER AYARLARI'!$B$8*I112/30,0),0))</f>
      </c>
      <c r="P112" s="14">
        <f>IF(F112="","",SUM(J112:O112))</f>
      </c>
      <c r="Q112" s="14">
        <f>IF(F112="","",F112+P112)</f>
      </c>
      <c r="R112" s="2"/>
      <c r="S112" s="2"/>
      <c r="T112" s="3"/>
      <c r="U112" s="14">
        <f>IF(OR(F112="",T112=""),"",T112-F112)</f>
      </c>
      <c r="V112" s="14">
        <f>IF(T112="","",T112-Q112)</f>
      </c>
      <c r="W112" s="15">
        <f>IFERROR(V112/T112,"")</f>
      </c>
      <c r="X112" s="12">
        <f>IF(F112="","",IF(H112="","STOKTA","SATILDI"))</f>
      </c>
      <c r="Y112" s="2"/>
      <c r="Z112" s="3"/>
      <c r="AA112" s="3"/>
      <c r="AB112" s="3"/>
      <c r="AC112" s="14">
        <f>IF(F112="","",SUM(Z112:AB112))</f>
      </c>
      <c r="AD112" s="14">
        <f>IF(T112="","",V112+AC112)</f>
      </c>
    </row>
    <row r="113" spans="1:30">
      <c r="A113">
        <f>IF(D113="","",ROW()-3)</f>
      </c>
      <c r="B113" s="2"/>
      <c r="C113" s="18"/>
      <c r="D113" s="2"/>
      <c r="E113" s="2"/>
      <c r="F113" s="3"/>
      <c r="G113" s="16"/>
      <c r="H113" s="16"/>
      <c r="I113" s="17">
        <f>IF(G113="","",IF(H113="",TODAY()-G113,H113-G113))</f>
      </c>
      <c r="J113" s="13">
        <f>IF(F113="","",IFERROR(IF(VLOOKUP(E113,'ALIM AYARLARI'!$A$4:$D$20,3,FALSE)="EVET",'GİDER AYARLARI'!$B$4,0),0))</f>
      </c>
      <c r="K113" s="13">
        <f>IF(F113="","",'GİDER AYARLARI'!$B$5)</f>
      </c>
      <c r="L113" s="13">
        <f>IF(F113="","",'GİDER AYARLARI'!$B$6)</f>
      </c>
      <c r="M113" s="13">
        <f>IF(F113="","",IFERROR(IF(VLOOKUP(E113,'ALIM AYARLARI'!$A$4:$D$20,3,FALSE)="EVET",'GİDER AYARLARI'!$B$7,0),0))</f>
      </c>
      <c r="N113" s="3"/>
      <c r="O113" s="13">
        <f>IF(OR(F113="",I113=""),"",IFERROR(IF(VLOOKUP(E113,'ALIM AYARLARI'!$A$4:$D$20,2,FALSE)="EVET",F113*'GİDER AYARLARI'!$B$8*I113/30,0),0))</f>
      </c>
      <c r="P113" s="14">
        <f>IF(F113="","",SUM(J113:O113))</f>
      </c>
      <c r="Q113" s="14">
        <f>IF(F113="","",F113+P113)</f>
      </c>
      <c r="R113" s="2"/>
      <c r="S113" s="2"/>
      <c r="T113" s="3"/>
      <c r="U113" s="14">
        <f>IF(OR(F113="",T113=""),"",T113-F113)</f>
      </c>
      <c r="V113" s="14">
        <f>IF(T113="","",T113-Q113)</f>
      </c>
      <c r="W113" s="15">
        <f>IFERROR(V113/T113,"")</f>
      </c>
      <c r="X113" s="12">
        <f>IF(F113="","",IF(H113="","STOKTA","SATILDI"))</f>
      </c>
      <c r="Y113" s="2"/>
      <c r="Z113" s="3"/>
      <c r="AA113" s="3"/>
      <c r="AB113" s="3"/>
      <c r="AC113" s="14">
        <f>IF(F113="","",SUM(Z113:AB113))</f>
      </c>
      <c r="AD113" s="14">
        <f>IF(T113="","",V113+AC113)</f>
      </c>
    </row>
    <row r="114" spans="1:30">
      <c r="A114">
        <f>IF(D114="","",ROW()-3)</f>
      </c>
      <c r="B114" s="2"/>
      <c r="C114" s="18"/>
      <c r="D114" s="2"/>
      <c r="E114" s="2"/>
      <c r="F114" s="3"/>
      <c r="G114" s="16"/>
      <c r="H114" s="16"/>
      <c r="I114" s="17">
        <f>IF(G114="","",IF(H114="",TODAY()-G114,H114-G114))</f>
      </c>
      <c r="J114" s="13">
        <f>IF(F114="","",IFERROR(IF(VLOOKUP(E114,'ALIM AYARLARI'!$A$4:$D$20,3,FALSE)="EVET",'GİDER AYARLARI'!$B$4,0),0))</f>
      </c>
      <c r="K114" s="13">
        <f>IF(F114="","",'GİDER AYARLARI'!$B$5)</f>
      </c>
      <c r="L114" s="13">
        <f>IF(F114="","",'GİDER AYARLARI'!$B$6)</f>
      </c>
      <c r="M114" s="13">
        <f>IF(F114="","",IFERROR(IF(VLOOKUP(E114,'ALIM AYARLARI'!$A$4:$D$20,3,FALSE)="EVET",'GİDER AYARLARI'!$B$7,0),0))</f>
      </c>
      <c r="N114" s="3"/>
      <c r="O114" s="13">
        <f>IF(OR(F114="",I114=""),"",IFERROR(IF(VLOOKUP(E114,'ALIM AYARLARI'!$A$4:$D$20,2,FALSE)="EVET",F114*'GİDER AYARLARI'!$B$8*I114/30,0),0))</f>
      </c>
      <c r="P114" s="14">
        <f>IF(F114="","",SUM(J114:O114))</f>
      </c>
      <c r="Q114" s="14">
        <f>IF(F114="","",F114+P114)</f>
      </c>
      <c r="R114" s="2"/>
      <c r="S114" s="2"/>
      <c r="T114" s="3"/>
      <c r="U114" s="14">
        <f>IF(OR(F114="",T114=""),"",T114-F114)</f>
      </c>
      <c r="V114" s="14">
        <f>IF(T114="","",T114-Q114)</f>
      </c>
      <c r="W114" s="15">
        <f>IFERROR(V114/T114,"")</f>
      </c>
      <c r="X114" s="12">
        <f>IF(F114="","",IF(H114="","STOKTA","SATILDI"))</f>
      </c>
      <c r="Y114" s="2"/>
      <c r="Z114" s="3"/>
      <c r="AA114" s="3"/>
      <c r="AB114" s="3"/>
      <c r="AC114" s="14">
        <f>IF(F114="","",SUM(Z114:AB114))</f>
      </c>
      <c r="AD114" s="14">
        <f>IF(T114="","",V114+AC114)</f>
      </c>
    </row>
    <row r="115" spans="1:30">
      <c r="A115">
        <f>IF(D115="","",ROW()-3)</f>
      </c>
      <c r="B115" s="2"/>
      <c r="C115" s="18"/>
      <c r="D115" s="2"/>
      <c r="E115" s="2"/>
      <c r="F115" s="3"/>
      <c r="G115" s="16"/>
      <c r="H115" s="16"/>
      <c r="I115" s="17">
        <f>IF(G115="","",IF(H115="",TODAY()-G115,H115-G115))</f>
      </c>
      <c r="J115" s="13">
        <f>IF(F115="","",IFERROR(IF(VLOOKUP(E115,'ALIM AYARLARI'!$A$4:$D$20,3,FALSE)="EVET",'GİDER AYARLARI'!$B$4,0),0))</f>
      </c>
      <c r="K115" s="13">
        <f>IF(F115="","",'GİDER AYARLARI'!$B$5)</f>
      </c>
      <c r="L115" s="13">
        <f>IF(F115="","",'GİDER AYARLARI'!$B$6)</f>
      </c>
      <c r="M115" s="13">
        <f>IF(F115="","",IFERROR(IF(VLOOKUP(E115,'ALIM AYARLARI'!$A$4:$D$20,3,FALSE)="EVET",'GİDER AYARLARI'!$B$7,0),0))</f>
      </c>
      <c r="N115" s="3"/>
      <c r="O115" s="13">
        <f>IF(OR(F115="",I115=""),"",IFERROR(IF(VLOOKUP(E115,'ALIM AYARLARI'!$A$4:$D$20,2,FALSE)="EVET",F115*'GİDER AYARLARI'!$B$8*I115/30,0),0))</f>
      </c>
      <c r="P115" s="14">
        <f>IF(F115="","",SUM(J115:O115))</f>
      </c>
      <c r="Q115" s="14">
        <f>IF(F115="","",F115+P115)</f>
      </c>
      <c r="R115" s="2"/>
      <c r="S115" s="2"/>
      <c r="T115" s="3"/>
      <c r="U115" s="14">
        <f>IF(OR(F115="",T115=""),"",T115-F115)</f>
      </c>
      <c r="V115" s="14">
        <f>IF(T115="","",T115-Q115)</f>
      </c>
      <c r="W115" s="15">
        <f>IFERROR(V115/T115,"")</f>
      </c>
      <c r="X115" s="12">
        <f>IF(F115="","",IF(H115="","STOKTA","SATILDI"))</f>
      </c>
      <c r="Y115" s="2"/>
      <c r="Z115" s="3"/>
      <c r="AA115" s="3"/>
      <c r="AB115" s="3"/>
      <c r="AC115" s="14">
        <f>IF(F115="","",SUM(Z115:AB115))</f>
      </c>
      <c r="AD115" s="14">
        <f>IF(T115="","",V115+AC115)</f>
      </c>
    </row>
    <row r="116" spans="1:30">
      <c r="A116">
        <f>IF(D116="","",ROW()-3)</f>
      </c>
      <c r="B116" s="2"/>
      <c r="C116" s="18"/>
      <c r="D116" s="2"/>
      <c r="E116" s="2"/>
      <c r="F116" s="3"/>
      <c r="G116" s="16"/>
      <c r="H116" s="16"/>
      <c r="I116" s="17">
        <f>IF(G116="","",IF(H116="",TODAY()-G116,H116-G116))</f>
      </c>
      <c r="J116" s="13">
        <f>IF(F116="","",IFERROR(IF(VLOOKUP(E116,'ALIM AYARLARI'!$A$4:$D$20,3,FALSE)="EVET",'GİDER AYARLARI'!$B$4,0),0))</f>
      </c>
      <c r="K116" s="13">
        <f>IF(F116="","",'GİDER AYARLARI'!$B$5)</f>
      </c>
      <c r="L116" s="13">
        <f>IF(F116="","",'GİDER AYARLARI'!$B$6)</f>
      </c>
      <c r="M116" s="13">
        <f>IF(F116="","",IFERROR(IF(VLOOKUP(E116,'ALIM AYARLARI'!$A$4:$D$20,3,FALSE)="EVET",'GİDER AYARLARI'!$B$7,0),0))</f>
      </c>
      <c r="N116" s="3"/>
      <c r="O116" s="13">
        <f>IF(OR(F116="",I116=""),"",IFERROR(IF(VLOOKUP(E116,'ALIM AYARLARI'!$A$4:$D$20,2,FALSE)="EVET",F116*'GİDER AYARLARI'!$B$8*I116/30,0),0))</f>
      </c>
      <c r="P116" s="14">
        <f>IF(F116="","",SUM(J116:O116))</f>
      </c>
      <c r="Q116" s="14">
        <f>IF(F116="","",F116+P116)</f>
      </c>
      <c r="R116" s="2"/>
      <c r="S116" s="2"/>
      <c r="T116" s="3"/>
      <c r="U116" s="14">
        <f>IF(OR(F116="",T116=""),"",T116-F116)</f>
      </c>
      <c r="V116" s="14">
        <f>IF(T116="","",T116-Q116)</f>
      </c>
      <c r="W116" s="15">
        <f>IFERROR(V116/T116,"")</f>
      </c>
      <c r="X116" s="12">
        <f>IF(F116="","",IF(H116="","STOKTA","SATILDI"))</f>
      </c>
      <c r="Y116" s="2"/>
      <c r="Z116" s="3"/>
      <c r="AA116" s="3"/>
      <c r="AB116" s="3"/>
      <c r="AC116" s="14">
        <f>IF(F116="","",SUM(Z116:AB116))</f>
      </c>
      <c r="AD116" s="14">
        <f>IF(T116="","",V116+AC116)</f>
      </c>
    </row>
    <row r="117" spans="1:30">
      <c r="A117">
        <f>IF(D117="","",ROW()-3)</f>
      </c>
      <c r="B117" s="2"/>
      <c r="C117" s="18"/>
      <c r="D117" s="2"/>
      <c r="E117" s="2"/>
      <c r="F117" s="3"/>
      <c r="G117" s="16"/>
      <c r="H117" s="16"/>
      <c r="I117" s="17">
        <f>IF(G117="","",IF(H117="",TODAY()-G117,H117-G117))</f>
      </c>
      <c r="J117" s="13">
        <f>IF(F117="","",IFERROR(IF(VLOOKUP(E117,'ALIM AYARLARI'!$A$4:$D$20,3,FALSE)="EVET",'GİDER AYARLARI'!$B$4,0),0))</f>
      </c>
      <c r="K117" s="13">
        <f>IF(F117="","",'GİDER AYARLARI'!$B$5)</f>
      </c>
      <c r="L117" s="13">
        <f>IF(F117="","",'GİDER AYARLARI'!$B$6)</f>
      </c>
      <c r="M117" s="13">
        <f>IF(F117="","",IFERROR(IF(VLOOKUP(E117,'ALIM AYARLARI'!$A$4:$D$20,3,FALSE)="EVET",'GİDER AYARLARI'!$B$7,0),0))</f>
      </c>
      <c r="N117" s="3"/>
      <c r="O117" s="13">
        <f>IF(OR(F117="",I117=""),"",IFERROR(IF(VLOOKUP(E117,'ALIM AYARLARI'!$A$4:$D$20,2,FALSE)="EVET",F117*'GİDER AYARLARI'!$B$8*I117/30,0),0))</f>
      </c>
      <c r="P117" s="14">
        <f>IF(F117="","",SUM(J117:O117))</f>
      </c>
      <c r="Q117" s="14">
        <f>IF(F117="","",F117+P117)</f>
      </c>
      <c r="R117" s="2"/>
      <c r="S117" s="2"/>
      <c r="T117" s="3"/>
      <c r="U117" s="14">
        <f>IF(OR(F117="",T117=""),"",T117-F117)</f>
      </c>
      <c r="V117" s="14">
        <f>IF(T117="","",T117-Q117)</f>
      </c>
      <c r="W117" s="15">
        <f>IFERROR(V117/T117,"")</f>
      </c>
      <c r="X117" s="12">
        <f>IF(F117="","",IF(H117="","STOKTA","SATILDI"))</f>
      </c>
      <c r="Y117" s="2"/>
      <c r="Z117" s="3"/>
      <c r="AA117" s="3"/>
      <c r="AB117" s="3"/>
      <c r="AC117" s="14">
        <f>IF(F117="","",SUM(Z117:AB117))</f>
      </c>
      <c r="AD117" s="14">
        <f>IF(T117="","",V117+AC117)</f>
      </c>
    </row>
    <row r="118" spans="1:30">
      <c r="A118">
        <f>IF(D118="","",ROW()-3)</f>
      </c>
      <c r="B118" s="2"/>
      <c r="C118" s="18"/>
      <c r="D118" s="2"/>
      <c r="E118" s="2"/>
      <c r="F118" s="3"/>
      <c r="G118" s="16"/>
      <c r="H118" s="16"/>
      <c r="I118" s="17">
        <f>IF(G118="","",IF(H118="",TODAY()-G118,H118-G118))</f>
      </c>
      <c r="J118" s="13">
        <f>IF(F118="","",IFERROR(IF(VLOOKUP(E118,'ALIM AYARLARI'!$A$4:$D$20,3,FALSE)="EVET",'GİDER AYARLARI'!$B$4,0),0))</f>
      </c>
      <c r="K118" s="13">
        <f>IF(F118="","",'GİDER AYARLARI'!$B$5)</f>
      </c>
      <c r="L118" s="13">
        <f>IF(F118="","",'GİDER AYARLARI'!$B$6)</f>
      </c>
      <c r="M118" s="13">
        <f>IF(F118="","",IFERROR(IF(VLOOKUP(E118,'ALIM AYARLARI'!$A$4:$D$20,3,FALSE)="EVET",'GİDER AYARLARI'!$B$7,0),0))</f>
      </c>
      <c r="N118" s="3"/>
      <c r="O118" s="13">
        <f>IF(OR(F118="",I118=""),"",IFERROR(IF(VLOOKUP(E118,'ALIM AYARLARI'!$A$4:$D$20,2,FALSE)="EVET",F118*'GİDER AYARLARI'!$B$8*I118/30,0),0))</f>
      </c>
      <c r="P118" s="14">
        <f>IF(F118="","",SUM(J118:O118))</f>
      </c>
      <c r="Q118" s="14">
        <f>IF(F118="","",F118+P118)</f>
      </c>
      <c r="R118" s="2"/>
      <c r="S118" s="2"/>
      <c r="T118" s="3"/>
      <c r="U118" s="14">
        <f>IF(OR(F118="",T118=""),"",T118-F118)</f>
      </c>
      <c r="V118" s="14">
        <f>IF(T118="","",T118-Q118)</f>
      </c>
      <c r="W118" s="15">
        <f>IFERROR(V118/T118,"")</f>
      </c>
      <c r="X118" s="12">
        <f>IF(F118="","",IF(H118="","STOKTA","SATILDI"))</f>
      </c>
      <c r="Y118" s="2"/>
      <c r="Z118" s="3"/>
      <c r="AA118" s="3"/>
      <c r="AB118" s="3"/>
      <c r="AC118" s="14">
        <f>IF(F118="","",SUM(Z118:AB118))</f>
      </c>
      <c r="AD118" s="14">
        <f>IF(T118="","",V118+AC118)</f>
      </c>
    </row>
    <row r="119" spans="1:30">
      <c r="A119">
        <f>IF(D119="","",ROW()-3)</f>
      </c>
      <c r="B119" s="2"/>
      <c r="C119" s="18"/>
      <c r="D119" s="2"/>
      <c r="E119" s="2"/>
      <c r="F119" s="3"/>
      <c r="G119" s="16"/>
      <c r="H119" s="16"/>
      <c r="I119" s="17">
        <f>IF(G119="","",IF(H119="",TODAY()-G119,H119-G119))</f>
      </c>
      <c r="J119" s="13">
        <f>IF(F119="","",IFERROR(IF(VLOOKUP(E119,'ALIM AYARLARI'!$A$4:$D$20,3,FALSE)="EVET",'GİDER AYARLARI'!$B$4,0),0))</f>
      </c>
      <c r="K119" s="13">
        <f>IF(F119="","",'GİDER AYARLARI'!$B$5)</f>
      </c>
      <c r="L119" s="13">
        <f>IF(F119="","",'GİDER AYARLARI'!$B$6)</f>
      </c>
      <c r="M119" s="13">
        <f>IF(F119="","",IFERROR(IF(VLOOKUP(E119,'ALIM AYARLARI'!$A$4:$D$20,3,FALSE)="EVET",'GİDER AYARLARI'!$B$7,0),0))</f>
      </c>
      <c r="N119" s="3"/>
      <c r="O119" s="13">
        <f>IF(OR(F119="",I119=""),"",IFERROR(IF(VLOOKUP(E119,'ALIM AYARLARI'!$A$4:$D$20,2,FALSE)="EVET",F119*'GİDER AYARLARI'!$B$8*I119/30,0),0))</f>
      </c>
      <c r="P119" s="14">
        <f>IF(F119="","",SUM(J119:O119))</f>
      </c>
      <c r="Q119" s="14">
        <f>IF(F119="","",F119+P119)</f>
      </c>
      <c r="R119" s="2"/>
      <c r="S119" s="2"/>
      <c r="T119" s="3"/>
      <c r="U119" s="14">
        <f>IF(OR(F119="",T119=""),"",T119-F119)</f>
      </c>
      <c r="V119" s="14">
        <f>IF(T119="","",T119-Q119)</f>
      </c>
      <c r="W119" s="15">
        <f>IFERROR(V119/T119,"")</f>
      </c>
      <c r="X119" s="12">
        <f>IF(F119="","",IF(H119="","STOKTA","SATILDI"))</f>
      </c>
      <c r="Y119" s="2"/>
      <c r="Z119" s="3"/>
      <c r="AA119" s="3"/>
      <c r="AB119" s="3"/>
      <c r="AC119" s="14">
        <f>IF(F119="","",SUM(Z119:AB119))</f>
      </c>
      <c r="AD119" s="14">
        <f>IF(T119="","",V119+AC119)</f>
      </c>
    </row>
    <row r="120" spans="1:30">
      <c r="A120">
        <f>IF(D120="","",ROW()-3)</f>
      </c>
      <c r="B120" s="2"/>
      <c r="C120" s="18"/>
      <c r="D120" s="2"/>
      <c r="E120" s="2"/>
      <c r="F120" s="3"/>
      <c r="G120" s="16"/>
      <c r="H120" s="16"/>
      <c r="I120" s="17">
        <f>IF(G120="","",IF(H120="",TODAY()-G120,H120-G120))</f>
      </c>
      <c r="J120" s="13">
        <f>IF(F120="","",IFERROR(IF(VLOOKUP(E120,'ALIM AYARLARI'!$A$4:$D$20,3,FALSE)="EVET",'GİDER AYARLARI'!$B$4,0),0))</f>
      </c>
      <c r="K120" s="13">
        <f>IF(F120="","",'GİDER AYARLARI'!$B$5)</f>
      </c>
      <c r="L120" s="13">
        <f>IF(F120="","",'GİDER AYARLARI'!$B$6)</f>
      </c>
      <c r="M120" s="13">
        <f>IF(F120="","",IFERROR(IF(VLOOKUP(E120,'ALIM AYARLARI'!$A$4:$D$20,3,FALSE)="EVET",'GİDER AYARLARI'!$B$7,0),0))</f>
      </c>
      <c r="N120" s="3"/>
      <c r="O120" s="13">
        <f>IF(OR(F120="",I120=""),"",IFERROR(IF(VLOOKUP(E120,'ALIM AYARLARI'!$A$4:$D$20,2,FALSE)="EVET",F120*'GİDER AYARLARI'!$B$8*I120/30,0),0))</f>
      </c>
      <c r="P120" s="14">
        <f>IF(F120="","",SUM(J120:O120))</f>
      </c>
      <c r="Q120" s="14">
        <f>IF(F120="","",F120+P120)</f>
      </c>
      <c r="R120" s="2"/>
      <c r="S120" s="2"/>
      <c r="T120" s="3"/>
      <c r="U120" s="14">
        <f>IF(OR(F120="",T120=""),"",T120-F120)</f>
      </c>
      <c r="V120" s="14">
        <f>IF(T120="","",T120-Q120)</f>
      </c>
      <c r="W120" s="15">
        <f>IFERROR(V120/T120,"")</f>
      </c>
      <c r="X120" s="12">
        <f>IF(F120="","",IF(H120="","STOKTA","SATILDI"))</f>
      </c>
      <c r="Y120" s="2"/>
      <c r="Z120" s="3"/>
      <c r="AA120" s="3"/>
      <c r="AB120" s="3"/>
      <c r="AC120" s="14">
        <f>IF(F120="","",SUM(Z120:AB120))</f>
      </c>
      <c r="AD120" s="14">
        <f>IF(T120="","",V120+AC120)</f>
      </c>
    </row>
    <row r="121" spans="1:30">
      <c r="A121">
        <f>IF(D121="","",ROW()-3)</f>
      </c>
      <c r="B121" s="2"/>
      <c r="C121" s="18"/>
      <c r="D121" s="2"/>
      <c r="E121" s="2"/>
      <c r="F121" s="3"/>
      <c r="G121" s="16"/>
      <c r="H121" s="16"/>
      <c r="I121" s="17">
        <f>IF(G121="","",IF(H121="",TODAY()-G121,H121-G121))</f>
      </c>
      <c r="J121" s="13">
        <f>IF(F121="","",IFERROR(IF(VLOOKUP(E121,'ALIM AYARLARI'!$A$4:$D$20,3,FALSE)="EVET",'GİDER AYARLARI'!$B$4,0),0))</f>
      </c>
      <c r="K121" s="13">
        <f>IF(F121="","",'GİDER AYARLARI'!$B$5)</f>
      </c>
      <c r="L121" s="13">
        <f>IF(F121="","",'GİDER AYARLARI'!$B$6)</f>
      </c>
      <c r="M121" s="13">
        <f>IF(F121="","",IFERROR(IF(VLOOKUP(E121,'ALIM AYARLARI'!$A$4:$D$20,3,FALSE)="EVET",'GİDER AYARLARI'!$B$7,0),0))</f>
      </c>
      <c r="N121" s="3"/>
      <c r="O121" s="13">
        <f>IF(OR(F121="",I121=""),"",IFERROR(IF(VLOOKUP(E121,'ALIM AYARLARI'!$A$4:$D$20,2,FALSE)="EVET",F121*'GİDER AYARLARI'!$B$8*I121/30,0),0))</f>
      </c>
      <c r="P121" s="14">
        <f>IF(F121="","",SUM(J121:O121))</f>
      </c>
      <c r="Q121" s="14">
        <f>IF(F121="","",F121+P121)</f>
      </c>
      <c r="R121" s="2"/>
      <c r="S121" s="2"/>
      <c r="T121" s="3"/>
      <c r="U121" s="14">
        <f>IF(OR(F121="",T121=""),"",T121-F121)</f>
      </c>
      <c r="V121" s="14">
        <f>IF(T121="","",T121-Q121)</f>
      </c>
      <c r="W121" s="15">
        <f>IFERROR(V121/T121,"")</f>
      </c>
      <c r="X121" s="12">
        <f>IF(F121="","",IF(H121="","STOKTA","SATILDI"))</f>
      </c>
      <c r="Y121" s="2"/>
      <c r="Z121" s="3"/>
      <c r="AA121" s="3"/>
      <c r="AB121" s="3"/>
      <c r="AC121" s="14">
        <f>IF(F121="","",SUM(Z121:AB121))</f>
      </c>
      <c r="AD121" s="14">
        <f>IF(T121="","",V121+AC121)</f>
      </c>
    </row>
    <row r="122" spans="1:30">
      <c r="A122">
        <f>IF(D122="","",ROW()-3)</f>
      </c>
      <c r="B122" s="2"/>
      <c r="C122" s="18"/>
      <c r="D122" s="2"/>
      <c r="E122" s="2"/>
      <c r="F122" s="3"/>
      <c r="G122" s="16"/>
      <c r="H122" s="16"/>
      <c r="I122" s="17">
        <f>IF(G122="","",IF(H122="",TODAY()-G122,H122-G122))</f>
      </c>
      <c r="J122" s="13">
        <f>IF(F122="","",IFERROR(IF(VLOOKUP(E122,'ALIM AYARLARI'!$A$4:$D$20,3,FALSE)="EVET",'GİDER AYARLARI'!$B$4,0),0))</f>
      </c>
      <c r="K122" s="13">
        <f>IF(F122="","",'GİDER AYARLARI'!$B$5)</f>
      </c>
      <c r="L122" s="13">
        <f>IF(F122="","",'GİDER AYARLARI'!$B$6)</f>
      </c>
      <c r="M122" s="13">
        <f>IF(F122="","",IFERROR(IF(VLOOKUP(E122,'ALIM AYARLARI'!$A$4:$D$20,3,FALSE)="EVET",'GİDER AYARLARI'!$B$7,0),0))</f>
      </c>
      <c r="N122" s="3"/>
      <c r="O122" s="13">
        <f>IF(OR(F122="",I122=""),"",IFERROR(IF(VLOOKUP(E122,'ALIM AYARLARI'!$A$4:$D$20,2,FALSE)="EVET",F122*'GİDER AYARLARI'!$B$8*I122/30,0),0))</f>
      </c>
      <c r="P122" s="14">
        <f>IF(F122="","",SUM(J122:O122))</f>
      </c>
      <c r="Q122" s="14">
        <f>IF(F122="","",F122+P122)</f>
      </c>
      <c r="R122" s="2"/>
      <c r="S122" s="2"/>
      <c r="T122" s="3"/>
      <c r="U122" s="14">
        <f>IF(OR(F122="",T122=""),"",T122-F122)</f>
      </c>
      <c r="V122" s="14">
        <f>IF(T122="","",T122-Q122)</f>
      </c>
      <c r="W122" s="15">
        <f>IFERROR(V122/T122,"")</f>
      </c>
      <c r="X122" s="12">
        <f>IF(F122="","",IF(H122="","STOKTA","SATILDI"))</f>
      </c>
      <c r="Y122" s="2"/>
      <c r="Z122" s="3"/>
      <c r="AA122" s="3"/>
      <c r="AB122" s="3"/>
      <c r="AC122" s="14">
        <f>IF(F122="","",SUM(Z122:AB122))</f>
      </c>
      <c r="AD122" s="14">
        <f>IF(T122="","",V122+AC122)</f>
      </c>
    </row>
    <row r="123" spans="1:30">
      <c r="A123">
        <f>IF(D123="","",ROW()-3)</f>
      </c>
      <c r="B123" s="2"/>
      <c r="C123" s="18"/>
      <c r="D123" s="2"/>
      <c r="E123" s="2"/>
      <c r="F123" s="3"/>
      <c r="G123" s="16"/>
      <c r="H123" s="16"/>
      <c r="I123" s="17">
        <f>IF(G123="","",IF(H123="",TODAY()-G123,H123-G123))</f>
      </c>
      <c r="J123" s="13">
        <f>IF(F123="","",IFERROR(IF(VLOOKUP(E123,'ALIM AYARLARI'!$A$4:$D$20,3,FALSE)="EVET",'GİDER AYARLARI'!$B$4,0),0))</f>
      </c>
      <c r="K123" s="13">
        <f>IF(F123="","",'GİDER AYARLARI'!$B$5)</f>
      </c>
      <c r="L123" s="13">
        <f>IF(F123="","",'GİDER AYARLARI'!$B$6)</f>
      </c>
      <c r="M123" s="13">
        <f>IF(F123="","",IFERROR(IF(VLOOKUP(E123,'ALIM AYARLARI'!$A$4:$D$20,3,FALSE)="EVET",'GİDER AYARLARI'!$B$7,0),0))</f>
      </c>
      <c r="N123" s="3"/>
      <c r="O123" s="13">
        <f>IF(OR(F123="",I123=""),"",IFERROR(IF(VLOOKUP(E123,'ALIM AYARLARI'!$A$4:$D$20,2,FALSE)="EVET",F123*'GİDER AYARLARI'!$B$8*I123/30,0),0))</f>
      </c>
      <c r="P123" s="14">
        <f>IF(F123="","",SUM(J123:O123))</f>
      </c>
      <c r="Q123" s="14">
        <f>IF(F123="","",F123+P123)</f>
      </c>
      <c r="R123" s="2"/>
      <c r="S123" s="2"/>
      <c r="T123" s="3"/>
      <c r="U123" s="14">
        <f>IF(OR(F123="",T123=""),"",T123-F123)</f>
      </c>
      <c r="V123" s="14">
        <f>IF(T123="","",T123-Q123)</f>
      </c>
      <c r="W123" s="15">
        <f>IFERROR(V123/T123,"")</f>
      </c>
      <c r="X123" s="12">
        <f>IF(F123="","",IF(H123="","STOKTA","SATILDI"))</f>
      </c>
      <c r="Y123" s="2"/>
      <c r="Z123" s="3"/>
      <c r="AA123" s="3"/>
      <c r="AB123" s="3"/>
      <c r="AC123" s="14">
        <f>IF(F123="","",SUM(Z123:AB123))</f>
      </c>
      <c r="AD123" s="14">
        <f>IF(T123="","",V123+AC123)</f>
      </c>
    </row>
    <row r="124" spans="1:30">
      <c r="A124">
        <f>IF(D124="","",ROW()-3)</f>
      </c>
      <c r="B124" s="2"/>
      <c r="C124" s="18"/>
      <c r="D124" s="2"/>
      <c r="E124" s="2"/>
      <c r="F124" s="3"/>
      <c r="G124" s="16"/>
      <c r="H124" s="16"/>
      <c r="I124" s="17">
        <f>IF(G124="","",IF(H124="",TODAY()-G124,H124-G124))</f>
      </c>
      <c r="J124" s="13">
        <f>IF(F124="","",IFERROR(IF(VLOOKUP(E124,'ALIM AYARLARI'!$A$4:$D$20,3,FALSE)="EVET",'GİDER AYARLARI'!$B$4,0),0))</f>
      </c>
      <c r="K124" s="13">
        <f>IF(F124="","",'GİDER AYARLARI'!$B$5)</f>
      </c>
      <c r="L124" s="13">
        <f>IF(F124="","",'GİDER AYARLARI'!$B$6)</f>
      </c>
      <c r="M124" s="13">
        <f>IF(F124="","",IFERROR(IF(VLOOKUP(E124,'ALIM AYARLARI'!$A$4:$D$20,3,FALSE)="EVET",'GİDER AYARLARI'!$B$7,0),0))</f>
      </c>
      <c r="N124" s="3"/>
      <c r="O124" s="13">
        <f>IF(OR(F124="",I124=""),"",IFERROR(IF(VLOOKUP(E124,'ALIM AYARLARI'!$A$4:$D$20,2,FALSE)="EVET",F124*'GİDER AYARLARI'!$B$8*I124/30,0),0))</f>
      </c>
      <c r="P124" s="14">
        <f>IF(F124="","",SUM(J124:O124))</f>
      </c>
      <c r="Q124" s="14">
        <f>IF(F124="","",F124+P124)</f>
      </c>
      <c r="R124" s="2"/>
      <c r="S124" s="2"/>
      <c r="T124" s="3"/>
      <c r="U124" s="14">
        <f>IF(OR(F124="",T124=""),"",T124-F124)</f>
      </c>
      <c r="V124" s="14">
        <f>IF(T124="","",T124-Q124)</f>
      </c>
      <c r="W124" s="15">
        <f>IFERROR(V124/T124,"")</f>
      </c>
      <c r="X124" s="12">
        <f>IF(F124="","",IF(H124="","STOKTA","SATILDI"))</f>
      </c>
      <c r="Y124" s="2"/>
      <c r="Z124" s="3"/>
      <c r="AA124" s="3"/>
      <c r="AB124" s="3"/>
      <c r="AC124" s="14">
        <f>IF(F124="","",SUM(Z124:AB124))</f>
      </c>
      <c r="AD124" s="14">
        <f>IF(T124="","",V124+AC124)</f>
      </c>
    </row>
    <row r="125" spans="1:30">
      <c r="A125">
        <f>IF(D125="","",ROW()-3)</f>
      </c>
      <c r="B125" s="2"/>
      <c r="C125" s="18"/>
      <c r="D125" s="2"/>
      <c r="E125" s="2"/>
      <c r="F125" s="3"/>
      <c r="G125" s="16"/>
      <c r="H125" s="16"/>
      <c r="I125" s="17">
        <f>IF(G125="","",IF(H125="",TODAY()-G125,H125-G125))</f>
      </c>
      <c r="J125" s="13">
        <f>IF(F125="","",IFERROR(IF(VLOOKUP(E125,'ALIM AYARLARI'!$A$4:$D$20,3,FALSE)="EVET",'GİDER AYARLARI'!$B$4,0),0))</f>
      </c>
      <c r="K125" s="13">
        <f>IF(F125="","",'GİDER AYARLARI'!$B$5)</f>
      </c>
      <c r="L125" s="13">
        <f>IF(F125="","",'GİDER AYARLARI'!$B$6)</f>
      </c>
      <c r="M125" s="13">
        <f>IF(F125="","",IFERROR(IF(VLOOKUP(E125,'ALIM AYARLARI'!$A$4:$D$20,3,FALSE)="EVET",'GİDER AYARLARI'!$B$7,0),0))</f>
      </c>
      <c r="N125" s="3"/>
      <c r="O125" s="13">
        <f>IF(OR(F125="",I125=""),"",IFERROR(IF(VLOOKUP(E125,'ALIM AYARLARI'!$A$4:$D$20,2,FALSE)="EVET",F125*'GİDER AYARLARI'!$B$8*I125/30,0),0))</f>
      </c>
      <c r="P125" s="14">
        <f>IF(F125="","",SUM(J125:O125))</f>
      </c>
      <c r="Q125" s="14">
        <f>IF(F125="","",F125+P125)</f>
      </c>
      <c r="R125" s="2"/>
      <c r="S125" s="2"/>
      <c r="T125" s="3"/>
      <c r="U125" s="14">
        <f>IF(OR(F125="",T125=""),"",T125-F125)</f>
      </c>
      <c r="V125" s="14">
        <f>IF(T125="","",T125-Q125)</f>
      </c>
      <c r="W125" s="15">
        <f>IFERROR(V125/T125,"")</f>
      </c>
      <c r="X125" s="12">
        <f>IF(F125="","",IF(H125="","STOKTA","SATILDI"))</f>
      </c>
      <c r="Y125" s="2"/>
      <c r="Z125" s="3"/>
      <c r="AA125" s="3"/>
      <c r="AB125" s="3"/>
      <c r="AC125" s="14">
        <f>IF(F125="","",SUM(Z125:AB125))</f>
      </c>
      <c r="AD125" s="14">
        <f>IF(T125="","",V125+AC125)</f>
      </c>
    </row>
    <row r="126" spans="1:30">
      <c r="A126">
        <f>IF(D126="","",ROW()-3)</f>
      </c>
      <c r="B126" s="2"/>
      <c r="C126" s="18"/>
      <c r="D126" s="2"/>
      <c r="E126" s="2"/>
      <c r="F126" s="3"/>
      <c r="G126" s="16"/>
      <c r="H126" s="16"/>
      <c r="I126" s="17">
        <f>IF(G126="","",IF(H126="",TODAY()-G126,H126-G126))</f>
      </c>
      <c r="J126" s="13">
        <f>IF(F126="","",IFERROR(IF(VLOOKUP(E126,'ALIM AYARLARI'!$A$4:$D$20,3,FALSE)="EVET",'GİDER AYARLARI'!$B$4,0),0))</f>
      </c>
      <c r="K126" s="13">
        <f>IF(F126="","",'GİDER AYARLARI'!$B$5)</f>
      </c>
      <c r="L126" s="13">
        <f>IF(F126="","",'GİDER AYARLARI'!$B$6)</f>
      </c>
      <c r="M126" s="13">
        <f>IF(F126="","",IFERROR(IF(VLOOKUP(E126,'ALIM AYARLARI'!$A$4:$D$20,3,FALSE)="EVET",'GİDER AYARLARI'!$B$7,0),0))</f>
      </c>
      <c r="N126" s="3"/>
      <c r="O126" s="13">
        <f>IF(OR(F126="",I126=""),"",IFERROR(IF(VLOOKUP(E126,'ALIM AYARLARI'!$A$4:$D$20,2,FALSE)="EVET",F126*'GİDER AYARLARI'!$B$8*I126/30,0),0))</f>
      </c>
      <c r="P126" s="14">
        <f>IF(F126="","",SUM(J126:O126))</f>
      </c>
      <c r="Q126" s="14">
        <f>IF(F126="","",F126+P126)</f>
      </c>
      <c r="R126" s="2"/>
      <c r="S126" s="2"/>
      <c r="T126" s="3"/>
      <c r="U126" s="14">
        <f>IF(OR(F126="",T126=""),"",T126-F126)</f>
      </c>
      <c r="V126" s="14">
        <f>IF(T126="","",T126-Q126)</f>
      </c>
      <c r="W126" s="15">
        <f>IFERROR(V126/T126,"")</f>
      </c>
      <c r="X126" s="12">
        <f>IF(F126="","",IF(H126="","STOKTA","SATILDI"))</f>
      </c>
      <c r="Y126" s="2"/>
      <c r="Z126" s="3"/>
      <c r="AA126" s="3"/>
      <c r="AB126" s="3"/>
      <c r="AC126" s="14">
        <f>IF(F126="","",SUM(Z126:AB126))</f>
      </c>
      <c r="AD126" s="14">
        <f>IF(T126="","",V126+AC126)</f>
      </c>
    </row>
    <row r="127" spans="1:30">
      <c r="A127">
        <f>IF(D127="","",ROW()-3)</f>
      </c>
      <c r="B127" s="2"/>
      <c r="C127" s="18"/>
      <c r="D127" s="2"/>
      <c r="E127" s="2"/>
      <c r="F127" s="3"/>
      <c r="G127" s="16"/>
      <c r="H127" s="16"/>
      <c r="I127" s="17">
        <f>IF(G127="","",IF(H127="",TODAY()-G127,H127-G127))</f>
      </c>
      <c r="J127" s="13">
        <f>IF(F127="","",IFERROR(IF(VLOOKUP(E127,'ALIM AYARLARI'!$A$4:$D$20,3,FALSE)="EVET",'GİDER AYARLARI'!$B$4,0),0))</f>
      </c>
      <c r="K127" s="13">
        <f>IF(F127="","",'GİDER AYARLARI'!$B$5)</f>
      </c>
      <c r="L127" s="13">
        <f>IF(F127="","",'GİDER AYARLARI'!$B$6)</f>
      </c>
      <c r="M127" s="13">
        <f>IF(F127="","",IFERROR(IF(VLOOKUP(E127,'ALIM AYARLARI'!$A$4:$D$20,3,FALSE)="EVET",'GİDER AYARLARI'!$B$7,0),0))</f>
      </c>
      <c r="N127" s="3"/>
      <c r="O127" s="13">
        <f>IF(OR(F127="",I127=""),"",IFERROR(IF(VLOOKUP(E127,'ALIM AYARLARI'!$A$4:$D$20,2,FALSE)="EVET",F127*'GİDER AYARLARI'!$B$8*I127/30,0),0))</f>
      </c>
      <c r="P127" s="14">
        <f>IF(F127="","",SUM(J127:O127))</f>
      </c>
      <c r="Q127" s="14">
        <f>IF(F127="","",F127+P127)</f>
      </c>
      <c r="R127" s="2"/>
      <c r="S127" s="2"/>
      <c r="T127" s="3"/>
      <c r="U127" s="14">
        <f>IF(OR(F127="",T127=""),"",T127-F127)</f>
      </c>
      <c r="V127" s="14">
        <f>IF(T127="","",T127-Q127)</f>
      </c>
      <c r="W127" s="15">
        <f>IFERROR(V127/T127,"")</f>
      </c>
      <c r="X127" s="12">
        <f>IF(F127="","",IF(H127="","STOKTA","SATILDI"))</f>
      </c>
      <c r="Y127" s="2"/>
      <c r="Z127" s="3"/>
      <c r="AA127" s="3"/>
      <c r="AB127" s="3"/>
      <c r="AC127" s="14">
        <f>IF(F127="","",SUM(Z127:AB127))</f>
      </c>
      <c r="AD127" s="14">
        <f>IF(T127="","",V127+AC127)</f>
      </c>
    </row>
    <row r="128" spans="1:30">
      <c r="A128">
        <f>IF(D128="","",ROW()-3)</f>
      </c>
      <c r="B128" s="2"/>
      <c r="C128" s="18"/>
      <c r="D128" s="2"/>
      <c r="E128" s="2"/>
      <c r="F128" s="3"/>
      <c r="G128" s="16"/>
      <c r="H128" s="16"/>
      <c r="I128" s="17">
        <f>IF(G128="","",IF(H128="",TODAY()-G128,H128-G128))</f>
      </c>
      <c r="J128" s="13">
        <f>IF(F128="","",IFERROR(IF(VLOOKUP(E128,'ALIM AYARLARI'!$A$4:$D$20,3,FALSE)="EVET",'GİDER AYARLARI'!$B$4,0),0))</f>
      </c>
      <c r="K128" s="13">
        <f>IF(F128="","",'GİDER AYARLARI'!$B$5)</f>
      </c>
      <c r="L128" s="13">
        <f>IF(F128="","",'GİDER AYARLARI'!$B$6)</f>
      </c>
      <c r="M128" s="13">
        <f>IF(F128="","",IFERROR(IF(VLOOKUP(E128,'ALIM AYARLARI'!$A$4:$D$20,3,FALSE)="EVET",'GİDER AYARLARI'!$B$7,0),0))</f>
      </c>
      <c r="N128" s="3"/>
      <c r="O128" s="13">
        <f>IF(OR(F128="",I128=""),"",IFERROR(IF(VLOOKUP(E128,'ALIM AYARLARI'!$A$4:$D$20,2,FALSE)="EVET",F128*'GİDER AYARLARI'!$B$8*I128/30,0),0))</f>
      </c>
      <c r="P128" s="14">
        <f>IF(F128="","",SUM(J128:O128))</f>
      </c>
      <c r="Q128" s="14">
        <f>IF(F128="","",F128+P128)</f>
      </c>
      <c r="R128" s="2"/>
      <c r="S128" s="2"/>
      <c r="T128" s="3"/>
      <c r="U128" s="14">
        <f>IF(OR(F128="",T128=""),"",T128-F128)</f>
      </c>
      <c r="V128" s="14">
        <f>IF(T128="","",T128-Q128)</f>
      </c>
      <c r="W128" s="15">
        <f>IFERROR(V128/T128,"")</f>
      </c>
      <c r="X128" s="12">
        <f>IF(F128="","",IF(H128="","STOKTA","SATILDI"))</f>
      </c>
      <c r="Y128" s="2"/>
      <c r="Z128" s="3"/>
      <c r="AA128" s="3"/>
      <c r="AB128" s="3"/>
      <c r="AC128" s="14">
        <f>IF(F128="","",SUM(Z128:AB128))</f>
      </c>
      <c r="AD128" s="14">
        <f>IF(T128="","",V128+AC128)</f>
      </c>
    </row>
    <row r="129" spans="1:30">
      <c r="A129">
        <f>IF(D129="","",ROW()-3)</f>
      </c>
      <c r="B129" s="2"/>
      <c r="C129" s="18"/>
      <c r="D129" s="2"/>
      <c r="E129" s="2"/>
      <c r="F129" s="3"/>
      <c r="G129" s="16"/>
      <c r="H129" s="16"/>
      <c r="I129" s="17">
        <f>IF(G129="","",IF(H129="",TODAY()-G129,H129-G129))</f>
      </c>
      <c r="J129" s="13">
        <f>IF(F129="","",IFERROR(IF(VLOOKUP(E129,'ALIM AYARLARI'!$A$4:$D$20,3,FALSE)="EVET",'GİDER AYARLARI'!$B$4,0),0))</f>
      </c>
      <c r="K129" s="13">
        <f>IF(F129="","",'GİDER AYARLARI'!$B$5)</f>
      </c>
      <c r="L129" s="13">
        <f>IF(F129="","",'GİDER AYARLARI'!$B$6)</f>
      </c>
      <c r="M129" s="13">
        <f>IF(F129="","",IFERROR(IF(VLOOKUP(E129,'ALIM AYARLARI'!$A$4:$D$20,3,FALSE)="EVET",'GİDER AYARLARI'!$B$7,0),0))</f>
      </c>
      <c r="N129" s="3"/>
      <c r="O129" s="13">
        <f>IF(OR(F129="",I129=""),"",IFERROR(IF(VLOOKUP(E129,'ALIM AYARLARI'!$A$4:$D$20,2,FALSE)="EVET",F129*'GİDER AYARLARI'!$B$8*I129/30,0),0))</f>
      </c>
      <c r="P129" s="14">
        <f>IF(F129="","",SUM(J129:O129))</f>
      </c>
      <c r="Q129" s="14">
        <f>IF(F129="","",F129+P129)</f>
      </c>
      <c r="R129" s="2"/>
      <c r="S129" s="2"/>
      <c r="T129" s="3"/>
      <c r="U129" s="14">
        <f>IF(OR(F129="",T129=""),"",T129-F129)</f>
      </c>
      <c r="V129" s="14">
        <f>IF(T129="","",T129-Q129)</f>
      </c>
      <c r="W129" s="15">
        <f>IFERROR(V129/T129,"")</f>
      </c>
      <c r="X129" s="12">
        <f>IF(F129="","",IF(H129="","STOKTA","SATILDI"))</f>
      </c>
      <c r="Y129" s="2"/>
      <c r="Z129" s="3"/>
      <c r="AA129" s="3"/>
      <c r="AB129" s="3"/>
      <c r="AC129" s="14">
        <f>IF(F129="","",SUM(Z129:AB129))</f>
      </c>
      <c r="AD129" s="14">
        <f>IF(T129="","",V129+AC129)</f>
      </c>
    </row>
    <row r="130" spans="1:30">
      <c r="A130">
        <f>IF(D130="","",ROW()-3)</f>
      </c>
      <c r="B130" s="2"/>
      <c r="C130" s="18"/>
      <c r="D130" s="2"/>
      <c r="E130" s="2"/>
      <c r="F130" s="3"/>
      <c r="G130" s="16"/>
      <c r="H130" s="16"/>
      <c r="I130" s="17">
        <f>IF(G130="","",IF(H130="",TODAY()-G130,H130-G130))</f>
      </c>
      <c r="J130" s="13">
        <f>IF(F130="","",IFERROR(IF(VLOOKUP(E130,'ALIM AYARLARI'!$A$4:$D$20,3,FALSE)="EVET",'GİDER AYARLARI'!$B$4,0),0))</f>
      </c>
      <c r="K130" s="13">
        <f>IF(F130="","",'GİDER AYARLARI'!$B$5)</f>
      </c>
      <c r="L130" s="13">
        <f>IF(F130="","",'GİDER AYARLARI'!$B$6)</f>
      </c>
      <c r="M130" s="13">
        <f>IF(F130="","",IFERROR(IF(VLOOKUP(E130,'ALIM AYARLARI'!$A$4:$D$20,3,FALSE)="EVET",'GİDER AYARLARI'!$B$7,0),0))</f>
      </c>
      <c r="N130" s="3"/>
      <c r="O130" s="13">
        <f>IF(OR(F130="",I130=""),"",IFERROR(IF(VLOOKUP(E130,'ALIM AYARLARI'!$A$4:$D$20,2,FALSE)="EVET",F130*'GİDER AYARLARI'!$B$8*I130/30,0),0))</f>
      </c>
      <c r="P130" s="14">
        <f>IF(F130="","",SUM(J130:O130))</f>
      </c>
      <c r="Q130" s="14">
        <f>IF(F130="","",F130+P130)</f>
      </c>
      <c r="R130" s="2"/>
      <c r="S130" s="2"/>
      <c r="T130" s="3"/>
      <c r="U130" s="14">
        <f>IF(OR(F130="",T130=""),"",T130-F130)</f>
      </c>
      <c r="V130" s="14">
        <f>IF(T130="","",T130-Q130)</f>
      </c>
      <c r="W130" s="15">
        <f>IFERROR(V130/T130,"")</f>
      </c>
      <c r="X130" s="12">
        <f>IF(F130="","",IF(H130="","STOKTA","SATILDI"))</f>
      </c>
      <c r="Y130" s="2"/>
      <c r="Z130" s="3"/>
      <c r="AA130" s="3"/>
      <c r="AB130" s="3"/>
      <c r="AC130" s="14">
        <f>IF(F130="","",SUM(Z130:AB130))</f>
      </c>
      <c r="AD130" s="14">
        <f>IF(T130="","",V130+AC130)</f>
      </c>
    </row>
    <row r="131" spans="1:30">
      <c r="A131">
        <f>IF(D131="","",ROW()-3)</f>
      </c>
      <c r="B131" s="2"/>
      <c r="C131" s="18"/>
      <c r="D131" s="2"/>
      <c r="E131" s="2"/>
      <c r="F131" s="3"/>
      <c r="G131" s="16"/>
      <c r="H131" s="16"/>
      <c r="I131" s="17">
        <f>IF(G131="","",IF(H131="",TODAY()-G131,H131-G131))</f>
      </c>
      <c r="J131" s="13">
        <f>IF(F131="","",IFERROR(IF(VLOOKUP(E131,'ALIM AYARLARI'!$A$4:$D$20,3,FALSE)="EVET",'GİDER AYARLARI'!$B$4,0),0))</f>
      </c>
      <c r="K131" s="13">
        <f>IF(F131="","",'GİDER AYARLARI'!$B$5)</f>
      </c>
      <c r="L131" s="13">
        <f>IF(F131="","",'GİDER AYARLARI'!$B$6)</f>
      </c>
      <c r="M131" s="13">
        <f>IF(F131="","",IFERROR(IF(VLOOKUP(E131,'ALIM AYARLARI'!$A$4:$D$20,3,FALSE)="EVET",'GİDER AYARLARI'!$B$7,0),0))</f>
      </c>
      <c r="N131" s="3"/>
      <c r="O131" s="13">
        <f>IF(OR(F131="",I131=""),"",IFERROR(IF(VLOOKUP(E131,'ALIM AYARLARI'!$A$4:$D$20,2,FALSE)="EVET",F131*'GİDER AYARLARI'!$B$8*I131/30,0),0))</f>
      </c>
      <c r="P131" s="14">
        <f>IF(F131="","",SUM(J131:O131))</f>
      </c>
      <c r="Q131" s="14">
        <f>IF(F131="","",F131+P131)</f>
      </c>
      <c r="R131" s="2"/>
      <c r="S131" s="2"/>
      <c r="T131" s="3"/>
      <c r="U131" s="14">
        <f>IF(OR(F131="",T131=""),"",T131-F131)</f>
      </c>
      <c r="V131" s="14">
        <f>IF(T131="","",T131-Q131)</f>
      </c>
      <c r="W131" s="15">
        <f>IFERROR(V131/T131,"")</f>
      </c>
      <c r="X131" s="12">
        <f>IF(F131="","",IF(H131="","STOKTA","SATILDI"))</f>
      </c>
      <c r="Y131" s="2"/>
      <c r="Z131" s="3"/>
      <c r="AA131" s="3"/>
      <c r="AB131" s="3"/>
      <c r="AC131" s="14">
        <f>IF(F131="","",SUM(Z131:AB131))</f>
      </c>
      <c r="AD131" s="14">
        <f>IF(T131="","",V131+AC131)</f>
      </c>
    </row>
    <row r="132" spans="1:30">
      <c r="A132">
        <f>IF(D132="","",ROW()-3)</f>
      </c>
      <c r="B132" s="2"/>
      <c r="C132" s="18"/>
      <c r="D132" s="2"/>
      <c r="E132" s="2"/>
      <c r="F132" s="3"/>
      <c r="G132" s="16"/>
      <c r="H132" s="16"/>
      <c r="I132" s="17">
        <f>IF(G132="","",IF(H132="",TODAY()-G132,H132-G132))</f>
      </c>
      <c r="J132" s="13">
        <f>IF(F132="","",IFERROR(IF(VLOOKUP(E132,'ALIM AYARLARI'!$A$4:$D$20,3,FALSE)="EVET",'GİDER AYARLARI'!$B$4,0),0))</f>
      </c>
      <c r="K132" s="13">
        <f>IF(F132="","",'GİDER AYARLARI'!$B$5)</f>
      </c>
      <c r="L132" s="13">
        <f>IF(F132="","",'GİDER AYARLARI'!$B$6)</f>
      </c>
      <c r="M132" s="13">
        <f>IF(F132="","",IFERROR(IF(VLOOKUP(E132,'ALIM AYARLARI'!$A$4:$D$20,3,FALSE)="EVET",'GİDER AYARLARI'!$B$7,0),0))</f>
      </c>
      <c r="N132" s="3"/>
      <c r="O132" s="13">
        <f>IF(OR(F132="",I132=""),"",IFERROR(IF(VLOOKUP(E132,'ALIM AYARLARI'!$A$4:$D$20,2,FALSE)="EVET",F132*'GİDER AYARLARI'!$B$8*I132/30,0),0))</f>
      </c>
      <c r="P132" s="14">
        <f>IF(F132="","",SUM(J132:O132))</f>
      </c>
      <c r="Q132" s="14">
        <f>IF(F132="","",F132+P132)</f>
      </c>
      <c r="R132" s="2"/>
      <c r="S132" s="2"/>
      <c r="T132" s="3"/>
      <c r="U132" s="14">
        <f>IF(OR(F132="",T132=""),"",T132-F132)</f>
      </c>
      <c r="V132" s="14">
        <f>IF(T132="","",T132-Q132)</f>
      </c>
      <c r="W132" s="15">
        <f>IFERROR(V132/T132,"")</f>
      </c>
      <c r="X132" s="12">
        <f>IF(F132="","",IF(H132="","STOKTA","SATILDI"))</f>
      </c>
      <c r="Y132" s="2"/>
      <c r="Z132" s="3"/>
      <c r="AA132" s="3"/>
      <c r="AB132" s="3"/>
      <c r="AC132" s="14">
        <f>IF(F132="","",SUM(Z132:AB132))</f>
      </c>
      <c r="AD132" s="14">
        <f>IF(T132="","",V132+AC132)</f>
      </c>
    </row>
    <row r="133" spans="1:30">
      <c r="A133">
        <f>IF(D133="","",ROW()-3)</f>
      </c>
      <c r="B133" s="2"/>
      <c r="C133" s="18"/>
      <c r="D133" s="2"/>
      <c r="E133" s="2"/>
      <c r="F133" s="3"/>
      <c r="G133" s="16"/>
      <c r="H133" s="16"/>
      <c r="I133" s="17">
        <f>IF(G133="","",IF(H133="",TODAY()-G133,H133-G133))</f>
      </c>
      <c r="J133" s="13">
        <f>IF(F133="","",IFERROR(IF(VLOOKUP(E133,'ALIM AYARLARI'!$A$4:$D$20,3,FALSE)="EVET",'GİDER AYARLARI'!$B$4,0),0))</f>
      </c>
      <c r="K133" s="13">
        <f>IF(F133="","",'GİDER AYARLARI'!$B$5)</f>
      </c>
      <c r="L133" s="13">
        <f>IF(F133="","",'GİDER AYARLARI'!$B$6)</f>
      </c>
      <c r="M133" s="13">
        <f>IF(F133="","",IFERROR(IF(VLOOKUP(E133,'ALIM AYARLARI'!$A$4:$D$20,3,FALSE)="EVET",'GİDER AYARLARI'!$B$7,0),0))</f>
      </c>
      <c r="N133" s="3"/>
      <c r="O133" s="13">
        <f>IF(OR(F133="",I133=""),"",IFERROR(IF(VLOOKUP(E133,'ALIM AYARLARI'!$A$4:$D$20,2,FALSE)="EVET",F133*'GİDER AYARLARI'!$B$8*I133/30,0),0))</f>
      </c>
      <c r="P133" s="14">
        <f>IF(F133="","",SUM(J133:O133))</f>
      </c>
      <c r="Q133" s="14">
        <f>IF(F133="","",F133+P133)</f>
      </c>
      <c r="R133" s="2"/>
      <c r="S133" s="2"/>
      <c r="T133" s="3"/>
      <c r="U133" s="14">
        <f>IF(OR(F133="",T133=""),"",T133-F133)</f>
      </c>
      <c r="V133" s="14">
        <f>IF(T133="","",T133-Q133)</f>
      </c>
      <c r="W133" s="15">
        <f>IFERROR(V133/T133,"")</f>
      </c>
      <c r="X133" s="12">
        <f>IF(F133="","",IF(H133="","STOKTA","SATILDI"))</f>
      </c>
      <c r="Y133" s="2"/>
      <c r="Z133" s="3"/>
      <c r="AA133" s="3"/>
      <c r="AB133" s="3"/>
      <c r="AC133" s="14">
        <f>IF(F133="","",SUM(Z133:AB133))</f>
      </c>
      <c r="AD133" s="14">
        <f>IF(T133="","",V133+AC133)</f>
      </c>
    </row>
    <row r="134" spans="1:30">
      <c r="A134">
        <f>IF(D134="","",ROW()-3)</f>
      </c>
      <c r="B134" s="2"/>
      <c r="C134" s="18"/>
      <c r="D134" s="2"/>
      <c r="E134" s="2"/>
      <c r="F134" s="3"/>
      <c r="G134" s="16"/>
      <c r="H134" s="16"/>
      <c r="I134" s="17">
        <f>IF(G134="","",IF(H134="",TODAY()-G134,H134-G134))</f>
      </c>
      <c r="J134" s="13">
        <f>IF(F134="","",IFERROR(IF(VLOOKUP(E134,'ALIM AYARLARI'!$A$4:$D$20,3,FALSE)="EVET",'GİDER AYARLARI'!$B$4,0),0))</f>
      </c>
      <c r="K134" s="13">
        <f>IF(F134="","",'GİDER AYARLARI'!$B$5)</f>
      </c>
      <c r="L134" s="13">
        <f>IF(F134="","",'GİDER AYARLARI'!$B$6)</f>
      </c>
      <c r="M134" s="13">
        <f>IF(F134="","",IFERROR(IF(VLOOKUP(E134,'ALIM AYARLARI'!$A$4:$D$20,3,FALSE)="EVET",'GİDER AYARLARI'!$B$7,0),0))</f>
      </c>
      <c r="N134" s="3"/>
      <c r="O134" s="13">
        <f>IF(OR(F134="",I134=""),"",IFERROR(IF(VLOOKUP(E134,'ALIM AYARLARI'!$A$4:$D$20,2,FALSE)="EVET",F134*'GİDER AYARLARI'!$B$8*I134/30,0),0))</f>
      </c>
      <c r="P134" s="14">
        <f>IF(F134="","",SUM(J134:O134))</f>
      </c>
      <c r="Q134" s="14">
        <f>IF(F134="","",F134+P134)</f>
      </c>
      <c r="R134" s="2"/>
      <c r="S134" s="2"/>
      <c r="T134" s="3"/>
      <c r="U134" s="14">
        <f>IF(OR(F134="",T134=""),"",T134-F134)</f>
      </c>
      <c r="V134" s="14">
        <f>IF(T134="","",T134-Q134)</f>
      </c>
      <c r="W134" s="15">
        <f>IFERROR(V134/T134,"")</f>
      </c>
      <c r="X134" s="12">
        <f>IF(F134="","",IF(H134="","STOKTA","SATILDI"))</f>
      </c>
      <c r="Y134" s="2"/>
      <c r="Z134" s="3"/>
      <c r="AA134" s="3"/>
      <c r="AB134" s="3"/>
      <c r="AC134" s="14">
        <f>IF(F134="","",SUM(Z134:AB134))</f>
      </c>
      <c r="AD134" s="14">
        <f>IF(T134="","",V134+AC134)</f>
      </c>
    </row>
    <row r="135" spans="1:30">
      <c r="A135">
        <f>IF(D135="","",ROW()-3)</f>
      </c>
      <c r="B135" s="2"/>
      <c r="C135" s="18"/>
      <c r="D135" s="2"/>
      <c r="E135" s="2"/>
      <c r="F135" s="3"/>
      <c r="G135" s="16"/>
      <c r="H135" s="16"/>
      <c r="I135" s="17">
        <f>IF(G135="","",IF(H135="",TODAY()-G135,H135-G135))</f>
      </c>
      <c r="J135" s="13">
        <f>IF(F135="","",IFERROR(IF(VLOOKUP(E135,'ALIM AYARLARI'!$A$4:$D$20,3,FALSE)="EVET",'GİDER AYARLARI'!$B$4,0),0))</f>
      </c>
      <c r="K135" s="13">
        <f>IF(F135="","",'GİDER AYARLARI'!$B$5)</f>
      </c>
      <c r="L135" s="13">
        <f>IF(F135="","",'GİDER AYARLARI'!$B$6)</f>
      </c>
      <c r="M135" s="13">
        <f>IF(F135="","",IFERROR(IF(VLOOKUP(E135,'ALIM AYARLARI'!$A$4:$D$20,3,FALSE)="EVET",'GİDER AYARLARI'!$B$7,0),0))</f>
      </c>
      <c r="N135" s="3"/>
      <c r="O135" s="13">
        <f>IF(OR(F135="",I135=""),"",IFERROR(IF(VLOOKUP(E135,'ALIM AYARLARI'!$A$4:$D$20,2,FALSE)="EVET",F135*'GİDER AYARLARI'!$B$8*I135/30,0),0))</f>
      </c>
      <c r="P135" s="14">
        <f>IF(F135="","",SUM(J135:O135))</f>
      </c>
      <c r="Q135" s="14">
        <f>IF(F135="","",F135+P135)</f>
      </c>
      <c r="R135" s="2"/>
      <c r="S135" s="2"/>
      <c r="T135" s="3"/>
      <c r="U135" s="14">
        <f>IF(OR(F135="",T135=""),"",T135-F135)</f>
      </c>
      <c r="V135" s="14">
        <f>IF(T135="","",T135-Q135)</f>
      </c>
      <c r="W135" s="15">
        <f>IFERROR(V135/T135,"")</f>
      </c>
      <c r="X135" s="12">
        <f>IF(F135="","",IF(H135="","STOKTA","SATILDI"))</f>
      </c>
      <c r="Y135" s="2"/>
      <c r="Z135" s="3"/>
      <c r="AA135" s="3"/>
      <c r="AB135" s="3"/>
      <c r="AC135" s="14">
        <f>IF(F135="","",SUM(Z135:AB135))</f>
      </c>
      <c r="AD135" s="14">
        <f>IF(T135="","",V135+AC135)</f>
      </c>
    </row>
    <row r="136" spans="1:30">
      <c r="A136">
        <f>IF(D136="","",ROW()-3)</f>
      </c>
      <c r="B136" s="2"/>
      <c r="C136" s="18"/>
      <c r="D136" s="2"/>
      <c r="E136" s="2"/>
      <c r="F136" s="3"/>
      <c r="G136" s="16"/>
      <c r="H136" s="16"/>
      <c r="I136" s="17">
        <f>IF(G136="","",IF(H136="",TODAY()-G136,H136-G136))</f>
      </c>
      <c r="J136" s="13">
        <f>IF(F136="","",IFERROR(IF(VLOOKUP(E136,'ALIM AYARLARI'!$A$4:$D$20,3,FALSE)="EVET",'GİDER AYARLARI'!$B$4,0),0))</f>
      </c>
      <c r="K136" s="13">
        <f>IF(F136="","",'GİDER AYARLARI'!$B$5)</f>
      </c>
      <c r="L136" s="13">
        <f>IF(F136="","",'GİDER AYARLARI'!$B$6)</f>
      </c>
      <c r="M136" s="13">
        <f>IF(F136="","",IFERROR(IF(VLOOKUP(E136,'ALIM AYARLARI'!$A$4:$D$20,3,FALSE)="EVET",'GİDER AYARLARI'!$B$7,0),0))</f>
      </c>
      <c r="N136" s="3"/>
      <c r="O136" s="13">
        <f>IF(OR(F136="",I136=""),"",IFERROR(IF(VLOOKUP(E136,'ALIM AYARLARI'!$A$4:$D$20,2,FALSE)="EVET",F136*'GİDER AYARLARI'!$B$8*I136/30,0),0))</f>
      </c>
      <c r="P136" s="14">
        <f>IF(F136="","",SUM(J136:O136))</f>
      </c>
      <c r="Q136" s="14">
        <f>IF(F136="","",F136+P136)</f>
      </c>
      <c r="R136" s="2"/>
      <c r="S136" s="2"/>
      <c r="T136" s="3"/>
      <c r="U136" s="14">
        <f>IF(OR(F136="",T136=""),"",T136-F136)</f>
      </c>
      <c r="V136" s="14">
        <f>IF(T136="","",T136-Q136)</f>
      </c>
      <c r="W136" s="15">
        <f>IFERROR(V136/T136,"")</f>
      </c>
      <c r="X136" s="12">
        <f>IF(F136="","",IF(H136="","STOKTA","SATILDI"))</f>
      </c>
      <c r="Y136" s="2"/>
      <c r="Z136" s="3"/>
      <c r="AA136" s="3"/>
      <c r="AB136" s="3"/>
      <c r="AC136" s="14">
        <f>IF(F136="","",SUM(Z136:AB136))</f>
      </c>
      <c r="AD136" s="14">
        <f>IF(T136="","",V136+AC136)</f>
      </c>
    </row>
    <row r="137" spans="1:30">
      <c r="A137">
        <f>IF(D137="","",ROW()-3)</f>
      </c>
      <c r="B137" s="2"/>
      <c r="C137" s="18"/>
      <c r="D137" s="2"/>
      <c r="E137" s="2"/>
      <c r="F137" s="3"/>
      <c r="G137" s="16"/>
      <c r="H137" s="16"/>
      <c r="I137" s="17">
        <f>IF(G137="","",IF(H137="",TODAY()-G137,H137-G137))</f>
      </c>
      <c r="J137" s="13">
        <f>IF(F137="","",IFERROR(IF(VLOOKUP(E137,'ALIM AYARLARI'!$A$4:$D$20,3,FALSE)="EVET",'GİDER AYARLARI'!$B$4,0),0))</f>
      </c>
      <c r="K137" s="13">
        <f>IF(F137="","",'GİDER AYARLARI'!$B$5)</f>
      </c>
      <c r="L137" s="13">
        <f>IF(F137="","",'GİDER AYARLARI'!$B$6)</f>
      </c>
      <c r="M137" s="13">
        <f>IF(F137="","",IFERROR(IF(VLOOKUP(E137,'ALIM AYARLARI'!$A$4:$D$20,3,FALSE)="EVET",'GİDER AYARLARI'!$B$7,0),0))</f>
      </c>
      <c r="N137" s="3"/>
      <c r="O137" s="13">
        <f>IF(OR(F137="",I137=""),"",IFERROR(IF(VLOOKUP(E137,'ALIM AYARLARI'!$A$4:$D$20,2,FALSE)="EVET",F137*'GİDER AYARLARI'!$B$8*I137/30,0),0))</f>
      </c>
      <c r="P137" s="14">
        <f>IF(F137="","",SUM(J137:O137))</f>
      </c>
      <c r="Q137" s="14">
        <f>IF(F137="","",F137+P137)</f>
      </c>
      <c r="R137" s="2"/>
      <c r="S137" s="2"/>
      <c r="T137" s="3"/>
      <c r="U137" s="14">
        <f>IF(OR(F137="",T137=""),"",T137-F137)</f>
      </c>
      <c r="V137" s="14">
        <f>IF(T137="","",T137-Q137)</f>
      </c>
      <c r="W137" s="15">
        <f>IFERROR(V137/T137,"")</f>
      </c>
      <c r="X137" s="12">
        <f>IF(F137="","",IF(H137="","STOKTA","SATILDI"))</f>
      </c>
      <c r="Y137" s="2"/>
      <c r="Z137" s="3"/>
      <c r="AA137" s="3"/>
      <c r="AB137" s="3"/>
      <c r="AC137" s="14">
        <f>IF(F137="","",SUM(Z137:AB137))</f>
      </c>
      <c r="AD137" s="14">
        <f>IF(T137="","",V137+AC137)</f>
      </c>
    </row>
    <row r="138" spans="1:30">
      <c r="A138">
        <f>IF(D138="","",ROW()-3)</f>
      </c>
      <c r="B138" s="2"/>
      <c r="C138" s="18"/>
      <c r="D138" s="2"/>
      <c r="E138" s="2"/>
      <c r="F138" s="3"/>
      <c r="G138" s="16"/>
      <c r="H138" s="16"/>
      <c r="I138" s="17">
        <f>IF(G138="","",IF(H138="",TODAY()-G138,H138-G138))</f>
      </c>
      <c r="J138" s="13">
        <f>IF(F138="","",IFERROR(IF(VLOOKUP(E138,'ALIM AYARLARI'!$A$4:$D$20,3,FALSE)="EVET",'GİDER AYARLARI'!$B$4,0),0))</f>
      </c>
      <c r="K138" s="13">
        <f>IF(F138="","",'GİDER AYARLARI'!$B$5)</f>
      </c>
      <c r="L138" s="13">
        <f>IF(F138="","",'GİDER AYARLARI'!$B$6)</f>
      </c>
      <c r="M138" s="13">
        <f>IF(F138="","",IFERROR(IF(VLOOKUP(E138,'ALIM AYARLARI'!$A$4:$D$20,3,FALSE)="EVET",'GİDER AYARLARI'!$B$7,0),0))</f>
      </c>
      <c r="N138" s="3"/>
      <c r="O138" s="13">
        <f>IF(OR(F138="",I138=""),"",IFERROR(IF(VLOOKUP(E138,'ALIM AYARLARI'!$A$4:$D$20,2,FALSE)="EVET",F138*'GİDER AYARLARI'!$B$8*I138/30,0),0))</f>
      </c>
      <c r="P138" s="14">
        <f>IF(F138="","",SUM(J138:O138))</f>
      </c>
      <c r="Q138" s="14">
        <f>IF(F138="","",F138+P138)</f>
      </c>
      <c r="R138" s="2"/>
      <c r="S138" s="2"/>
      <c r="T138" s="3"/>
      <c r="U138" s="14">
        <f>IF(OR(F138="",T138=""),"",T138-F138)</f>
      </c>
      <c r="V138" s="14">
        <f>IF(T138="","",T138-Q138)</f>
      </c>
      <c r="W138" s="15">
        <f>IFERROR(V138/T138,"")</f>
      </c>
      <c r="X138" s="12">
        <f>IF(F138="","",IF(H138="","STOKTA","SATILDI"))</f>
      </c>
      <c r="Y138" s="2"/>
      <c r="Z138" s="3"/>
      <c r="AA138" s="3"/>
      <c r="AB138" s="3"/>
      <c r="AC138" s="14">
        <f>IF(F138="","",SUM(Z138:AB138))</f>
      </c>
      <c r="AD138" s="14">
        <f>IF(T138="","",V138+AC138)</f>
      </c>
    </row>
    <row r="139" spans="1:30">
      <c r="A139">
        <f>IF(D139="","",ROW()-3)</f>
      </c>
      <c r="B139" s="2"/>
      <c r="C139" s="18"/>
      <c r="D139" s="2"/>
      <c r="E139" s="2"/>
      <c r="F139" s="3"/>
      <c r="G139" s="16"/>
      <c r="H139" s="16"/>
      <c r="I139" s="17">
        <f>IF(G139="","",IF(H139="",TODAY()-G139,H139-G139))</f>
      </c>
      <c r="J139" s="13">
        <f>IF(F139="","",IFERROR(IF(VLOOKUP(E139,'ALIM AYARLARI'!$A$4:$D$20,3,FALSE)="EVET",'GİDER AYARLARI'!$B$4,0),0))</f>
      </c>
      <c r="K139" s="13">
        <f>IF(F139="","",'GİDER AYARLARI'!$B$5)</f>
      </c>
      <c r="L139" s="13">
        <f>IF(F139="","",'GİDER AYARLARI'!$B$6)</f>
      </c>
      <c r="M139" s="13">
        <f>IF(F139="","",IFERROR(IF(VLOOKUP(E139,'ALIM AYARLARI'!$A$4:$D$20,3,FALSE)="EVET",'GİDER AYARLARI'!$B$7,0),0))</f>
      </c>
      <c r="N139" s="3"/>
      <c r="O139" s="13">
        <f>IF(OR(F139="",I139=""),"",IFERROR(IF(VLOOKUP(E139,'ALIM AYARLARI'!$A$4:$D$20,2,FALSE)="EVET",F139*'GİDER AYARLARI'!$B$8*I139/30,0),0))</f>
      </c>
      <c r="P139" s="14">
        <f>IF(F139="","",SUM(J139:O139))</f>
      </c>
      <c r="Q139" s="14">
        <f>IF(F139="","",F139+P139)</f>
      </c>
      <c r="R139" s="2"/>
      <c r="S139" s="2"/>
      <c r="T139" s="3"/>
      <c r="U139" s="14">
        <f>IF(OR(F139="",T139=""),"",T139-F139)</f>
      </c>
      <c r="V139" s="14">
        <f>IF(T139="","",T139-Q139)</f>
      </c>
      <c r="W139" s="15">
        <f>IFERROR(V139/T139,"")</f>
      </c>
      <c r="X139" s="12">
        <f>IF(F139="","",IF(H139="","STOKTA","SATILDI"))</f>
      </c>
      <c r="Y139" s="2"/>
      <c r="Z139" s="3"/>
      <c r="AA139" s="3"/>
      <c r="AB139" s="3"/>
      <c r="AC139" s="14">
        <f>IF(F139="","",SUM(Z139:AB139))</f>
      </c>
      <c r="AD139" s="14">
        <f>IF(T139="","",V139+AC139)</f>
      </c>
    </row>
    <row r="140" spans="1:30">
      <c r="A140">
        <f>IF(D140="","",ROW()-3)</f>
      </c>
      <c r="B140" s="2"/>
      <c r="C140" s="18"/>
      <c r="D140" s="2"/>
      <c r="E140" s="2"/>
      <c r="F140" s="3"/>
      <c r="G140" s="16"/>
      <c r="H140" s="16"/>
      <c r="I140" s="17">
        <f>IF(G140="","",IF(H140="",TODAY()-G140,H140-G140))</f>
      </c>
      <c r="J140" s="13">
        <f>IF(F140="","",IFERROR(IF(VLOOKUP(E140,'ALIM AYARLARI'!$A$4:$D$20,3,FALSE)="EVET",'GİDER AYARLARI'!$B$4,0),0))</f>
      </c>
      <c r="K140" s="13">
        <f>IF(F140="","",'GİDER AYARLARI'!$B$5)</f>
      </c>
      <c r="L140" s="13">
        <f>IF(F140="","",'GİDER AYARLARI'!$B$6)</f>
      </c>
      <c r="M140" s="13">
        <f>IF(F140="","",IFERROR(IF(VLOOKUP(E140,'ALIM AYARLARI'!$A$4:$D$20,3,FALSE)="EVET",'GİDER AYARLARI'!$B$7,0),0))</f>
      </c>
      <c r="N140" s="3"/>
      <c r="O140" s="13">
        <f>IF(OR(F140="",I140=""),"",IFERROR(IF(VLOOKUP(E140,'ALIM AYARLARI'!$A$4:$D$20,2,FALSE)="EVET",F140*'GİDER AYARLARI'!$B$8*I140/30,0),0))</f>
      </c>
      <c r="P140" s="14">
        <f>IF(F140="","",SUM(J140:O140))</f>
      </c>
      <c r="Q140" s="14">
        <f>IF(F140="","",F140+P140)</f>
      </c>
      <c r="R140" s="2"/>
      <c r="S140" s="2"/>
      <c r="T140" s="3"/>
      <c r="U140" s="14">
        <f>IF(OR(F140="",T140=""),"",T140-F140)</f>
      </c>
      <c r="V140" s="14">
        <f>IF(T140="","",T140-Q140)</f>
      </c>
      <c r="W140" s="15">
        <f>IFERROR(V140/T140,"")</f>
      </c>
      <c r="X140" s="12">
        <f>IF(F140="","",IF(H140="","STOKTA","SATILDI"))</f>
      </c>
      <c r="Y140" s="2"/>
      <c r="Z140" s="3"/>
      <c r="AA140" s="3"/>
      <c r="AB140" s="3"/>
      <c r="AC140" s="14">
        <f>IF(F140="","",SUM(Z140:AB140))</f>
      </c>
      <c r="AD140" s="14">
        <f>IF(T140="","",V140+AC140)</f>
      </c>
    </row>
    <row r="141" spans="1:30">
      <c r="A141">
        <f>IF(D141="","",ROW()-3)</f>
      </c>
      <c r="B141" s="2"/>
      <c r="C141" s="18"/>
      <c r="D141" s="2"/>
      <c r="E141" s="2"/>
      <c r="F141" s="3"/>
      <c r="G141" s="16"/>
      <c r="H141" s="16"/>
      <c r="I141" s="17">
        <f>IF(G141="","",IF(H141="",TODAY()-G141,H141-G141))</f>
      </c>
      <c r="J141" s="13">
        <f>IF(F141="","",IFERROR(IF(VLOOKUP(E141,'ALIM AYARLARI'!$A$4:$D$20,3,FALSE)="EVET",'GİDER AYARLARI'!$B$4,0),0))</f>
      </c>
      <c r="K141" s="13">
        <f>IF(F141="","",'GİDER AYARLARI'!$B$5)</f>
      </c>
      <c r="L141" s="13">
        <f>IF(F141="","",'GİDER AYARLARI'!$B$6)</f>
      </c>
      <c r="M141" s="13">
        <f>IF(F141="","",IFERROR(IF(VLOOKUP(E141,'ALIM AYARLARI'!$A$4:$D$20,3,FALSE)="EVET",'GİDER AYARLARI'!$B$7,0),0))</f>
      </c>
      <c r="N141" s="3"/>
      <c r="O141" s="13">
        <f>IF(OR(F141="",I141=""),"",IFERROR(IF(VLOOKUP(E141,'ALIM AYARLARI'!$A$4:$D$20,2,FALSE)="EVET",F141*'GİDER AYARLARI'!$B$8*I141/30,0),0))</f>
      </c>
      <c r="P141" s="14">
        <f>IF(F141="","",SUM(J141:O141))</f>
      </c>
      <c r="Q141" s="14">
        <f>IF(F141="","",F141+P141)</f>
      </c>
      <c r="R141" s="2"/>
      <c r="S141" s="2"/>
      <c r="T141" s="3"/>
      <c r="U141" s="14">
        <f>IF(OR(F141="",T141=""),"",T141-F141)</f>
      </c>
      <c r="V141" s="14">
        <f>IF(T141="","",T141-Q141)</f>
      </c>
      <c r="W141" s="15">
        <f>IFERROR(V141/T141,"")</f>
      </c>
      <c r="X141" s="12">
        <f>IF(F141="","",IF(H141="","STOKTA","SATILDI"))</f>
      </c>
      <c r="Y141" s="2"/>
      <c r="Z141" s="3"/>
      <c r="AA141" s="3"/>
      <c r="AB141" s="3"/>
      <c r="AC141" s="14">
        <f>IF(F141="","",SUM(Z141:AB141))</f>
      </c>
      <c r="AD141" s="14">
        <f>IF(T141="","",V141+AC141)</f>
      </c>
    </row>
    <row r="142" spans="1:30">
      <c r="A142">
        <f>IF(D142="","",ROW()-3)</f>
      </c>
      <c r="B142" s="2"/>
      <c r="C142" s="18"/>
      <c r="D142" s="2"/>
      <c r="E142" s="2"/>
      <c r="F142" s="3"/>
      <c r="G142" s="16"/>
      <c r="H142" s="16"/>
      <c r="I142" s="17">
        <f>IF(G142="","",IF(H142="",TODAY()-G142,H142-G142))</f>
      </c>
      <c r="J142" s="13">
        <f>IF(F142="","",IFERROR(IF(VLOOKUP(E142,'ALIM AYARLARI'!$A$4:$D$20,3,FALSE)="EVET",'GİDER AYARLARI'!$B$4,0),0))</f>
      </c>
      <c r="K142" s="13">
        <f>IF(F142="","",'GİDER AYARLARI'!$B$5)</f>
      </c>
      <c r="L142" s="13">
        <f>IF(F142="","",'GİDER AYARLARI'!$B$6)</f>
      </c>
      <c r="M142" s="13">
        <f>IF(F142="","",IFERROR(IF(VLOOKUP(E142,'ALIM AYARLARI'!$A$4:$D$20,3,FALSE)="EVET",'GİDER AYARLARI'!$B$7,0),0))</f>
      </c>
      <c r="N142" s="3"/>
      <c r="O142" s="13">
        <f>IF(OR(F142="",I142=""),"",IFERROR(IF(VLOOKUP(E142,'ALIM AYARLARI'!$A$4:$D$20,2,FALSE)="EVET",F142*'GİDER AYARLARI'!$B$8*I142/30,0),0))</f>
      </c>
      <c r="P142" s="14">
        <f>IF(F142="","",SUM(J142:O142))</f>
      </c>
      <c r="Q142" s="14">
        <f>IF(F142="","",F142+P142)</f>
      </c>
      <c r="R142" s="2"/>
      <c r="S142" s="2"/>
      <c r="T142" s="3"/>
      <c r="U142" s="14">
        <f>IF(OR(F142="",T142=""),"",T142-F142)</f>
      </c>
      <c r="V142" s="14">
        <f>IF(T142="","",T142-Q142)</f>
      </c>
      <c r="W142" s="15">
        <f>IFERROR(V142/T142,"")</f>
      </c>
      <c r="X142" s="12">
        <f>IF(F142="","",IF(H142="","STOKTA","SATILDI"))</f>
      </c>
      <c r="Y142" s="2"/>
      <c r="Z142" s="3"/>
      <c r="AA142" s="3"/>
      <c r="AB142" s="3"/>
      <c r="AC142" s="14">
        <f>IF(F142="","",SUM(Z142:AB142))</f>
      </c>
      <c r="AD142" s="14">
        <f>IF(T142="","",V142+AC142)</f>
      </c>
    </row>
    <row r="143" spans="1:30">
      <c r="A143">
        <f>IF(D143="","",ROW()-3)</f>
      </c>
      <c r="B143" s="2"/>
      <c r="C143" s="18"/>
      <c r="D143" s="2"/>
      <c r="E143" s="2"/>
      <c r="F143" s="3"/>
      <c r="G143" s="16"/>
      <c r="H143" s="16"/>
      <c r="I143" s="17">
        <f>IF(G143="","",IF(H143="",TODAY()-G143,H143-G143))</f>
      </c>
      <c r="J143" s="13">
        <f>IF(F143="","",IFERROR(IF(VLOOKUP(E143,'ALIM AYARLARI'!$A$4:$D$20,3,FALSE)="EVET",'GİDER AYARLARI'!$B$4,0),0))</f>
      </c>
      <c r="K143" s="13">
        <f>IF(F143="","",'GİDER AYARLARI'!$B$5)</f>
      </c>
      <c r="L143" s="13">
        <f>IF(F143="","",'GİDER AYARLARI'!$B$6)</f>
      </c>
      <c r="M143" s="13">
        <f>IF(F143="","",IFERROR(IF(VLOOKUP(E143,'ALIM AYARLARI'!$A$4:$D$20,3,FALSE)="EVET",'GİDER AYARLARI'!$B$7,0),0))</f>
      </c>
      <c r="N143" s="3"/>
      <c r="O143" s="13">
        <f>IF(OR(F143="",I143=""),"",IFERROR(IF(VLOOKUP(E143,'ALIM AYARLARI'!$A$4:$D$20,2,FALSE)="EVET",F143*'GİDER AYARLARI'!$B$8*I143/30,0),0))</f>
      </c>
      <c r="P143" s="14">
        <f>IF(F143="","",SUM(J143:O143))</f>
      </c>
      <c r="Q143" s="14">
        <f>IF(F143="","",F143+P143)</f>
      </c>
      <c r="R143" s="2"/>
      <c r="S143" s="2"/>
      <c r="T143" s="3"/>
      <c r="U143" s="14">
        <f>IF(OR(F143="",T143=""),"",T143-F143)</f>
      </c>
      <c r="V143" s="14">
        <f>IF(T143="","",T143-Q143)</f>
      </c>
      <c r="W143" s="15">
        <f>IFERROR(V143/T143,"")</f>
      </c>
      <c r="X143" s="12">
        <f>IF(F143="","",IF(H143="","STOKTA","SATILDI"))</f>
      </c>
      <c r="Y143" s="2"/>
      <c r="Z143" s="3"/>
      <c r="AA143" s="3"/>
      <c r="AB143" s="3"/>
      <c r="AC143" s="14">
        <f>IF(F143="","",SUM(Z143:AB143))</f>
      </c>
      <c r="AD143" s="14">
        <f>IF(T143="","",V143+AC143)</f>
      </c>
    </row>
    <row r="144" spans="1:30">
      <c r="A144">
        <f>IF(D144="","",ROW()-3)</f>
      </c>
      <c r="B144" s="2"/>
      <c r="C144" s="18"/>
      <c r="D144" s="2"/>
      <c r="E144" s="2"/>
      <c r="F144" s="3"/>
      <c r="G144" s="16"/>
      <c r="H144" s="16"/>
      <c r="I144" s="17">
        <f>IF(G144="","",IF(H144="",TODAY()-G144,H144-G144))</f>
      </c>
      <c r="J144" s="13">
        <f>IF(F144="","",IFERROR(IF(VLOOKUP(E144,'ALIM AYARLARI'!$A$4:$D$20,3,FALSE)="EVET",'GİDER AYARLARI'!$B$4,0),0))</f>
      </c>
      <c r="K144" s="13">
        <f>IF(F144="","",'GİDER AYARLARI'!$B$5)</f>
      </c>
      <c r="L144" s="13">
        <f>IF(F144="","",'GİDER AYARLARI'!$B$6)</f>
      </c>
      <c r="M144" s="13">
        <f>IF(F144="","",IFERROR(IF(VLOOKUP(E144,'ALIM AYARLARI'!$A$4:$D$20,3,FALSE)="EVET",'GİDER AYARLARI'!$B$7,0),0))</f>
      </c>
      <c r="N144" s="3"/>
      <c r="O144" s="13">
        <f>IF(OR(F144="",I144=""),"",IFERROR(IF(VLOOKUP(E144,'ALIM AYARLARI'!$A$4:$D$20,2,FALSE)="EVET",F144*'GİDER AYARLARI'!$B$8*I144/30,0),0))</f>
      </c>
      <c r="P144" s="14">
        <f>IF(F144="","",SUM(J144:O144))</f>
      </c>
      <c r="Q144" s="14">
        <f>IF(F144="","",F144+P144)</f>
      </c>
      <c r="R144" s="2"/>
      <c r="S144" s="2"/>
      <c r="T144" s="3"/>
      <c r="U144" s="14">
        <f>IF(OR(F144="",T144=""),"",T144-F144)</f>
      </c>
      <c r="V144" s="14">
        <f>IF(T144="","",T144-Q144)</f>
      </c>
      <c r="W144" s="15">
        <f>IFERROR(V144/T144,"")</f>
      </c>
      <c r="X144" s="12">
        <f>IF(F144="","",IF(H144="","STOKTA","SATILDI"))</f>
      </c>
      <c r="Y144" s="2"/>
      <c r="Z144" s="3"/>
      <c r="AA144" s="3"/>
      <c r="AB144" s="3"/>
      <c r="AC144" s="14">
        <f>IF(F144="","",SUM(Z144:AB144))</f>
      </c>
      <c r="AD144" s="14">
        <f>IF(T144="","",V144+AC144)</f>
      </c>
    </row>
    <row r="145" spans="1:30">
      <c r="A145">
        <f>IF(D145="","",ROW()-3)</f>
      </c>
      <c r="B145" s="2"/>
      <c r="C145" s="18"/>
      <c r="D145" s="2"/>
      <c r="E145" s="2"/>
      <c r="F145" s="3"/>
      <c r="G145" s="16"/>
      <c r="H145" s="16"/>
      <c r="I145" s="17">
        <f>IF(G145="","",IF(H145="",TODAY()-G145,H145-G145))</f>
      </c>
      <c r="J145" s="13">
        <f>IF(F145="","",IFERROR(IF(VLOOKUP(E145,'ALIM AYARLARI'!$A$4:$D$20,3,FALSE)="EVET",'GİDER AYARLARI'!$B$4,0),0))</f>
      </c>
      <c r="K145" s="13">
        <f>IF(F145="","",'GİDER AYARLARI'!$B$5)</f>
      </c>
      <c r="L145" s="13">
        <f>IF(F145="","",'GİDER AYARLARI'!$B$6)</f>
      </c>
      <c r="M145" s="13">
        <f>IF(F145="","",IFERROR(IF(VLOOKUP(E145,'ALIM AYARLARI'!$A$4:$D$20,3,FALSE)="EVET",'GİDER AYARLARI'!$B$7,0),0))</f>
      </c>
      <c r="N145" s="3"/>
      <c r="O145" s="13">
        <f>IF(OR(F145="",I145=""),"",IFERROR(IF(VLOOKUP(E145,'ALIM AYARLARI'!$A$4:$D$20,2,FALSE)="EVET",F145*'GİDER AYARLARI'!$B$8*I145/30,0),0))</f>
      </c>
      <c r="P145" s="14">
        <f>IF(F145="","",SUM(J145:O145))</f>
      </c>
      <c r="Q145" s="14">
        <f>IF(F145="","",F145+P145)</f>
      </c>
      <c r="R145" s="2"/>
      <c r="S145" s="2"/>
      <c r="T145" s="3"/>
      <c r="U145" s="14">
        <f>IF(OR(F145="",T145=""),"",T145-F145)</f>
      </c>
      <c r="V145" s="14">
        <f>IF(T145="","",T145-Q145)</f>
      </c>
      <c r="W145" s="15">
        <f>IFERROR(V145/T145,"")</f>
      </c>
      <c r="X145" s="12">
        <f>IF(F145="","",IF(H145="","STOKTA","SATILDI"))</f>
      </c>
      <c r="Y145" s="2"/>
      <c r="Z145" s="3"/>
      <c r="AA145" s="3"/>
      <c r="AB145" s="3"/>
      <c r="AC145" s="14">
        <f>IF(F145="","",SUM(Z145:AB145))</f>
      </c>
      <c r="AD145" s="14">
        <f>IF(T145="","",V145+AC145)</f>
      </c>
    </row>
    <row r="146" spans="1:30">
      <c r="A146">
        <f>IF(D146="","",ROW()-3)</f>
      </c>
      <c r="B146" s="2"/>
      <c r="C146" s="18"/>
      <c r="D146" s="2"/>
      <c r="E146" s="2"/>
      <c r="F146" s="3"/>
      <c r="G146" s="16"/>
      <c r="H146" s="16"/>
      <c r="I146" s="17">
        <f>IF(G146="","",IF(H146="",TODAY()-G146,H146-G146))</f>
      </c>
      <c r="J146" s="13">
        <f>IF(F146="","",IFERROR(IF(VLOOKUP(E146,'ALIM AYARLARI'!$A$4:$D$20,3,FALSE)="EVET",'GİDER AYARLARI'!$B$4,0),0))</f>
      </c>
      <c r="K146" s="13">
        <f>IF(F146="","",'GİDER AYARLARI'!$B$5)</f>
      </c>
      <c r="L146" s="13">
        <f>IF(F146="","",'GİDER AYARLARI'!$B$6)</f>
      </c>
      <c r="M146" s="13">
        <f>IF(F146="","",IFERROR(IF(VLOOKUP(E146,'ALIM AYARLARI'!$A$4:$D$20,3,FALSE)="EVET",'GİDER AYARLARI'!$B$7,0),0))</f>
      </c>
      <c r="N146" s="3"/>
      <c r="O146" s="13">
        <f>IF(OR(F146="",I146=""),"",IFERROR(IF(VLOOKUP(E146,'ALIM AYARLARI'!$A$4:$D$20,2,FALSE)="EVET",F146*'GİDER AYARLARI'!$B$8*I146/30,0),0))</f>
      </c>
      <c r="P146" s="14">
        <f>IF(F146="","",SUM(J146:O146))</f>
      </c>
      <c r="Q146" s="14">
        <f>IF(F146="","",F146+P146)</f>
      </c>
      <c r="R146" s="2"/>
      <c r="S146" s="2"/>
      <c r="T146" s="3"/>
      <c r="U146" s="14">
        <f>IF(OR(F146="",T146=""),"",T146-F146)</f>
      </c>
      <c r="V146" s="14">
        <f>IF(T146="","",T146-Q146)</f>
      </c>
      <c r="W146" s="15">
        <f>IFERROR(V146/T146,"")</f>
      </c>
      <c r="X146" s="12">
        <f>IF(F146="","",IF(H146="","STOKTA","SATILDI"))</f>
      </c>
      <c r="Y146" s="2"/>
      <c r="Z146" s="3"/>
      <c r="AA146" s="3"/>
      <c r="AB146" s="3"/>
      <c r="AC146" s="14">
        <f>IF(F146="","",SUM(Z146:AB146))</f>
      </c>
      <c r="AD146" s="14">
        <f>IF(T146="","",V146+AC146)</f>
      </c>
    </row>
    <row r="147" spans="1:30">
      <c r="A147">
        <f>IF(D147="","",ROW()-3)</f>
      </c>
      <c r="B147" s="2"/>
      <c r="C147" s="18"/>
      <c r="D147" s="2"/>
      <c r="E147" s="2"/>
      <c r="F147" s="3"/>
      <c r="G147" s="16"/>
      <c r="H147" s="16"/>
      <c r="I147" s="17">
        <f>IF(G147="","",IF(H147="",TODAY()-G147,H147-G147))</f>
      </c>
      <c r="J147" s="13">
        <f>IF(F147="","",IFERROR(IF(VLOOKUP(E147,'ALIM AYARLARI'!$A$4:$D$20,3,FALSE)="EVET",'GİDER AYARLARI'!$B$4,0),0))</f>
      </c>
      <c r="K147" s="13">
        <f>IF(F147="","",'GİDER AYARLARI'!$B$5)</f>
      </c>
      <c r="L147" s="13">
        <f>IF(F147="","",'GİDER AYARLARI'!$B$6)</f>
      </c>
      <c r="M147" s="13">
        <f>IF(F147="","",IFERROR(IF(VLOOKUP(E147,'ALIM AYARLARI'!$A$4:$D$20,3,FALSE)="EVET",'GİDER AYARLARI'!$B$7,0),0))</f>
      </c>
      <c r="N147" s="3"/>
      <c r="O147" s="13">
        <f>IF(OR(F147="",I147=""),"",IFERROR(IF(VLOOKUP(E147,'ALIM AYARLARI'!$A$4:$D$20,2,FALSE)="EVET",F147*'GİDER AYARLARI'!$B$8*I147/30,0),0))</f>
      </c>
      <c r="P147" s="14">
        <f>IF(F147="","",SUM(J147:O147))</f>
      </c>
      <c r="Q147" s="14">
        <f>IF(F147="","",F147+P147)</f>
      </c>
      <c r="R147" s="2"/>
      <c r="S147" s="2"/>
      <c r="T147" s="3"/>
      <c r="U147" s="14">
        <f>IF(OR(F147="",T147=""),"",T147-F147)</f>
      </c>
      <c r="V147" s="14">
        <f>IF(T147="","",T147-Q147)</f>
      </c>
      <c r="W147" s="15">
        <f>IFERROR(V147/T147,"")</f>
      </c>
      <c r="X147" s="12">
        <f>IF(F147="","",IF(H147="","STOKTA","SATILDI"))</f>
      </c>
      <c r="Y147" s="2"/>
      <c r="Z147" s="3"/>
      <c r="AA147" s="3"/>
      <c r="AB147" s="3"/>
      <c r="AC147" s="14">
        <f>IF(F147="","",SUM(Z147:AB147))</f>
      </c>
      <c r="AD147" s="14">
        <f>IF(T147="","",V147+AC147)</f>
      </c>
    </row>
    <row r="148" spans="1:30">
      <c r="A148">
        <f>IF(D148="","",ROW()-3)</f>
      </c>
      <c r="B148" s="2"/>
      <c r="C148" s="18"/>
      <c r="D148" s="2"/>
      <c r="E148" s="2"/>
      <c r="F148" s="3"/>
      <c r="G148" s="16"/>
      <c r="H148" s="16"/>
      <c r="I148" s="17">
        <f>IF(G148="","",IF(H148="",TODAY()-G148,H148-G148))</f>
      </c>
      <c r="J148" s="13">
        <f>IF(F148="","",IFERROR(IF(VLOOKUP(E148,'ALIM AYARLARI'!$A$4:$D$20,3,FALSE)="EVET",'GİDER AYARLARI'!$B$4,0),0))</f>
      </c>
      <c r="K148" s="13">
        <f>IF(F148="","",'GİDER AYARLARI'!$B$5)</f>
      </c>
      <c r="L148" s="13">
        <f>IF(F148="","",'GİDER AYARLARI'!$B$6)</f>
      </c>
      <c r="M148" s="13">
        <f>IF(F148="","",IFERROR(IF(VLOOKUP(E148,'ALIM AYARLARI'!$A$4:$D$20,3,FALSE)="EVET",'GİDER AYARLARI'!$B$7,0),0))</f>
      </c>
      <c r="N148" s="3"/>
      <c r="O148" s="13">
        <f>IF(OR(F148="",I148=""),"",IFERROR(IF(VLOOKUP(E148,'ALIM AYARLARI'!$A$4:$D$20,2,FALSE)="EVET",F148*'GİDER AYARLARI'!$B$8*I148/30,0),0))</f>
      </c>
      <c r="P148" s="14">
        <f>IF(F148="","",SUM(J148:O148))</f>
      </c>
      <c r="Q148" s="14">
        <f>IF(F148="","",F148+P148)</f>
      </c>
      <c r="R148" s="2"/>
      <c r="S148" s="2"/>
      <c r="T148" s="3"/>
      <c r="U148" s="14">
        <f>IF(OR(F148="",T148=""),"",T148-F148)</f>
      </c>
      <c r="V148" s="14">
        <f>IF(T148="","",T148-Q148)</f>
      </c>
      <c r="W148" s="15">
        <f>IFERROR(V148/T148,"")</f>
      </c>
      <c r="X148" s="12">
        <f>IF(F148="","",IF(H148="","STOKTA","SATILDI"))</f>
      </c>
      <c r="Y148" s="2"/>
      <c r="Z148" s="3"/>
      <c r="AA148" s="3"/>
      <c r="AB148" s="3"/>
      <c r="AC148" s="14">
        <f>IF(F148="","",SUM(Z148:AB148))</f>
      </c>
      <c r="AD148" s="14">
        <f>IF(T148="","",V148+AC148)</f>
      </c>
    </row>
    <row r="149" spans="1:30">
      <c r="A149">
        <f>IF(D149="","",ROW()-3)</f>
      </c>
      <c r="B149" s="2"/>
      <c r="C149" s="18"/>
      <c r="D149" s="2"/>
      <c r="E149" s="2"/>
      <c r="F149" s="3"/>
      <c r="G149" s="16"/>
      <c r="H149" s="16"/>
      <c r="I149" s="17">
        <f>IF(G149="","",IF(H149="",TODAY()-G149,H149-G149))</f>
      </c>
      <c r="J149" s="13">
        <f>IF(F149="","",IFERROR(IF(VLOOKUP(E149,'ALIM AYARLARI'!$A$4:$D$20,3,FALSE)="EVET",'GİDER AYARLARI'!$B$4,0),0))</f>
      </c>
      <c r="K149" s="13">
        <f>IF(F149="","",'GİDER AYARLARI'!$B$5)</f>
      </c>
      <c r="L149" s="13">
        <f>IF(F149="","",'GİDER AYARLARI'!$B$6)</f>
      </c>
      <c r="M149" s="13">
        <f>IF(F149="","",IFERROR(IF(VLOOKUP(E149,'ALIM AYARLARI'!$A$4:$D$20,3,FALSE)="EVET",'GİDER AYARLARI'!$B$7,0),0))</f>
      </c>
      <c r="N149" s="3"/>
      <c r="O149" s="13">
        <f>IF(OR(F149="",I149=""),"",IFERROR(IF(VLOOKUP(E149,'ALIM AYARLARI'!$A$4:$D$20,2,FALSE)="EVET",F149*'GİDER AYARLARI'!$B$8*I149/30,0),0))</f>
      </c>
      <c r="P149" s="14">
        <f>IF(F149="","",SUM(J149:O149))</f>
      </c>
      <c r="Q149" s="14">
        <f>IF(F149="","",F149+P149)</f>
      </c>
      <c r="R149" s="2"/>
      <c r="S149" s="2"/>
      <c r="T149" s="3"/>
      <c r="U149" s="14">
        <f>IF(OR(F149="",T149=""),"",T149-F149)</f>
      </c>
      <c r="V149" s="14">
        <f>IF(T149="","",T149-Q149)</f>
      </c>
      <c r="W149" s="15">
        <f>IFERROR(V149/T149,"")</f>
      </c>
      <c r="X149" s="12">
        <f>IF(F149="","",IF(H149="","STOKTA","SATILDI"))</f>
      </c>
      <c r="Y149" s="2"/>
      <c r="Z149" s="3"/>
      <c r="AA149" s="3"/>
      <c r="AB149" s="3"/>
      <c r="AC149" s="14">
        <f>IF(F149="","",SUM(Z149:AB149))</f>
      </c>
      <c r="AD149" s="14">
        <f>IF(T149="","",V149+AC149)</f>
      </c>
    </row>
    <row r="150" spans="1:30">
      <c r="A150">
        <f>IF(D150="","",ROW()-3)</f>
      </c>
      <c r="B150" s="2"/>
      <c r="C150" s="18"/>
      <c r="D150" s="2"/>
      <c r="E150" s="2"/>
      <c r="F150" s="3"/>
      <c r="G150" s="16"/>
      <c r="H150" s="16"/>
      <c r="I150" s="17">
        <f>IF(G150="","",IF(H150="",TODAY()-G150,H150-G150))</f>
      </c>
      <c r="J150" s="13">
        <f>IF(F150="","",IFERROR(IF(VLOOKUP(E150,'ALIM AYARLARI'!$A$4:$D$20,3,FALSE)="EVET",'GİDER AYARLARI'!$B$4,0),0))</f>
      </c>
      <c r="K150" s="13">
        <f>IF(F150="","",'GİDER AYARLARI'!$B$5)</f>
      </c>
      <c r="L150" s="13">
        <f>IF(F150="","",'GİDER AYARLARI'!$B$6)</f>
      </c>
      <c r="M150" s="13">
        <f>IF(F150="","",IFERROR(IF(VLOOKUP(E150,'ALIM AYARLARI'!$A$4:$D$20,3,FALSE)="EVET",'GİDER AYARLARI'!$B$7,0),0))</f>
      </c>
      <c r="N150" s="3"/>
      <c r="O150" s="13">
        <f>IF(OR(F150="",I150=""),"",IFERROR(IF(VLOOKUP(E150,'ALIM AYARLARI'!$A$4:$D$20,2,FALSE)="EVET",F150*'GİDER AYARLARI'!$B$8*I150/30,0),0))</f>
      </c>
      <c r="P150" s="14">
        <f>IF(F150="","",SUM(J150:O150))</f>
      </c>
      <c r="Q150" s="14">
        <f>IF(F150="","",F150+P150)</f>
      </c>
      <c r="R150" s="2"/>
      <c r="S150" s="2"/>
      <c r="T150" s="3"/>
      <c r="U150" s="14">
        <f>IF(OR(F150="",T150=""),"",T150-F150)</f>
      </c>
      <c r="V150" s="14">
        <f>IF(T150="","",T150-Q150)</f>
      </c>
      <c r="W150" s="15">
        <f>IFERROR(V150/T150,"")</f>
      </c>
      <c r="X150" s="12">
        <f>IF(F150="","",IF(H150="","STOKTA","SATILDI"))</f>
      </c>
      <c r="Y150" s="2"/>
      <c r="Z150" s="3"/>
      <c r="AA150" s="3"/>
      <c r="AB150" s="3"/>
      <c r="AC150" s="14">
        <f>IF(F150="","",SUM(Z150:AB150))</f>
      </c>
      <c r="AD150" s="14">
        <f>IF(T150="","",V150+AC150)</f>
      </c>
    </row>
    <row r="151" spans="1:30">
      <c r="A151">
        <f>IF(D151="","",ROW()-3)</f>
      </c>
      <c r="B151" s="2"/>
      <c r="C151" s="18"/>
      <c r="D151" s="2"/>
      <c r="E151" s="2"/>
      <c r="F151" s="3"/>
      <c r="G151" s="16"/>
      <c r="H151" s="16"/>
      <c r="I151" s="17">
        <f>IF(G151="","",IF(H151="",TODAY()-G151,H151-G151))</f>
      </c>
      <c r="J151" s="13">
        <f>IF(F151="","",IFERROR(IF(VLOOKUP(E151,'ALIM AYARLARI'!$A$4:$D$20,3,FALSE)="EVET",'GİDER AYARLARI'!$B$4,0),0))</f>
      </c>
      <c r="K151" s="13">
        <f>IF(F151="","",'GİDER AYARLARI'!$B$5)</f>
      </c>
      <c r="L151" s="13">
        <f>IF(F151="","",'GİDER AYARLARI'!$B$6)</f>
      </c>
      <c r="M151" s="13">
        <f>IF(F151="","",IFERROR(IF(VLOOKUP(E151,'ALIM AYARLARI'!$A$4:$D$20,3,FALSE)="EVET",'GİDER AYARLARI'!$B$7,0),0))</f>
      </c>
      <c r="N151" s="3"/>
      <c r="O151" s="13">
        <f>IF(OR(F151="",I151=""),"",IFERROR(IF(VLOOKUP(E151,'ALIM AYARLARI'!$A$4:$D$20,2,FALSE)="EVET",F151*'GİDER AYARLARI'!$B$8*I151/30,0),0))</f>
      </c>
      <c r="P151" s="14">
        <f>IF(F151="","",SUM(J151:O151))</f>
      </c>
      <c r="Q151" s="14">
        <f>IF(F151="","",F151+P151)</f>
      </c>
      <c r="R151" s="2"/>
      <c r="S151" s="2"/>
      <c r="T151" s="3"/>
      <c r="U151" s="14">
        <f>IF(OR(F151="",T151=""),"",T151-F151)</f>
      </c>
      <c r="V151" s="14">
        <f>IF(T151="","",T151-Q151)</f>
      </c>
      <c r="W151" s="15">
        <f>IFERROR(V151/T151,"")</f>
      </c>
      <c r="X151" s="12">
        <f>IF(F151="","",IF(H151="","STOKTA","SATILDI"))</f>
      </c>
      <c r="Y151" s="2"/>
      <c r="Z151" s="3"/>
      <c r="AA151" s="3"/>
      <c r="AB151" s="3"/>
      <c r="AC151" s="14">
        <f>IF(F151="","",SUM(Z151:AB151))</f>
      </c>
      <c r="AD151" s="14">
        <f>IF(T151="","",V151+AC151)</f>
      </c>
    </row>
    <row r="152" spans="1:30">
      <c r="A152">
        <f>IF(D152="","",ROW()-3)</f>
      </c>
      <c r="B152" s="2"/>
      <c r="C152" s="18"/>
      <c r="D152" s="2"/>
      <c r="E152" s="2"/>
      <c r="F152" s="3"/>
      <c r="G152" s="16"/>
      <c r="H152" s="16"/>
      <c r="I152" s="17">
        <f>IF(G152="","",IF(H152="",TODAY()-G152,H152-G152))</f>
      </c>
      <c r="J152" s="13">
        <f>IF(F152="","",IFERROR(IF(VLOOKUP(E152,'ALIM AYARLARI'!$A$4:$D$20,3,FALSE)="EVET",'GİDER AYARLARI'!$B$4,0),0))</f>
      </c>
      <c r="K152" s="13">
        <f>IF(F152="","",'GİDER AYARLARI'!$B$5)</f>
      </c>
      <c r="L152" s="13">
        <f>IF(F152="","",'GİDER AYARLARI'!$B$6)</f>
      </c>
      <c r="M152" s="13">
        <f>IF(F152="","",IFERROR(IF(VLOOKUP(E152,'ALIM AYARLARI'!$A$4:$D$20,3,FALSE)="EVET",'GİDER AYARLARI'!$B$7,0),0))</f>
      </c>
      <c r="N152" s="3"/>
      <c r="O152" s="13">
        <f>IF(OR(F152="",I152=""),"",IFERROR(IF(VLOOKUP(E152,'ALIM AYARLARI'!$A$4:$D$20,2,FALSE)="EVET",F152*'GİDER AYARLARI'!$B$8*I152/30,0),0))</f>
      </c>
      <c r="P152" s="14">
        <f>IF(F152="","",SUM(J152:O152))</f>
      </c>
      <c r="Q152" s="14">
        <f>IF(F152="","",F152+P152)</f>
      </c>
      <c r="R152" s="2"/>
      <c r="S152" s="2"/>
      <c r="T152" s="3"/>
      <c r="U152" s="14">
        <f>IF(OR(F152="",T152=""),"",T152-F152)</f>
      </c>
      <c r="V152" s="14">
        <f>IF(T152="","",T152-Q152)</f>
      </c>
      <c r="W152" s="15">
        <f>IFERROR(V152/T152,"")</f>
      </c>
      <c r="X152" s="12">
        <f>IF(F152="","",IF(H152="","STOKTA","SATILDI"))</f>
      </c>
      <c r="Y152" s="2"/>
      <c r="Z152" s="3"/>
      <c r="AA152" s="3"/>
      <c r="AB152" s="3"/>
      <c r="AC152" s="14">
        <f>IF(F152="","",SUM(Z152:AB152))</f>
      </c>
      <c r="AD152" s="14">
        <f>IF(T152="","",V152+AC152)</f>
      </c>
    </row>
    <row r="153" spans="1:30">
      <c r="A153">
        <f>IF(D153="","",ROW()-3)</f>
      </c>
      <c r="B153" s="2"/>
      <c r="C153" s="18"/>
      <c r="D153" s="2"/>
      <c r="E153" s="2"/>
      <c r="F153" s="3"/>
      <c r="G153" s="16"/>
      <c r="H153" s="16"/>
      <c r="I153" s="17">
        <f>IF(G153="","",IF(H153="",TODAY()-G153,H153-G153))</f>
      </c>
      <c r="J153" s="13">
        <f>IF(F153="","",IFERROR(IF(VLOOKUP(E153,'ALIM AYARLARI'!$A$4:$D$20,3,FALSE)="EVET",'GİDER AYARLARI'!$B$4,0),0))</f>
      </c>
      <c r="K153" s="13">
        <f>IF(F153="","",'GİDER AYARLARI'!$B$5)</f>
      </c>
      <c r="L153" s="13">
        <f>IF(F153="","",'GİDER AYARLARI'!$B$6)</f>
      </c>
      <c r="M153" s="13">
        <f>IF(F153="","",IFERROR(IF(VLOOKUP(E153,'ALIM AYARLARI'!$A$4:$D$20,3,FALSE)="EVET",'GİDER AYARLARI'!$B$7,0),0))</f>
      </c>
      <c r="N153" s="3"/>
      <c r="O153" s="13">
        <f>IF(OR(F153="",I153=""),"",IFERROR(IF(VLOOKUP(E153,'ALIM AYARLARI'!$A$4:$D$20,2,FALSE)="EVET",F153*'GİDER AYARLARI'!$B$8*I153/30,0),0))</f>
      </c>
      <c r="P153" s="14">
        <f>IF(F153="","",SUM(J153:O153))</f>
      </c>
      <c r="Q153" s="14">
        <f>IF(F153="","",F153+P153)</f>
      </c>
      <c r="R153" s="2"/>
      <c r="S153" s="2"/>
      <c r="T153" s="3"/>
      <c r="U153" s="14">
        <f>IF(OR(F153="",T153=""),"",T153-F153)</f>
      </c>
      <c r="V153" s="14">
        <f>IF(T153="","",T153-Q153)</f>
      </c>
      <c r="W153" s="15">
        <f>IFERROR(V153/T153,"")</f>
      </c>
      <c r="X153" s="12">
        <f>IF(F153="","",IF(H153="","STOKTA","SATILDI"))</f>
      </c>
      <c r="Y153" s="2"/>
      <c r="Z153" s="3"/>
      <c r="AA153" s="3"/>
      <c r="AB153" s="3"/>
      <c r="AC153" s="14">
        <f>IF(F153="","",SUM(Z153:AB153))</f>
      </c>
      <c r="AD153" s="14">
        <f>IF(T153="","",V153+AC153)</f>
      </c>
    </row>
    <row r="154" spans="1:30">
      <c r="A154">
        <f>IF(D154="","",ROW()-3)</f>
      </c>
      <c r="B154" s="2"/>
      <c r="C154" s="18"/>
      <c r="D154" s="2"/>
      <c r="E154" s="2"/>
      <c r="F154" s="3"/>
      <c r="G154" s="16"/>
      <c r="H154" s="16"/>
      <c r="I154" s="17">
        <f>IF(G154="","",IF(H154="",TODAY()-G154,H154-G154))</f>
      </c>
      <c r="J154" s="13">
        <f>IF(F154="","",IFERROR(IF(VLOOKUP(E154,'ALIM AYARLARI'!$A$4:$D$20,3,FALSE)="EVET",'GİDER AYARLARI'!$B$4,0),0))</f>
      </c>
      <c r="K154" s="13">
        <f>IF(F154="","",'GİDER AYARLARI'!$B$5)</f>
      </c>
      <c r="L154" s="13">
        <f>IF(F154="","",'GİDER AYARLARI'!$B$6)</f>
      </c>
      <c r="M154" s="13">
        <f>IF(F154="","",IFERROR(IF(VLOOKUP(E154,'ALIM AYARLARI'!$A$4:$D$20,3,FALSE)="EVET",'GİDER AYARLARI'!$B$7,0),0))</f>
      </c>
      <c r="N154" s="3"/>
      <c r="O154" s="13">
        <f>IF(OR(F154="",I154=""),"",IFERROR(IF(VLOOKUP(E154,'ALIM AYARLARI'!$A$4:$D$20,2,FALSE)="EVET",F154*'GİDER AYARLARI'!$B$8*I154/30,0),0))</f>
      </c>
      <c r="P154" s="14">
        <f>IF(F154="","",SUM(J154:O154))</f>
      </c>
      <c r="Q154" s="14">
        <f>IF(F154="","",F154+P154)</f>
      </c>
      <c r="R154" s="2"/>
      <c r="S154" s="2"/>
      <c r="T154" s="3"/>
      <c r="U154" s="14">
        <f>IF(OR(F154="",T154=""),"",T154-F154)</f>
      </c>
      <c r="V154" s="14">
        <f>IF(T154="","",T154-Q154)</f>
      </c>
      <c r="W154" s="15">
        <f>IFERROR(V154/T154,"")</f>
      </c>
      <c r="X154" s="12">
        <f>IF(F154="","",IF(H154="","STOKTA","SATILDI"))</f>
      </c>
      <c r="Y154" s="2"/>
      <c r="Z154" s="3"/>
      <c r="AA154" s="3"/>
      <c r="AB154" s="3"/>
      <c r="AC154" s="14">
        <f>IF(F154="","",SUM(Z154:AB154))</f>
      </c>
      <c r="AD154" s="14">
        <f>IF(T154="","",V154+AC154)</f>
      </c>
    </row>
    <row r="155" spans="1:30">
      <c r="A155">
        <f>IF(D155="","",ROW()-3)</f>
      </c>
      <c r="B155" s="2"/>
      <c r="C155" s="18"/>
      <c r="D155" s="2"/>
      <c r="E155" s="2"/>
      <c r="F155" s="3"/>
      <c r="G155" s="16"/>
      <c r="H155" s="16"/>
      <c r="I155" s="17">
        <f>IF(G155="","",IF(H155="",TODAY()-G155,H155-G155))</f>
      </c>
      <c r="J155" s="13">
        <f>IF(F155="","",IFERROR(IF(VLOOKUP(E155,'ALIM AYARLARI'!$A$4:$D$20,3,FALSE)="EVET",'GİDER AYARLARI'!$B$4,0),0))</f>
      </c>
      <c r="K155" s="13">
        <f>IF(F155="","",'GİDER AYARLARI'!$B$5)</f>
      </c>
      <c r="L155" s="13">
        <f>IF(F155="","",'GİDER AYARLARI'!$B$6)</f>
      </c>
      <c r="M155" s="13">
        <f>IF(F155="","",IFERROR(IF(VLOOKUP(E155,'ALIM AYARLARI'!$A$4:$D$20,3,FALSE)="EVET",'GİDER AYARLARI'!$B$7,0),0))</f>
      </c>
      <c r="N155" s="3"/>
      <c r="O155" s="13">
        <f>IF(OR(F155="",I155=""),"",IFERROR(IF(VLOOKUP(E155,'ALIM AYARLARI'!$A$4:$D$20,2,FALSE)="EVET",F155*'GİDER AYARLARI'!$B$8*I155/30,0),0))</f>
      </c>
      <c r="P155" s="14">
        <f>IF(F155="","",SUM(J155:O155))</f>
      </c>
      <c r="Q155" s="14">
        <f>IF(F155="","",F155+P155)</f>
      </c>
      <c r="R155" s="2"/>
      <c r="S155" s="2"/>
      <c r="T155" s="3"/>
      <c r="U155" s="14">
        <f>IF(OR(F155="",T155=""),"",T155-F155)</f>
      </c>
      <c r="V155" s="14">
        <f>IF(T155="","",T155-Q155)</f>
      </c>
      <c r="W155" s="15">
        <f>IFERROR(V155/T155,"")</f>
      </c>
      <c r="X155" s="12">
        <f>IF(F155="","",IF(H155="","STOKTA","SATILDI"))</f>
      </c>
      <c r="Y155" s="2"/>
      <c r="Z155" s="3"/>
      <c r="AA155" s="3"/>
      <c r="AB155" s="3"/>
      <c r="AC155" s="14">
        <f>IF(F155="","",SUM(Z155:AB155))</f>
      </c>
      <c r="AD155" s="14">
        <f>IF(T155="","",V155+AC155)</f>
      </c>
    </row>
    <row r="156" spans="1:30">
      <c r="A156">
        <f>IF(D156="","",ROW()-3)</f>
      </c>
      <c r="B156" s="2"/>
      <c r="C156" s="18"/>
      <c r="D156" s="2"/>
      <c r="E156" s="2"/>
      <c r="F156" s="3"/>
      <c r="G156" s="16"/>
      <c r="H156" s="16"/>
      <c r="I156" s="17">
        <f>IF(G156="","",IF(H156="",TODAY()-G156,H156-G156))</f>
      </c>
      <c r="J156" s="13">
        <f>IF(F156="","",IFERROR(IF(VLOOKUP(E156,'ALIM AYARLARI'!$A$4:$D$20,3,FALSE)="EVET",'GİDER AYARLARI'!$B$4,0),0))</f>
      </c>
      <c r="K156" s="13">
        <f>IF(F156="","",'GİDER AYARLARI'!$B$5)</f>
      </c>
      <c r="L156" s="13">
        <f>IF(F156="","",'GİDER AYARLARI'!$B$6)</f>
      </c>
      <c r="M156" s="13">
        <f>IF(F156="","",IFERROR(IF(VLOOKUP(E156,'ALIM AYARLARI'!$A$4:$D$20,3,FALSE)="EVET",'GİDER AYARLARI'!$B$7,0),0))</f>
      </c>
      <c r="N156" s="3"/>
      <c r="O156" s="13">
        <f>IF(OR(F156="",I156=""),"",IFERROR(IF(VLOOKUP(E156,'ALIM AYARLARI'!$A$4:$D$20,2,FALSE)="EVET",F156*'GİDER AYARLARI'!$B$8*I156/30,0),0))</f>
      </c>
      <c r="P156" s="14">
        <f>IF(F156="","",SUM(J156:O156))</f>
      </c>
      <c r="Q156" s="14">
        <f>IF(F156="","",F156+P156)</f>
      </c>
      <c r="R156" s="2"/>
      <c r="S156" s="2"/>
      <c r="T156" s="3"/>
      <c r="U156" s="14">
        <f>IF(OR(F156="",T156=""),"",T156-F156)</f>
      </c>
      <c r="V156" s="14">
        <f>IF(T156="","",T156-Q156)</f>
      </c>
      <c r="W156" s="15">
        <f>IFERROR(V156/T156,"")</f>
      </c>
      <c r="X156" s="12">
        <f>IF(F156="","",IF(H156="","STOKTA","SATILDI"))</f>
      </c>
      <c r="Y156" s="2"/>
      <c r="Z156" s="3"/>
      <c r="AA156" s="3"/>
      <c r="AB156" s="3"/>
      <c r="AC156" s="14">
        <f>IF(F156="","",SUM(Z156:AB156))</f>
      </c>
      <c r="AD156" s="14">
        <f>IF(T156="","",V156+AC156)</f>
      </c>
    </row>
    <row r="157" spans="1:30">
      <c r="A157">
        <f>IF(D157="","",ROW()-3)</f>
      </c>
      <c r="B157" s="2"/>
      <c r="C157" s="18"/>
      <c r="D157" s="2"/>
      <c r="E157" s="2"/>
      <c r="F157" s="3"/>
      <c r="G157" s="16"/>
      <c r="H157" s="16"/>
      <c r="I157" s="17">
        <f>IF(G157="","",IF(H157="",TODAY()-G157,H157-G157))</f>
      </c>
      <c r="J157" s="13">
        <f>IF(F157="","",IFERROR(IF(VLOOKUP(E157,'ALIM AYARLARI'!$A$4:$D$20,3,FALSE)="EVET",'GİDER AYARLARI'!$B$4,0),0))</f>
      </c>
      <c r="K157" s="13">
        <f>IF(F157="","",'GİDER AYARLARI'!$B$5)</f>
      </c>
      <c r="L157" s="13">
        <f>IF(F157="","",'GİDER AYARLARI'!$B$6)</f>
      </c>
      <c r="M157" s="13">
        <f>IF(F157="","",IFERROR(IF(VLOOKUP(E157,'ALIM AYARLARI'!$A$4:$D$20,3,FALSE)="EVET",'GİDER AYARLARI'!$B$7,0),0))</f>
      </c>
      <c r="N157" s="3"/>
      <c r="O157" s="13">
        <f>IF(OR(F157="",I157=""),"",IFERROR(IF(VLOOKUP(E157,'ALIM AYARLARI'!$A$4:$D$20,2,FALSE)="EVET",F157*'GİDER AYARLARI'!$B$8*I157/30,0),0))</f>
      </c>
      <c r="P157" s="14">
        <f>IF(F157="","",SUM(J157:O157))</f>
      </c>
      <c r="Q157" s="14">
        <f>IF(F157="","",F157+P157)</f>
      </c>
      <c r="R157" s="2"/>
      <c r="S157" s="2"/>
      <c r="T157" s="3"/>
      <c r="U157" s="14">
        <f>IF(OR(F157="",T157=""),"",T157-F157)</f>
      </c>
      <c r="V157" s="14">
        <f>IF(T157="","",T157-Q157)</f>
      </c>
      <c r="W157" s="15">
        <f>IFERROR(V157/T157,"")</f>
      </c>
      <c r="X157" s="12">
        <f>IF(F157="","",IF(H157="","STOKTA","SATILDI"))</f>
      </c>
      <c r="Y157" s="2"/>
      <c r="Z157" s="3"/>
      <c r="AA157" s="3"/>
      <c r="AB157" s="3"/>
      <c r="AC157" s="14">
        <f>IF(F157="","",SUM(Z157:AB157))</f>
      </c>
      <c r="AD157" s="14">
        <f>IF(T157="","",V157+AC157)</f>
      </c>
    </row>
    <row r="158" spans="1:30">
      <c r="A158">
        <f>IF(D158="","",ROW()-3)</f>
      </c>
      <c r="B158" s="2"/>
      <c r="C158" s="18"/>
      <c r="D158" s="2"/>
      <c r="E158" s="2"/>
      <c r="F158" s="3"/>
      <c r="G158" s="16"/>
      <c r="H158" s="16"/>
      <c r="I158" s="17">
        <f>IF(G158="","",IF(H158="",TODAY()-G158,H158-G158))</f>
      </c>
      <c r="J158" s="13">
        <f>IF(F158="","",IFERROR(IF(VLOOKUP(E158,'ALIM AYARLARI'!$A$4:$D$20,3,FALSE)="EVET",'GİDER AYARLARI'!$B$4,0),0))</f>
      </c>
      <c r="K158" s="13">
        <f>IF(F158="","",'GİDER AYARLARI'!$B$5)</f>
      </c>
      <c r="L158" s="13">
        <f>IF(F158="","",'GİDER AYARLARI'!$B$6)</f>
      </c>
      <c r="M158" s="13">
        <f>IF(F158="","",IFERROR(IF(VLOOKUP(E158,'ALIM AYARLARI'!$A$4:$D$20,3,FALSE)="EVET",'GİDER AYARLARI'!$B$7,0),0))</f>
      </c>
      <c r="N158" s="3"/>
      <c r="O158" s="13">
        <f>IF(OR(F158="",I158=""),"",IFERROR(IF(VLOOKUP(E158,'ALIM AYARLARI'!$A$4:$D$20,2,FALSE)="EVET",F158*'GİDER AYARLARI'!$B$8*I158/30,0),0))</f>
      </c>
      <c r="P158" s="14">
        <f>IF(F158="","",SUM(J158:O158))</f>
      </c>
      <c r="Q158" s="14">
        <f>IF(F158="","",F158+P158)</f>
      </c>
      <c r="R158" s="2"/>
      <c r="S158" s="2"/>
      <c r="T158" s="3"/>
      <c r="U158" s="14">
        <f>IF(OR(F158="",T158=""),"",T158-F158)</f>
      </c>
      <c r="V158" s="14">
        <f>IF(T158="","",T158-Q158)</f>
      </c>
      <c r="W158" s="15">
        <f>IFERROR(V158/T158,"")</f>
      </c>
      <c r="X158" s="12">
        <f>IF(F158="","",IF(H158="","STOKTA","SATILDI"))</f>
      </c>
      <c r="Y158" s="2"/>
      <c r="Z158" s="3"/>
      <c r="AA158" s="3"/>
      <c r="AB158" s="3"/>
      <c r="AC158" s="14">
        <f>IF(F158="","",SUM(Z158:AB158))</f>
      </c>
      <c r="AD158" s="14">
        <f>IF(T158="","",V158+AC158)</f>
      </c>
    </row>
    <row r="159" spans="1:30">
      <c r="A159">
        <f>IF(D159="","",ROW()-3)</f>
      </c>
      <c r="B159" s="2"/>
      <c r="C159" s="18"/>
      <c r="D159" s="2"/>
      <c r="E159" s="2"/>
      <c r="F159" s="3"/>
      <c r="G159" s="16"/>
      <c r="H159" s="16"/>
      <c r="I159" s="17">
        <f>IF(G159="","",IF(H159="",TODAY()-G159,H159-G159))</f>
      </c>
      <c r="J159" s="13">
        <f>IF(F159="","",IFERROR(IF(VLOOKUP(E159,'ALIM AYARLARI'!$A$4:$D$20,3,FALSE)="EVET",'GİDER AYARLARI'!$B$4,0),0))</f>
      </c>
      <c r="K159" s="13">
        <f>IF(F159="","",'GİDER AYARLARI'!$B$5)</f>
      </c>
      <c r="L159" s="13">
        <f>IF(F159="","",'GİDER AYARLARI'!$B$6)</f>
      </c>
      <c r="M159" s="13">
        <f>IF(F159="","",IFERROR(IF(VLOOKUP(E159,'ALIM AYARLARI'!$A$4:$D$20,3,FALSE)="EVET",'GİDER AYARLARI'!$B$7,0),0))</f>
      </c>
      <c r="N159" s="3"/>
      <c r="O159" s="13">
        <f>IF(OR(F159="",I159=""),"",IFERROR(IF(VLOOKUP(E159,'ALIM AYARLARI'!$A$4:$D$20,2,FALSE)="EVET",F159*'GİDER AYARLARI'!$B$8*I159/30,0),0))</f>
      </c>
      <c r="P159" s="14">
        <f>IF(F159="","",SUM(J159:O159))</f>
      </c>
      <c r="Q159" s="14">
        <f>IF(F159="","",F159+P159)</f>
      </c>
      <c r="R159" s="2"/>
      <c r="S159" s="2"/>
      <c r="T159" s="3"/>
      <c r="U159" s="14">
        <f>IF(OR(F159="",T159=""),"",T159-F159)</f>
      </c>
      <c r="V159" s="14">
        <f>IF(T159="","",T159-Q159)</f>
      </c>
      <c r="W159" s="15">
        <f>IFERROR(V159/T159,"")</f>
      </c>
      <c r="X159" s="12">
        <f>IF(F159="","",IF(H159="","STOKTA","SATILDI"))</f>
      </c>
      <c r="Y159" s="2"/>
      <c r="Z159" s="3"/>
      <c r="AA159" s="3"/>
      <c r="AB159" s="3"/>
      <c r="AC159" s="14">
        <f>IF(F159="","",SUM(Z159:AB159))</f>
      </c>
      <c r="AD159" s="14">
        <f>IF(T159="","",V159+AC159)</f>
      </c>
    </row>
    <row r="160" spans="1:30">
      <c r="A160">
        <f>IF(D160="","",ROW()-3)</f>
      </c>
      <c r="B160" s="2"/>
      <c r="C160" s="18"/>
      <c r="D160" s="2"/>
      <c r="E160" s="2"/>
      <c r="F160" s="3"/>
      <c r="G160" s="16"/>
      <c r="H160" s="16"/>
      <c r="I160" s="17">
        <f>IF(G160="","",IF(H160="",TODAY()-G160,H160-G160))</f>
      </c>
      <c r="J160" s="13">
        <f>IF(F160="","",IFERROR(IF(VLOOKUP(E160,'ALIM AYARLARI'!$A$4:$D$20,3,FALSE)="EVET",'GİDER AYARLARI'!$B$4,0),0))</f>
      </c>
      <c r="K160" s="13">
        <f>IF(F160="","",'GİDER AYARLARI'!$B$5)</f>
      </c>
      <c r="L160" s="13">
        <f>IF(F160="","",'GİDER AYARLARI'!$B$6)</f>
      </c>
      <c r="M160" s="13">
        <f>IF(F160="","",IFERROR(IF(VLOOKUP(E160,'ALIM AYARLARI'!$A$4:$D$20,3,FALSE)="EVET",'GİDER AYARLARI'!$B$7,0),0))</f>
      </c>
      <c r="N160" s="3"/>
      <c r="O160" s="13">
        <f>IF(OR(F160="",I160=""),"",IFERROR(IF(VLOOKUP(E160,'ALIM AYARLARI'!$A$4:$D$20,2,FALSE)="EVET",F160*'GİDER AYARLARI'!$B$8*I160/30,0),0))</f>
      </c>
      <c r="P160" s="14">
        <f>IF(F160="","",SUM(J160:O160))</f>
      </c>
      <c r="Q160" s="14">
        <f>IF(F160="","",F160+P160)</f>
      </c>
      <c r="R160" s="2"/>
      <c r="S160" s="2"/>
      <c r="T160" s="3"/>
      <c r="U160" s="14">
        <f>IF(OR(F160="",T160=""),"",T160-F160)</f>
      </c>
      <c r="V160" s="14">
        <f>IF(T160="","",T160-Q160)</f>
      </c>
      <c r="W160" s="15">
        <f>IFERROR(V160/T160,"")</f>
      </c>
      <c r="X160" s="12">
        <f>IF(F160="","",IF(H160="","STOKTA","SATILDI"))</f>
      </c>
      <c r="Y160" s="2"/>
      <c r="Z160" s="3"/>
      <c r="AA160" s="3"/>
      <c r="AB160" s="3"/>
      <c r="AC160" s="14">
        <f>IF(F160="","",SUM(Z160:AB160))</f>
      </c>
      <c r="AD160" s="14">
        <f>IF(T160="","",V160+AC160)</f>
      </c>
    </row>
    <row r="161" spans="1:30">
      <c r="A161">
        <f>IF(D161="","",ROW()-3)</f>
      </c>
      <c r="B161" s="2"/>
      <c r="C161" s="18"/>
      <c r="D161" s="2"/>
      <c r="E161" s="2"/>
      <c r="F161" s="3"/>
      <c r="G161" s="16"/>
      <c r="H161" s="16"/>
      <c r="I161" s="17">
        <f>IF(G161="","",IF(H161="",TODAY()-G161,H161-G161))</f>
      </c>
      <c r="J161" s="13">
        <f>IF(F161="","",IFERROR(IF(VLOOKUP(E161,'ALIM AYARLARI'!$A$4:$D$20,3,FALSE)="EVET",'GİDER AYARLARI'!$B$4,0),0))</f>
      </c>
      <c r="K161" s="13">
        <f>IF(F161="","",'GİDER AYARLARI'!$B$5)</f>
      </c>
      <c r="L161" s="13">
        <f>IF(F161="","",'GİDER AYARLARI'!$B$6)</f>
      </c>
      <c r="M161" s="13">
        <f>IF(F161="","",IFERROR(IF(VLOOKUP(E161,'ALIM AYARLARI'!$A$4:$D$20,3,FALSE)="EVET",'GİDER AYARLARI'!$B$7,0),0))</f>
      </c>
      <c r="N161" s="3"/>
      <c r="O161" s="13">
        <f>IF(OR(F161="",I161=""),"",IFERROR(IF(VLOOKUP(E161,'ALIM AYARLARI'!$A$4:$D$20,2,FALSE)="EVET",F161*'GİDER AYARLARI'!$B$8*I161/30,0),0))</f>
      </c>
      <c r="P161" s="14">
        <f>IF(F161="","",SUM(J161:O161))</f>
      </c>
      <c r="Q161" s="14">
        <f>IF(F161="","",F161+P161)</f>
      </c>
      <c r="R161" s="2"/>
      <c r="S161" s="2"/>
      <c r="T161" s="3"/>
      <c r="U161" s="14">
        <f>IF(OR(F161="",T161=""),"",T161-F161)</f>
      </c>
      <c r="V161" s="14">
        <f>IF(T161="","",T161-Q161)</f>
      </c>
      <c r="W161" s="15">
        <f>IFERROR(V161/T161,"")</f>
      </c>
      <c r="X161" s="12">
        <f>IF(F161="","",IF(H161="","STOKTA","SATILDI"))</f>
      </c>
      <c r="Y161" s="2"/>
      <c r="Z161" s="3"/>
      <c r="AA161" s="3"/>
      <c r="AB161" s="3"/>
      <c r="AC161" s="14">
        <f>IF(F161="","",SUM(Z161:AB161))</f>
      </c>
      <c r="AD161" s="14">
        <f>IF(T161="","",V161+AC161)</f>
      </c>
    </row>
    <row r="162" spans="1:30">
      <c r="A162">
        <f>IF(D162="","",ROW()-3)</f>
      </c>
      <c r="B162" s="2"/>
      <c r="C162" s="18"/>
      <c r="D162" s="2"/>
      <c r="E162" s="2"/>
      <c r="F162" s="3"/>
      <c r="G162" s="16"/>
      <c r="H162" s="16"/>
      <c r="I162" s="17">
        <f>IF(G162="","",IF(H162="",TODAY()-G162,H162-G162))</f>
      </c>
      <c r="J162" s="13">
        <f>IF(F162="","",IFERROR(IF(VLOOKUP(E162,'ALIM AYARLARI'!$A$4:$D$20,3,FALSE)="EVET",'GİDER AYARLARI'!$B$4,0),0))</f>
      </c>
      <c r="K162" s="13">
        <f>IF(F162="","",'GİDER AYARLARI'!$B$5)</f>
      </c>
      <c r="L162" s="13">
        <f>IF(F162="","",'GİDER AYARLARI'!$B$6)</f>
      </c>
      <c r="M162" s="13">
        <f>IF(F162="","",IFERROR(IF(VLOOKUP(E162,'ALIM AYARLARI'!$A$4:$D$20,3,FALSE)="EVET",'GİDER AYARLARI'!$B$7,0),0))</f>
      </c>
      <c r="N162" s="3"/>
      <c r="O162" s="13">
        <f>IF(OR(F162="",I162=""),"",IFERROR(IF(VLOOKUP(E162,'ALIM AYARLARI'!$A$4:$D$20,2,FALSE)="EVET",F162*'GİDER AYARLARI'!$B$8*I162/30,0),0))</f>
      </c>
      <c r="P162" s="14">
        <f>IF(F162="","",SUM(J162:O162))</f>
      </c>
      <c r="Q162" s="14">
        <f>IF(F162="","",F162+P162)</f>
      </c>
      <c r="R162" s="2"/>
      <c r="S162" s="2"/>
      <c r="T162" s="3"/>
      <c r="U162" s="14">
        <f>IF(OR(F162="",T162=""),"",T162-F162)</f>
      </c>
      <c r="V162" s="14">
        <f>IF(T162="","",T162-Q162)</f>
      </c>
      <c r="W162" s="15">
        <f>IFERROR(V162/T162,"")</f>
      </c>
      <c r="X162" s="12">
        <f>IF(F162="","",IF(H162="","STOKTA","SATILDI"))</f>
      </c>
      <c r="Y162" s="2"/>
      <c r="Z162" s="3"/>
      <c r="AA162" s="3"/>
      <c r="AB162" s="3"/>
      <c r="AC162" s="14">
        <f>IF(F162="","",SUM(Z162:AB162))</f>
      </c>
      <c r="AD162" s="14">
        <f>IF(T162="","",V162+AC162)</f>
      </c>
    </row>
    <row r="163" spans="1:30">
      <c r="A163">
        <f>IF(D163="","",ROW()-3)</f>
      </c>
      <c r="B163" s="2"/>
      <c r="C163" s="18"/>
      <c r="D163" s="2"/>
      <c r="E163" s="2"/>
      <c r="F163" s="3"/>
      <c r="G163" s="16"/>
      <c r="H163" s="16"/>
      <c r="I163" s="17">
        <f>IF(G163="","",IF(H163="",TODAY()-G163,H163-G163))</f>
      </c>
      <c r="J163" s="13">
        <f>IF(F163="","",IFERROR(IF(VLOOKUP(E163,'ALIM AYARLARI'!$A$4:$D$20,3,FALSE)="EVET",'GİDER AYARLARI'!$B$4,0),0))</f>
      </c>
      <c r="K163" s="13">
        <f>IF(F163="","",'GİDER AYARLARI'!$B$5)</f>
      </c>
      <c r="L163" s="13">
        <f>IF(F163="","",'GİDER AYARLARI'!$B$6)</f>
      </c>
      <c r="M163" s="13">
        <f>IF(F163="","",IFERROR(IF(VLOOKUP(E163,'ALIM AYARLARI'!$A$4:$D$20,3,FALSE)="EVET",'GİDER AYARLARI'!$B$7,0),0))</f>
      </c>
      <c r="N163" s="3"/>
      <c r="O163" s="13">
        <f>IF(OR(F163="",I163=""),"",IFERROR(IF(VLOOKUP(E163,'ALIM AYARLARI'!$A$4:$D$20,2,FALSE)="EVET",F163*'GİDER AYARLARI'!$B$8*I163/30,0),0))</f>
      </c>
      <c r="P163" s="14">
        <f>IF(F163="","",SUM(J163:O163))</f>
      </c>
      <c r="Q163" s="14">
        <f>IF(F163="","",F163+P163)</f>
      </c>
      <c r="R163" s="2"/>
      <c r="S163" s="2"/>
      <c r="T163" s="3"/>
      <c r="U163" s="14">
        <f>IF(OR(F163="",T163=""),"",T163-F163)</f>
      </c>
      <c r="V163" s="14">
        <f>IF(T163="","",T163-Q163)</f>
      </c>
      <c r="W163" s="15">
        <f>IFERROR(V163/T163,"")</f>
      </c>
      <c r="X163" s="12">
        <f>IF(F163="","",IF(H163="","STOKTA","SATILDI"))</f>
      </c>
      <c r="Y163" s="2"/>
      <c r="Z163" s="3"/>
      <c r="AA163" s="3"/>
      <c r="AB163" s="3"/>
      <c r="AC163" s="14">
        <f>IF(F163="","",SUM(Z163:AB163))</f>
      </c>
      <c r="AD163" s="14">
        <f>IF(T163="","",V163+AC163)</f>
      </c>
    </row>
    <row r="164" spans="1:30">
      <c r="A164">
        <f>IF(D164="","",ROW()-3)</f>
      </c>
      <c r="B164" s="2"/>
      <c r="C164" s="18"/>
      <c r="D164" s="2"/>
      <c r="E164" s="2"/>
      <c r="F164" s="3"/>
      <c r="G164" s="16"/>
      <c r="H164" s="16"/>
      <c r="I164" s="17">
        <f>IF(G164="","",IF(H164="",TODAY()-G164,H164-G164))</f>
      </c>
      <c r="J164" s="13">
        <f>IF(F164="","",IFERROR(IF(VLOOKUP(E164,'ALIM AYARLARI'!$A$4:$D$20,3,FALSE)="EVET",'GİDER AYARLARI'!$B$4,0),0))</f>
      </c>
      <c r="K164" s="13">
        <f>IF(F164="","",'GİDER AYARLARI'!$B$5)</f>
      </c>
      <c r="L164" s="13">
        <f>IF(F164="","",'GİDER AYARLARI'!$B$6)</f>
      </c>
      <c r="M164" s="13">
        <f>IF(F164="","",IFERROR(IF(VLOOKUP(E164,'ALIM AYARLARI'!$A$4:$D$20,3,FALSE)="EVET",'GİDER AYARLARI'!$B$7,0),0))</f>
      </c>
      <c r="N164" s="3"/>
      <c r="O164" s="13">
        <f>IF(OR(F164="",I164=""),"",IFERROR(IF(VLOOKUP(E164,'ALIM AYARLARI'!$A$4:$D$20,2,FALSE)="EVET",F164*'GİDER AYARLARI'!$B$8*I164/30,0),0))</f>
      </c>
      <c r="P164" s="14">
        <f>IF(F164="","",SUM(J164:O164))</f>
      </c>
      <c r="Q164" s="14">
        <f>IF(F164="","",F164+P164)</f>
      </c>
      <c r="R164" s="2"/>
      <c r="S164" s="2"/>
      <c r="T164" s="3"/>
      <c r="U164" s="14">
        <f>IF(OR(F164="",T164=""),"",T164-F164)</f>
      </c>
      <c r="V164" s="14">
        <f>IF(T164="","",T164-Q164)</f>
      </c>
      <c r="W164" s="15">
        <f>IFERROR(V164/T164,"")</f>
      </c>
      <c r="X164" s="12">
        <f>IF(F164="","",IF(H164="","STOKTA","SATILDI"))</f>
      </c>
      <c r="Y164" s="2"/>
      <c r="Z164" s="3"/>
      <c r="AA164" s="3"/>
      <c r="AB164" s="3"/>
      <c r="AC164" s="14">
        <f>IF(F164="","",SUM(Z164:AB164))</f>
      </c>
      <c r="AD164" s="14">
        <f>IF(T164="","",V164+AC164)</f>
      </c>
    </row>
    <row r="165" spans="1:30">
      <c r="A165">
        <f>IF(D165="","",ROW()-3)</f>
      </c>
      <c r="B165" s="2"/>
      <c r="C165" s="18"/>
      <c r="D165" s="2"/>
      <c r="E165" s="2"/>
      <c r="F165" s="3"/>
      <c r="G165" s="16"/>
      <c r="H165" s="16"/>
      <c r="I165" s="17">
        <f>IF(G165="","",IF(H165="",TODAY()-G165,H165-G165))</f>
      </c>
      <c r="J165" s="13">
        <f>IF(F165="","",IFERROR(IF(VLOOKUP(E165,'ALIM AYARLARI'!$A$4:$D$20,3,FALSE)="EVET",'GİDER AYARLARI'!$B$4,0),0))</f>
      </c>
      <c r="K165" s="13">
        <f>IF(F165="","",'GİDER AYARLARI'!$B$5)</f>
      </c>
      <c r="L165" s="13">
        <f>IF(F165="","",'GİDER AYARLARI'!$B$6)</f>
      </c>
      <c r="M165" s="13">
        <f>IF(F165="","",IFERROR(IF(VLOOKUP(E165,'ALIM AYARLARI'!$A$4:$D$20,3,FALSE)="EVET",'GİDER AYARLARI'!$B$7,0),0))</f>
      </c>
      <c r="N165" s="3"/>
      <c r="O165" s="13">
        <f>IF(OR(F165="",I165=""),"",IFERROR(IF(VLOOKUP(E165,'ALIM AYARLARI'!$A$4:$D$20,2,FALSE)="EVET",F165*'GİDER AYARLARI'!$B$8*I165/30,0),0))</f>
      </c>
      <c r="P165" s="14">
        <f>IF(F165="","",SUM(J165:O165))</f>
      </c>
      <c r="Q165" s="14">
        <f>IF(F165="","",F165+P165)</f>
      </c>
      <c r="R165" s="2"/>
      <c r="S165" s="2"/>
      <c r="T165" s="3"/>
      <c r="U165" s="14">
        <f>IF(OR(F165="",T165=""),"",T165-F165)</f>
      </c>
      <c r="V165" s="14">
        <f>IF(T165="","",T165-Q165)</f>
      </c>
      <c r="W165" s="15">
        <f>IFERROR(V165/T165,"")</f>
      </c>
      <c r="X165" s="12">
        <f>IF(F165="","",IF(H165="","STOKTA","SATILDI"))</f>
      </c>
      <c r="Y165" s="2"/>
      <c r="Z165" s="3"/>
      <c r="AA165" s="3"/>
      <c r="AB165" s="3"/>
      <c r="AC165" s="14">
        <f>IF(F165="","",SUM(Z165:AB165))</f>
      </c>
      <c r="AD165" s="14">
        <f>IF(T165="","",V165+AC165)</f>
      </c>
    </row>
    <row r="166" spans="1:30">
      <c r="A166">
        <f>IF(D166="","",ROW()-3)</f>
      </c>
      <c r="B166" s="2"/>
      <c r="C166" s="18"/>
      <c r="D166" s="2"/>
      <c r="E166" s="2"/>
      <c r="F166" s="3"/>
      <c r="G166" s="16"/>
      <c r="H166" s="16"/>
      <c r="I166" s="17">
        <f>IF(G166="","",IF(H166="",TODAY()-G166,H166-G166))</f>
      </c>
      <c r="J166" s="13">
        <f>IF(F166="","",IFERROR(IF(VLOOKUP(E166,'ALIM AYARLARI'!$A$4:$D$20,3,FALSE)="EVET",'GİDER AYARLARI'!$B$4,0),0))</f>
      </c>
      <c r="K166" s="13">
        <f>IF(F166="","",'GİDER AYARLARI'!$B$5)</f>
      </c>
      <c r="L166" s="13">
        <f>IF(F166="","",'GİDER AYARLARI'!$B$6)</f>
      </c>
      <c r="M166" s="13">
        <f>IF(F166="","",IFERROR(IF(VLOOKUP(E166,'ALIM AYARLARI'!$A$4:$D$20,3,FALSE)="EVET",'GİDER AYARLARI'!$B$7,0),0))</f>
      </c>
      <c r="N166" s="3"/>
      <c r="O166" s="13">
        <f>IF(OR(F166="",I166=""),"",IFERROR(IF(VLOOKUP(E166,'ALIM AYARLARI'!$A$4:$D$20,2,FALSE)="EVET",F166*'GİDER AYARLARI'!$B$8*I166/30,0),0))</f>
      </c>
      <c r="P166" s="14">
        <f>IF(F166="","",SUM(J166:O166))</f>
      </c>
      <c r="Q166" s="14">
        <f>IF(F166="","",F166+P166)</f>
      </c>
      <c r="R166" s="2"/>
      <c r="S166" s="2"/>
      <c r="T166" s="3"/>
      <c r="U166" s="14">
        <f>IF(OR(F166="",T166=""),"",T166-F166)</f>
      </c>
      <c r="V166" s="14">
        <f>IF(T166="","",T166-Q166)</f>
      </c>
      <c r="W166" s="15">
        <f>IFERROR(V166/T166,"")</f>
      </c>
      <c r="X166" s="12">
        <f>IF(F166="","",IF(H166="","STOKTA","SATILDI"))</f>
      </c>
      <c r="Y166" s="2"/>
      <c r="Z166" s="3"/>
      <c r="AA166" s="3"/>
      <c r="AB166" s="3"/>
      <c r="AC166" s="14">
        <f>IF(F166="","",SUM(Z166:AB166))</f>
      </c>
      <c r="AD166" s="14">
        <f>IF(T166="","",V166+AC166)</f>
      </c>
    </row>
    <row r="167" spans="1:30">
      <c r="A167">
        <f>IF(D167="","",ROW()-3)</f>
      </c>
      <c r="B167" s="2"/>
      <c r="C167" s="18"/>
      <c r="D167" s="2"/>
      <c r="E167" s="2"/>
      <c r="F167" s="3"/>
      <c r="G167" s="16"/>
      <c r="H167" s="16"/>
      <c r="I167" s="17">
        <f>IF(G167="","",IF(H167="",TODAY()-G167,H167-G167))</f>
      </c>
      <c r="J167" s="13">
        <f>IF(F167="","",IFERROR(IF(VLOOKUP(E167,'ALIM AYARLARI'!$A$4:$D$20,3,FALSE)="EVET",'GİDER AYARLARI'!$B$4,0),0))</f>
      </c>
      <c r="K167" s="13">
        <f>IF(F167="","",'GİDER AYARLARI'!$B$5)</f>
      </c>
      <c r="L167" s="13">
        <f>IF(F167="","",'GİDER AYARLARI'!$B$6)</f>
      </c>
      <c r="M167" s="13">
        <f>IF(F167="","",IFERROR(IF(VLOOKUP(E167,'ALIM AYARLARI'!$A$4:$D$20,3,FALSE)="EVET",'GİDER AYARLARI'!$B$7,0),0))</f>
      </c>
      <c r="N167" s="3"/>
      <c r="O167" s="13">
        <f>IF(OR(F167="",I167=""),"",IFERROR(IF(VLOOKUP(E167,'ALIM AYARLARI'!$A$4:$D$20,2,FALSE)="EVET",F167*'GİDER AYARLARI'!$B$8*I167/30,0),0))</f>
      </c>
      <c r="P167" s="14">
        <f>IF(F167="","",SUM(J167:O167))</f>
      </c>
      <c r="Q167" s="14">
        <f>IF(F167="","",F167+P167)</f>
      </c>
      <c r="R167" s="2"/>
      <c r="S167" s="2"/>
      <c r="T167" s="3"/>
      <c r="U167" s="14">
        <f>IF(OR(F167="",T167=""),"",T167-F167)</f>
      </c>
      <c r="V167" s="14">
        <f>IF(T167="","",T167-Q167)</f>
      </c>
      <c r="W167" s="15">
        <f>IFERROR(V167/T167,"")</f>
      </c>
      <c r="X167" s="12">
        <f>IF(F167="","",IF(H167="","STOKTA","SATILDI"))</f>
      </c>
      <c r="Y167" s="2"/>
      <c r="Z167" s="3"/>
      <c r="AA167" s="3"/>
      <c r="AB167" s="3"/>
      <c r="AC167" s="14">
        <f>IF(F167="","",SUM(Z167:AB167))</f>
      </c>
      <c r="AD167" s="14">
        <f>IF(T167="","",V167+AC167)</f>
      </c>
    </row>
    <row r="168" spans="1:30">
      <c r="A168">
        <f>IF(D168="","",ROW()-3)</f>
      </c>
      <c r="B168" s="2"/>
      <c r="C168" s="18"/>
      <c r="D168" s="2"/>
      <c r="E168" s="2"/>
      <c r="F168" s="3"/>
      <c r="G168" s="16"/>
      <c r="H168" s="16"/>
      <c r="I168" s="17">
        <f>IF(G168="","",IF(H168="",TODAY()-G168,H168-G168))</f>
      </c>
      <c r="J168" s="13">
        <f>IF(F168="","",IFERROR(IF(VLOOKUP(E168,'ALIM AYARLARI'!$A$4:$D$20,3,FALSE)="EVET",'GİDER AYARLARI'!$B$4,0),0))</f>
      </c>
      <c r="K168" s="13">
        <f>IF(F168="","",'GİDER AYARLARI'!$B$5)</f>
      </c>
      <c r="L168" s="13">
        <f>IF(F168="","",'GİDER AYARLARI'!$B$6)</f>
      </c>
      <c r="M168" s="13">
        <f>IF(F168="","",IFERROR(IF(VLOOKUP(E168,'ALIM AYARLARI'!$A$4:$D$20,3,FALSE)="EVET",'GİDER AYARLARI'!$B$7,0),0))</f>
      </c>
      <c r="N168" s="3"/>
      <c r="O168" s="13">
        <f>IF(OR(F168="",I168=""),"",IFERROR(IF(VLOOKUP(E168,'ALIM AYARLARI'!$A$4:$D$20,2,FALSE)="EVET",F168*'GİDER AYARLARI'!$B$8*I168/30,0),0))</f>
      </c>
      <c r="P168" s="14">
        <f>IF(F168="","",SUM(J168:O168))</f>
      </c>
      <c r="Q168" s="14">
        <f>IF(F168="","",F168+P168)</f>
      </c>
      <c r="R168" s="2"/>
      <c r="S168" s="2"/>
      <c r="T168" s="3"/>
      <c r="U168" s="14">
        <f>IF(OR(F168="",T168=""),"",T168-F168)</f>
      </c>
      <c r="V168" s="14">
        <f>IF(T168="","",T168-Q168)</f>
      </c>
      <c r="W168" s="15">
        <f>IFERROR(V168/T168,"")</f>
      </c>
      <c r="X168" s="12">
        <f>IF(F168="","",IF(H168="","STOKTA","SATILDI"))</f>
      </c>
      <c r="Y168" s="2"/>
      <c r="Z168" s="3"/>
      <c r="AA168" s="3"/>
      <c r="AB168" s="3"/>
      <c r="AC168" s="14">
        <f>IF(F168="","",SUM(Z168:AB168))</f>
      </c>
      <c r="AD168" s="14">
        <f>IF(T168="","",V168+AC168)</f>
      </c>
    </row>
    <row r="169" spans="1:30">
      <c r="A169">
        <f>IF(D169="","",ROW()-3)</f>
      </c>
      <c r="B169" s="2"/>
      <c r="C169" s="18"/>
      <c r="D169" s="2"/>
      <c r="E169" s="2"/>
      <c r="F169" s="3"/>
      <c r="G169" s="16"/>
      <c r="H169" s="16"/>
      <c r="I169" s="17">
        <f>IF(G169="","",IF(H169="",TODAY()-G169,H169-G169))</f>
      </c>
      <c r="J169" s="13">
        <f>IF(F169="","",IFERROR(IF(VLOOKUP(E169,'ALIM AYARLARI'!$A$4:$D$20,3,FALSE)="EVET",'GİDER AYARLARI'!$B$4,0),0))</f>
      </c>
      <c r="K169" s="13">
        <f>IF(F169="","",'GİDER AYARLARI'!$B$5)</f>
      </c>
      <c r="L169" s="13">
        <f>IF(F169="","",'GİDER AYARLARI'!$B$6)</f>
      </c>
      <c r="M169" s="13">
        <f>IF(F169="","",IFERROR(IF(VLOOKUP(E169,'ALIM AYARLARI'!$A$4:$D$20,3,FALSE)="EVET",'GİDER AYARLARI'!$B$7,0),0))</f>
      </c>
      <c r="N169" s="3"/>
      <c r="O169" s="13">
        <f>IF(OR(F169="",I169=""),"",IFERROR(IF(VLOOKUP(E169,'ALIM AYARLARI'!$A$4:$D$20,2,FALSE)="EVET",F169*'GİDER AYARLARI'!$B$8*I169/30,0),0))</f>
      </c>
      <c r="P169" s="14">
        <f>IF(F169="","",SUM(J169:O169))</f>
      </c>
      <c r="Q169" s="14">
        <f>IF(F169="","",F169+P169)</f>
      </c>
      <c r="R169" s="2"/>
      <c r="S169" s="2"/>
      <c r="T169" s="3"/>
      <c r="U169" s="14">
        <f>IF(OR(F169="",T169=""),"",T169-F169)</f>
      </c>
      <c r="V169" s="14">
        <f>IF(T169="","",T169-Q169)</f>
      </c>
      <c r="W169" s="15">
        <f>IFERROR(V169/T169,"")</f>
      </c>
      <c r="X169" s="12">
        <f>IF(F169="","",IF(H169="","STOKTA","SATILDI"))</f>
      </c>
      <c r="Y169" s="2"/>
      <c r="Z169" s="3"/>
      <c r="AA169" s="3"/>
      <c r="AB169" s="3"/>
      <c r="AC169" s="14">
        <f>IF(F169="","",SUM(Z169:AB169))</f>
      </c>
      <c r="AD169" s="14">
        <f>IF(T169="","",V169+AC169)</f>
      </c>
    </row>
    <row r="170" spans="1:30">
      <c r="A170">
        <f>IF(D170="","",ROW()-3)</f>
      </c>
      <c r="B170" s="2"/>
      <c r="C170" s="18"/>
      <c r="D170" s="2"/>
      <c r="E170" s="2"/>
      <c r="F170" s="3"/>
      <c r="G170" s="16"/>
      <c r="H170" s="16"/>
      <c r="I170" s="17">
        <f>IF(G170="","",IF(H170="",TODAY()-G170,H170-G170))</f>
      </c>
      <c r="J170" s="13">
        <f>IF(F170="","",IFERROR(IF(VLOOKUP(E170,'ALIM AYARLARI'!$A$4:$D$20,3,FALSE)="EVET",'GİDER AYARLARI'!$B$4,0),0))</f>
      </c>
      <c r="K170" s="13">
        <f>IF(F170="","",'GİDER AYARLARI'!$B$5)</f>
      </c>
      <c r="L170" s="13">
        <f>IF(F170="","",'GİDER AYARLARI'!$B$6)</f>
      </c>
      <c r="M170" s="13">
        <f>IF(F170="","",IFERROR(IF(VLOOKUP(E170,'ALIM AYARLARI'!$A$4:$D$20,3,FALSE)="EVET",'GİDER AYARLARI'!$B$7,0),0))</f>
      </c>
      <c r="N170" s="3"/>
      <c r="O170" s="13">
        <f>IF(OR(F170="",I170=""),"",IFERROR(IF(VLOOKUP(E170,'ALIM AYARLARI'!$A$4:$D$20,2,FALSE)="EVET",F170*'GİDER AYARLARI'!$B$8*I170/30,0),0))</f>
      </c>
      <c r="P170" s="14">
        <f>IF(F170="","",SUM(J170:O170))</f>
      </c>
      <c r="Q170" s="14">
        <f>IF(F170="","",F170+P170)</f>
      </c>
      <c r="R170" s="2"/>
      <c r="S170" s="2"/>
      <c r="T170" s="3"/>
      <c r="U170" s="14">
        <f>IF(OR(F170="",T170=""),"",T170-F170)</f>
      </c>
      <c r="V170" s="14">
        <f>IF(T170="","",T170-Q170)</f>
      </c>
      <c r="W170" s="15">
        <f>IFERROR(V170/T170,"")</f>
      </c>
      <c r="X170" s="12">
        <f>IF(F170="","",IF(H170="","STOKTA","SATILDI"))</f>
      </c>
      <c r="Y170" s="2"/>
      <c r="Z170" s="3"/>
      <c r="AA170" s="3"/>
      <c r="AB170" s="3"/>
      <c r="AC170" s="14">
        <f>IF(F170="","",SUM(Z170:AB170))</f>
      </c>
      <c r="AD170" s="14">
        <f>IF(T170="","",V170+AC170)</f>
      </c>
    </row>
    <row r="171" spans="1:30">
      <c r="A171">
        <f>IF(D171="","",ROW()-3)</f>
      </c>
      <c r="B171" s="2"/>
      <c r="C171" s="18"/>
      <c r="D171" s="2"/>
      <c r="E171" s="2"/>
      <c r="F171" s="3"/>
      <c r="G171" s="16"/>
      <c r="H171" s="16"/>
      <c r="I171" s="17">
        <f>IF(G171="","",IF(H171="",TODAY()-G171,H171-G171))</f>
      </c>
      <c r="J171" s="13">
        <f>IF(F171="","",IFERROR(IF(VLOOKUP(E171,'ALIM AYARLARI'!$A$4:$D$20,3,FALSE)="EVET",'GİDER AYARLARI'!$B$4,0),0))</f>
      </c>
      <c r="K171" s="13">
        <f>IF(F171="","",'GİDER AYARLARI'!$B$5)</f>
      </c>
      <c r="L171" s="13">
        <f>IF(F171="","",'GİDER AYARLARI'!$B$6)</f>
      </c>
      <c r="M171" s="13">
        <f>IF(F171="","",IFERROR(IF(VLOOKUP(E171,'ALIM AYARLARI'!$A$4:$D$20,3,FALSE)="EVET",'GİDER AYARLARI'!$B$7,0),0))</f>
      </c>
      <c r="N171" s="3"/>
      <c r="O171" s="13">
        <f>IF(OR(F171="",I171=""),"",IFERROR(IF(VLOOKUP(E171,'ALIM AYARLARI'!$A$4:$D$20,2,FALSE)="EVET",F171*'GİDER AYARLARI'!$B$8*I171/30,0),0))</f>
      </c>
      <c r="P171" s="14">
        <f>IF(F171="","",SUM(J171:O171))</f>
      </c>
      <c r="Q171" s="14">
        <f>IF(F171="","",F171+P171)</f>
      </c>
      <c r="R171" s="2"/>
      <c r="S171" s="2"/>
      <c r="T171" s="3"/>
      <c r="U171" s="14">
        <f>IF(OR(F171="",T171=""),"",T171-F171)</f>
      </c>
      <c r="V171" s="14">
        <f>IF(T171="","",T171-Q171)</f>
      </c>
      <c r="W171" s="15">
        <f>IFERROR(V171/T171,"")</f>
      </c>
      <c r="X171" s="12">
        <f>IF(F171="","",IF(H171="","STOKTA","SATILDI"))</f>
      </c>
      <c r="Y171" s="2"/>
      <c r="Z171" s="3"/>
      <c r="AA171" s="3"/>
      <c r="AB171" s="3"/>
      <c r="AC171" s="14">
        <f>IF(F171="","",SUM(Z171:AB171))</f>
      </c>
      <c r="AD171" s="14">
        <f>IF(T171="","",V171+AC171)</f>
      </c>
    </row>
    <row r="172" spans="1:30">
      <c r="A172">
        <f>IF(D172="","",ROW()-3)</f>
      </c>
      <c r="B172" s="2"/>
      <c r="C172" s="18"/>
      <c r="D172" s="2"/>
      <c r="E172" s="2"/>
      <c r="F172" s="3"/>
      <c r="G172" s="16"/>
      <c r="H172" s="16"/>
      <c r="I172" s="17">
        <f>IF(G172="","",IF(H172="",TODAY()-G172,H172-G172))</f>
      </c>
      <c r="J172" s="13">
        <f>IF(F172="","",IFERROR(IF(VLOOKUP(E172,'ALIM AYARLARI'!$A$4:$D$20,3,FALSE)="EVET",'GİDER AYARLARI'!$B$4,0),0))</f>
      </c>
      <c r="K172" s="13">
        <f>IF(F172="","",'GİDER AYARLARI'!$B$5)</f>
      </c>
      <c r="L172" s="13">
        <f>IF(F172="","",'GİDER AYARLARI'!$B$6)</f>
      </c>
      <c r="M172" s="13">
        <f>IF(F172="","",IFERROR(IF(VLOOKUP(E172,'ALIM AYARLARI'!$A$4:$D$20,3,FALSE)="EVET",'GİDER AYARLARI'!$B$7,0),0))</f>
      </c>
      <c r="N172" s="3"/>
      <c r="O172" s="13">
        <f>IF(OR(F172="",I172=""),"",IFERROR(IF(VLOOKUP(E172,'ALIM AYARLARI'!$A$4:$D$20,2,FALSE)="EVET",F172*'GİDER AYARLARI'!$B$8*I172/30,0),0))</f>
      </c>
      <c r="P172" s="14">
        <f>IF(F172="","",SUM(J172:O172))</f>
      </c>
      <c r="Q172" s="14">
        <f>IF(F172="","",F172+P172)</f>
      </c>
      <c r="R172" s="2"/>
      <c r="S172" s="2"/>
      <c r="T172" s="3"/>
      <c r="U172" s="14">
        <f>IF(OR(F172="",T172=""),"",T172-F172)</f>
      </c>
      <c r="V172" s="14">
        <f>IF(T172="","",T172-Q172)</f>
      </c>
      <c r="W172" s="15">
        <f>IFERROR(V172/T172,"")</f>
      </c>
      <c r="X172" s="12">
        <f>IF(F172="","",IF(H172="","STOKTA","SATILDI"))</f>
      </c>
      <c r="Y172" s="2"/>
      <c r="Z172" s="3"/>
      <c r="AA172" s="3"/>
      <c r="AB172" s="3"/>
      <c r="AC172" s="14">
        <f>IF(F172="","",SUM(Z172:AB172))</f>
      </c>
      <c r="AD172" s="14">
        <f>IF(T172="","",V172+AC172)</f>
      </c>
    </row>
    <row r="173" spans="1:30">
      <c r="A173">
        <f>IF(D173="","",ROW()-3)</f>
      </c>
      <c r="B173" s="2"/>
      <c r="C173" s="18"/>
      <c r="D173" s="2"/>
      <c r="E173" s="2"/>
      <c r="F173" s="3"/>
      <c r="G173" s="16"/>
      <c r="H173" s="16"/>
      <c r="I173" s="17">
        <f>IF(G173="","",IF(H173="",TODAY()-G173,H173-G173))</f>
      </c>
      <c r="J173" s="13">
        <f>IF(F173="","",IFERROR(IF(VLOOKUP(E173,'ALIM AYARLARI'!$A$4:$D$20,3,FALSE)="EVET",'GİDER AYARLARI'!$B$4,0),0))</f>
      </c>
      <c r="K173" s="13">
        <f>IF(F173="","",'GİDER AYARLARI'!$B$5)</f>
      </c>
      <c r="L173" s="13">
        <f>IF(F173="","",'GİDER AYARLARI'!$B$6)</f>
      </c>
      <c r="M173" s="13">
        <f>IF(F173="","",IFERROR(IF(VLOOKUP(E173,'ALIM AYARLARI'!$A$4:$D$20,3,FALSE)="EVET",'GİDER AYARLARI'!$B$7,0),0))</f>
      </c>
      <c r="N173" s="3"/>
      <c r="O173" s="13">
        <f>IF(OR(F173="",I173=""),"",IFERROR(IF(VLOOKUP(E173,'ALIM AYARLARI'!$A$4:$D$20,2,FALSE)="EVET",F173*'GİDER AYARLARI'!$B$8*I173/30,0),0))</f>
      </c>
      <c r="P173" s="14">
        <f>IF(F173="","",SUM(J173:O173))</f>
      </c>
      <c r="Q173" s="14">
        <f>IF(F173="","",F173+P173)</f>
      </c>
      <c r="R173" s="2"/>
      <c r="S173" s="2"/>
      <c r="T173" s="3"/>
      <c r="U173" s="14">
        <f>IF(OR(F173="",T173=""),"",T173-F173)</f>
      </c>
      <c r="V173" s="14">
        <f>IF(T173="","",T173-Q173)</f>
      </c>
      <c r="W173" s="15">
        <f>IFERROR(V173/T173,"")</f>
      </c>
      <c r="X173" s="12">
        <f>IF(F173="","",IF(H173="","STOKTA","SATILDI"))</f>
      </c>
      <c r="Y173" s="2"/>
      <c r="Z173" s="3"/>
      <c r="AA173" s="3"/>
      <c r="AB173" s="3"/>
      <c r="AC173" s="14">
        <f>IF(F173="","",SUM(Z173:AB173))</f>
      </c>
      <c r="AD173" s="14">
        <f>IF(T173="","",V173+AC173)</f>
      </c>
    </row>
    <row r="174" spans="1:30">
      <c r="A174">
        <f>IF(D174="","",ROW()-3)</f>
      </c>
      <c r="B174" s="2"/>
      <c r="C174" s="18"/>
      <c r="D174" s="2"/>
      <c r="E174" s="2"/>
      <c r="F174" s="3"/>
      <c r="G174" s="16"/>
      <c r="H174" s="16"/>
      <c r="I174" s="17">
        <f>IF(G174="","",IF(H174="",TODAY()-G174,H174-G174))</f>
      </c>
      <c r="J174" s="13">
        <f>IF(F174="","",IFERROR(IF(VLOOKUP(E174,'ALIM AYARLARI'!$A$4:$D$20,3,FALSE)="EVET",'GİDER AYARLARI'!$B$4,0),0))</f>
      </c>
      <c r="K174" s="13">
        <f>IF(F174="","",'GİDER AYARLARI'!$B$5)</f>
      </c>
      <c r="L174" s="13">
        <f>IF(F174="","",'GİDER AYARLARI'!$B$6)</f>
      </c>
      <c r="M174" s="13">
        <f>IF(F174="","",IFERROR(IF(VLOOKUP(E174,'ALIM AYARLARI'!$A$4:$D$20,3,FALSE)="EVET",'GİDER AYARLARI'!$B$7,0),0))</f>
      </c>
      <c r="N174" s="3"/>
      <c r="O174" s="13">
        <f>IF(OR(F174="",I174=""),"",IFERROR(IF(VLOOKUP(E174,'ALIM AYARLARI'!$A$4:$D$20,2,FALSE)="EVET",F174*'GİDER AYARLARI'!$B$8*I174/30,0),0))</f>
      </c>
      <c r="P174" s="14">
        <f>IF(F174="","",SUM(J174:O174))</f>
      </c>
      <c r="Q174" s="14">
        <f>IF(F174="","",F174+P174)</f>
      </c>
      <c r="R174" s="2"/>
      <c r="S174" s="2"/>
      <c r="T174" s="3"/>
      <c r="U174" s="14">
        <f>IF(OR(F174="",T174=""),"",T174-F174)</f>
      </c>
      <c r="V174" s="14">
        <f>IF(T174="","",T174-Q174)</f>
      </c>
      <c r="W174" s="15">
        <f>IFERROR(V174/T174,"")</f>
      </c>
      <c r="X174" s="12">
        <f>IF(F174="","",IF(H174="","STOKTA","SATILDI"))</f>
      </c>
      <c r="Y174" s="2"/>
      <c r="Z174" s="3"/>
      <c r="AA174" s="3"/>
      <c r="AB174" s="3"/>
      <c r="AC174" s="14">
        <f>IF(F174="","",SUM(Z174:AB174))</f>
      </c>
      <c r="AD174" s="14">
        <f>IF(T174="","",V174+AC174)</f>
      </c>
    </row>
    <row r="175" spans="1:30">
      <c r="A175">
        <f>IF(D175="","",ROW()-3)</f>
      </c>
      <c r="B175" s="2"/>
      <c r="C175" s="18"/>
      <c r="D175" s="2"/>
      <c r="E175" s="2"/>
      <c r="F175" s="3"/>
      <c r="G175" s="16"/>
      <c r="H175" s="16"/>
      <c r="I175" s="17">
        <f>IF(G175="","",IF(H175="",TODAY()-G175,H175-G175))</f>
      </c>
      <c r="J175" s="13">
        <f>IF(F175="","",IFERROR(IF(VLOOKUP(E175,'ALIM AYARLARI'!$A$4:$D$20,3,FALSE)="EVET",'GİDER AYARLARI'!$B$4,0),0))</f>
      </c>
      <c r="K175" s="13">
        <f>IF(F175="","",'GİDER AYARLARI'!$B$5)</f>
      </c>
      <c r="L175" s="13">
        <f>IF(F175="","",'GİDER AYARLARI'!$B$6)</f>
      </c>
      <c r="M175" s="13">
        <f>IF(F175="","",IFERROR(IF(VLOOKUP(E175,'ALIM AYARLARI'!$A$4:$D$20,3,FALSE)="EVET",'GİDER AYARLARI'!$B$7,0),0))</f>
      </c>
      <c r="N175" s="3"/>
      <c r="O175" s="13">
        <f>IF(OR(F175="",I175=""),"",IFERROR(IF(VLOOKUP(E175,'ALIM AYARLARI'!$A$4:$D$20,2,FALSE)="EVET",F175*'GİDER AYARLARI'!$B$8*I175/30,0),0))</f>
      </c>
      <c r="P175" s="14">
        <f>IF(F175="","",SUM(J175:O175))</f>
      </c>
      <c r="Q175" s="14">
        <f>IF(F175="","",F175+P175)</f>
      </c>
      <c r="R175" s="2"/>
      <c r="S175" s="2"/>
      <c r="T175" s="3"/>
      <c r="U175" s="14">
        <f>IF(OR(F175="",T175=""),"",T175-F175)</f>
      </c>
      <c r="V175" s="14">
        <f>IF(T175="","",T175-Q175)</f>
      </c>
      <c r="W175" s="15">
        <f>IFERROR(V175/T175,"")</f>
      </c>
      <c r="X175" s="12">
        <f>IF(F175="","",IF(H175="","STOKTA","SATILDI"))</f>
      </c>
      <c r="Y175" s="2"/>
      <c r="Z175" s="3"/>
      <c r="AA175" s="3"/>
      <c r="AB175" s="3"/>
      <c r="AC175" s="14">
        <f>IF(F175="","",SUM(Z175:AB175))</f>
      </c>
      <c r="AD175" s="14">
        <f>IF(T175="","",V175+AC175)</f>
      </c>
    </row>
    <row r="176" spans="1:30">
      <c r="A176">
        <f>IF(D176="","",ROW()-3)</f>
      </c>
      <c r="B176" s="2"/>
      <c r="C176" s="18"/>
      <c r="D176" s="2"/>
      <c r="E176" s="2"/>
      <c r="F176" s="3"/>
      <c r="G176" s="16"/>
      <c r="H176" s="16"/>
      <c r="I176" s="17">
        <f>IF(G176="","",IF(H176="",TODAY()-G176,H176-G176))</f>
      </c>
      <c r="J176" s="13">
        <f>IF(F176="","",IFERROR(IF(VLOOKUP(E176,'ALIM AYARLARI'!$A$4:$D$20,3,FALSE)="EVET",'GİDER AYARLARI'!$B$4,0),0))</f>
      </c>
      <c r="K176" s="13">
        <f>IF(F176="","",'GİDER AYARLARI'!$B$5)</f>
      </c>
      <c r="L176" s="13">
        <f>IF(F176="","",'GİDER AYARLARI'!$B$6)</f>
      </c>
      <c r="M176" s="13">
        <f>IF(F176="","",IFERROR(IF(VLOOKUP(E176,'ALIM AYARLARI'!$A$4:$D$20,3,FALSE)="EVET",'GİDER AYARLARI'!$B$7,0),0))</f>
      </c>
      <c r="N176" s="3"/>
      <c r="O176" s="13">
        <f>IF(OR(F176="",I176=""),"",IFERROR(IF(VLOOKUP(E176,'ALIM AYARLARI'!$A$4:$D$20,2,FALSE)="EVET",F176*'GİDER AYARLARI'!$B$8*I176/30,0),0))</f>
      </c>
      <c r="P176" s="14">
        <f>IF(F176="","",SUM(J176:O176))</f>
      </c>
      <c r="Q176" s="14">
        <f>IF(F176="","",F176+P176)</f>
      </c>
      <c r="R176" s="2"/>
      <c r="S176" s="2"/>
      <c r="T176" s="3"/>
      <c r="U176" s="14">
        <f>IF(OR(F176="",T176=""),"",T176-F176)</f>
      </c>
      <c r="V176" s="14">
        <f>IF(T176="","",T176-Q176)</f>
      </c>
      <c r="W176" s="15">
        <f>IFERROR(V176/T176,"")</f>
      </c>
      <c r="X176" s="12">
        <f>IF(F176="","",IF(H176="","STOKTA","SATILDI"))</f>
      </c>
      <c r="Y176" s="2"/>
      <c r="Z176" s="3"/>
      <c r="AA176" s="3"/>
      <c r="AB176" s="3"/>
      <c r="AC176" s="14">
        <f>IF(F176="","",SUM(Z176:AB176))</f>
      </c>
      <c r="AD176" s="14">
        <f>IF(T176="","",V176+AC176)</f>
      </c>
    </row>
    <row r="177" spans="1:30">
      <c r="A177">
        <f>IF(D177="","",ROW()-3)</f>
      </c>
      <c r="B177" s="2"/>
      <c r="C177" s="18"/>
      <c r="D177" s="2"/>
      <c r="E177" s="2"/>
      <c r="F177" s="3"/>
      <c r="G177" s="16"/>
      <c r="H177" s="16"/>
      <c r="I177" s="17">
        <f>IF(G177="","",IF(H177="",TODAY()-G177,H177-G177))</f>
      </c>
      <c r="J177" s="13">
        <f>IF(F177="","",IFERROR(IF(VLOOKUP(E177,'ALIM AYARLARI'!$A$4:$D$20,3,FALSE)="EVET",'GİDER AYARLARI'!$B$4,0),0))</f>
      </c>
      <c r="K177" s="13">
        <f>IF(F177="","",'GİDER AYARLARI'!$B$5)</f>
      </c>
      <c r="L177" s="13">
        <f>IF(F177="","",'GİDER AYARLARI'!$B$6)</f>
      </c>
      <c r="M177" s="13">
        <f>IF(F177="","",IFERROR(IF(VLOOKUP(E177,'ALIM AYARLARI'!$A$4:$D$20,3,FALSE)="EVET",'GİDER AYARLARI'!$B$7,0),0))</f>
      </c>
      <c r="N177" s="3"/>
      <c r="O177" s="13">
        <f>IF(OR(F177="",I177=""),"",IFERROR(IF(VLOOKUP(E177,'ALIM AYARLARI'!$A$4:$D$20,2,FALSE)="EVET",F177*'GİDER AYARLARI'!$B$8*I177/30,0),0))</f>
      </c>
      <c r="P177" s="14">
        <f>IF(F177="","",SUM(J177:O177))</f>
      </c>
      <c r="Q177" s="14">
        <f>IF(F177="","",F177+P177)</f>
      </c>
      <c r="R177" s="2"/>
      <c r="S177" s="2"/>
      <c r="T177" s="3"/>
      <c r="U177" s="14">
        <f>IF(OR(F177="",T177=""),"",T177-F177)</f>
      </c>
      <c r="V177" s="14">
        <f>IF(T177="","",T177-Q177)</f>
      </c>
      <c r="W177" s="15">
        <f>IFERROR(V177/T177,"")</f>
      </c>
      <c r="X177" s="12">
        <f>IF(F177="","",IF(H177="","STOKTA","SATILDI"))</f>
      </c>
      <c r="Y177" s="2"/>
      <c r="Z177" s="3"/>
      <c r="AA177" s="3"/>
      <c r="AB177" s="3"/>
      <c r="AC177" s="14">
        <f>IF(F177="","",SUM(Z177:AB177))</f>
      </c>
      <c r="AD177" s="14">
        <f>IF(T177="","",V177+AC177)</f>
      </c>
    </row>
    <row r="178" spans="1:30">
      <c r="A178">
        <f>IF(D178="","",ROW()-3)</f>
      </c>
      <c r="B178" s="2"/>
      <c r="C178" s="18"/>
      <c r="D178" s="2"/>
      <c r="E178" s="2"/>
      <c r="F178" s="3"/>
      <c r="G178" s="16"/>
      <c r="H178" s="16"/>
      <c r="I178" s="17">
        <f>IF(G178="","",IF(H178="",TODAY()-G178,H178-G178))</f>
      </c>
      <c r="J178" s="13">
        <f>IF(F178="","",IFERROR(IF(VLOOKUP(E178,'ALIM AYARLARI'!$A$4:$D$20,3,FALSE)="EVET",'GİDER AYARLARI'!$B$4,0),0))</f>
      </c>
      <c r="K178" s="13">
        <f>IF(F178="","",'GİDER AYARLARI'!$B$5)</f>
      </c>
      <c r="L178" s="13">
        <f>IF(F178="","",'GİDER AYARLARI'!$B$6)</f>
      </c>
      <c r="M178" s="13">
        <f>IF(F178="","",IFERROR(IF(VLOOKUP(E178,'ALIM AYARLARI'!$A$4:$D$20,3,FALSE)="EVET",'GİDER AYARLARI'!$B$7,0),0))</f>
      </c>
      <c r="N178" s="3"/>
      <c r="O178" s="13">
        <f>IF(OR(F178="",I178=""),"",IFERROR(IF(VLOOKUP(E178,'ALIM AYARLARI'!$A$4:$D$20,2,FALSE)="EVET",F178*'GİDER AYARLARI'!$B$8*I178/30,0),0))</f>
      </c>
      <c r="P178" s="14">
        <f>IF(F178="","",SUM(J178:O178))</f>
      </c>
      <c r="Q178" s="14">
        <f>IF(F178="","",F178+P178)</f>
      </c>
      <c r="R178" s="2"/>
      <c r="S178" s="2"/>
      <c r="T178" s="3"/>
      <c r="U178" s="14">
        <f>IF(OR(F178="",T178=""),"",T178-F178)</f>
      </c>
      <c r="V178" s="14">
        <f>IF(T178="","",T178-Q178)</f>
      </c>
      <c r="W178" s="15">
        <f>IFERROR(V178/T178,"")</f>
      </c>
      <c r="X178" s="12">
        <f>IF(F178="","",IF(H178="","STOKTA","SATILDI"))</f>
      </c>
      <c r="Y178" s="2"/>
      <c r="Z178" s="3"/>
      <c r="AA178" s="3"/>
      <c r="AB178" s="3"/>
      <c r="AC178" s="14">
        <f>IF(F178="","",SUM(Z178:AB178))</f>
      </c>
      <c r="AD178" s="14">
        <f>IF(T178="","",V178+AC178)</f>
      </c>
    </row>
    <row r="179" spans="1:30">
      <c r="A179">
        <f>IF(D179="","",ROW()-3)</f>
      </c>
      <c r="B179" s="2"/>
      <c r="C179" s="18"/>
      <c r="D179" s="2"/>
      <c r="E179" s="2"/>
      <c r="F179" s="3"/>
      <c r="G179" s="16"/>
      <c r="H179" s="16"/>
      <c r="I179" s="17">
        <f>IF(G179="","",IF(H179="",TODAY()-G179,H179-G179))</f>
      </c>
      <c r="J179" s="13">
        <f>IF(F179="","",IFERROR(IF(VLOOKUP(E179,'ALIM AYARLARI'!$A$4:$D$20,3,FALSE)="EVET",'GİDER AYARLARI'!$B$4,0),0))</f>
      </c>
      <c r="K179" s="13">
        <f>IF(F179="","",'GİDER AYARLARI'!$B$5)</f>
      </c>
      <c r="L179" s="13">
        <f>IF(F179="","",'GİDER AYARLARI'!$B$6)</f>
      </c>
      <c r="M179" s="13">
        <f>IF(F179="","",IFERROR(IF(VLOOKUP(E179,'ALIM AYARLARI'!$A$4:$D$20,3,FALSE)="EVET",'GİDER AYARLARI'!$B$7,0),0))</f>
      </c>
      <c r="N179" s="3"/>
      <c r="O179" s="13">
        <f>IF(OR(F179="",I179=""),"",IFERROR(IF(VLOOKUP(E179,'ALIM AYARLARI'!$A$4:$D$20,2,FALSE)="EVET",F179*'GİDER AYARLARI'!$B$8*I179/30,0),0))</f>
      </c>
      <c r="P179" s="14">
        <f>IF(F179="","",SUM(J179:O179))</f>
      </c>
      <c r="Q179" s="14">
        <f>IF(F179="","",F179+P179)</f>
      </c>
      <c r="R179" s="2"/>
      <c r="S179" s="2"/>
      <c r="T179" s="3"/>
      <c r="U179" s="14">
        <f>IF(OR(F179="",T179=""),"",T179-F179)</f>
      </c>
      <c r="V179" s="14">
        <f>IF(T179="","",T179-Q179)</f>
      </c>
      <c r="W179" s="15">
        <f>IFERROR(V179/T179,"")</f>
      </c>
      <c r="X179" s="12">
        <f>IF(F179="","",IF(H179="","STOKTA","SATILDI"))</f>
      </c>
      <c r="Y179" s="2"/>
      <c r="Z179" s="3"/>
      <c r="AA179" s="3"/>
      <c r="AB179" s="3"/>
      <c r="AC179" s="14">
        <f>IF(F179="","",SUM(Z179:AB179))</f>
      </c>
      <c r="AD179" s="14">
        <f>IF(T179="","",V179+AC179)</f>
      </c>
    </row>
    <row r="180" spans="1:30">
      <c r="A180">
        <f>IF(D180="","",ROW()-3)</f>
      </c>
      <c r="B180" s="2"/>
      <c r="C180" s="18"/>
      <c r="D180" s="2"/>
      <c r="E180" s="2"/>
      <c r="F180" s="3"/>
      <c r="G180" s="16"/>
      <c r="H180" s="16"/>
      <c r="I180" s="17">
        <f>IF(G180="","",IF(H180="",TODAY()-G180,H180-G180))</f>
      </c>
      <c r="J180" s="13">
        <f>IF(F180="","",IFERROR(IF(VLOOKUP(E180,'ALIM AYARLARI'!$A$4:$D$20,3,FALSE)="EVET",'GİDER AYARLARI'!$B$4,0),0))</f>
      </c>
      <c r="K180" s="13">
        <f>IF(F180="","",'GİDER AYARLARI'!$B$5)</f>
      </c>
      <c r="L180" s="13">
        <f>IF(F180="","",'GİDER AYARLARI'!$B$6)</f>
      </c>
      <c r="M180" s="13">
        <f>IF(F180="","",IFERROR(IF(VLOOKUP(E180,'ALIM AYARLARI'!$A$4:$D$20,3,FALSE)="EVET",'GİDER AYARLARI'!$B$7,0),0))</f>
      </c>
      <c r="N180" s="3"/>
      <c r="O180" s="13">
        <f>IF(OR(F180="",I180=""),"",IFERROR(IF(VLOOKUP(E180,'ALIM AYARLARI'!$A$4:$D$20,2,FALSE)="EVET",F180*'GİDER AYARLARI'!$B$8*I180/30,0),0))</f>
      </c>
      <c r="P180" s="14">
        <f>IF(F180="","",SUM(J180:O180))</f>
      </c>
      <c r="Q180" s="14">
        <f>IF(F180="","",F180+P180)</f>
      </c>
      <c r="R180" s="2"/>
      <c r="S180" s="2"/>
      <c r="T180" s="3"/>
      <c r="U180" s="14">
        <f>IF(OR(F180="",T180=""),"",T180-F180)</f>
      </c>
      <c r="V180" s="14">
        <f>IF(T180="","",T180-Q180)</f>
      </c>
      <c r="W180" s="15">
        <f>IFERROR(V180/T180,"")</f>
      </c>
      <c r="X180" s="12">
        <f>IF(F180="","",IF(H180="","STOKTA","SATILDI"))</f>
      </c>
      <c r="Y180" s="2"/>
      <c r="Z180" s="3"/>
      <c r="AA180" s="3"/>
      <c r="AB180" s="3"/>
      <c r="AC180" s="14">
        <f>IF(F180="","",SUM(Z180:AB180))</f>
      </c>
      <c r="AD180" s="14">
        <f>IF(T180="","",V180+AC180)</f>
      </c>
    </row>
    <row r="181" spans="1:30">
      <c r="A181">
        <f>IF(D181="","",ROW()-3)</f>
      </c>
      <c r="B181" s="2"/>
      <c r="C181" s="18"/>
      <c r="D181" s="2"/>
      <c r="E181" s="2"/>
      <c r="F181" s="3"/>
      <c r="G181" s="16"/>
      <c r="H181" s="16"/>
      <c r="I181" s="17">
        <f>IF(G181="","",IF(H181="",TODAY()-G181,H181-G181))</f>
      </c>
      <c r="J181" s="13">
        <f>IF(F181="","",IFERROR(IF(VLOOKUP(E181,'ALIM AYARLARI'!$A$4:$D$20,3,FALSE)="EVET",'GİDER AYARLARI'!$B$4,0),0))</f>
      </c>
      <c r="K181" s="13">
        <f>IF(F181="","",'GİDER AYARLARI'!$B$5)</f>
      </c>
      <c r="L181" s="13">
        <f>IF(F181="","",'GİDER AYARLARI'!$B$6)</f>
      </c>
      <c r="M181" s="13">
        <f>IF(F181="","",IFERROR(IF(VLOOKUP(E181,'ALIM AYARLARI'!$A$4:$D$20,3,FALSE)="EVET",'GİDER AYARLARI'!$B$7,0),0))</f>
      </c>
      <c r="N181" s="3"/>
      <c r="O181" s="13">
        <f>IF(OR(F181="",I181=""),"",IFERROR(IF(VLOOKUP(E181,'ALIM AYARLARI'!$A$4:$D$20,2,FALSE)="EVET",F181*'GİDER AYARLARI'!$B$8*I181/30,0),0))</f>
      </c>
      <c r="P181" s="14">
        <f>IF(F181="","",SUM(J181:O181))</f>
      </c>
      <c r="Q181" s="14">
        <f>IF(F181="","",F181+P181)</f>
      </c>
      <c r="R181" s="2"/>
      <c r="S181" s="2"/>
      <c r="T181" s="3"/>
      <c r="U181" s="14">
        <f>IF(OR(F181="",T181=""),"",T181-F181)</f>
      </c>
      <c r="V181" s="14">
        <f>IF(T181="","",T181-Q181)</f>
      </c>
      <c r="W181" s="15">
        <f>IFERROR(V181/T181,"")</f>
      </c>
      <c r="X181" s="12">
        <f>IF(F181="","",IF(H181="","STOKTA","SATILDI"))</f>
      </c>
      <c r="Y181" s="2"/>
      <c r="Z181" s="3"/>
      <c r="AA181" s="3"/>
      <c r="AB181" s="3"/>
      <c r="AC181" s="14">
        <f>IF(F181="","",SUM(Z181:AB181))</f>
      </c>
      <c r="AD181" s="14">
        <f>IF(T181="","",V181+AC181)</f>
      </c>
    </row>
    <row r="182" spans="1:30">
      <c r="A182">
        <f>IF(D182="","",ROW()-3)</f>
      </c>
      <c r="B182" s="2"/>
      <c r="C182" s="18"/>
      <c r="D182" s="2"/>
      <c r="E182" s="2"/>
      <c r="F182" s="3"/>
      <c r="G182" s="16"/>
      <c r="H182" s="16"/>
      <c r="I182" s="17">
        <f>IF(G182="","",IF(H182="",TODAY()-G182,H182-G182))</f>
      </c>
      <c r="J182" s="13">
        <f>IF(F182="","",IFERROR(IF(VLOOKUP(E182,'ALIM AYARLARI'!$A$4:$D$20,3,FALSE)="EVET",'GİDER AYARLARI'!$B$4,0),0))</f>
      </c>
      <c r="K182" s="13">
        <f>IF(F182="","",'GİDER AYARLARI'!$B$5)</f>
      </c>
      <c r="L182" s="13">
        <f>IF(F182="","",'GİDER AYARLARI'!$B$6)</f>
      </c>
      <c r="M182" s="13">
        <f>IF(F182="","",IFERROR(IF(VLOOKUP(E182,'ALIM AYARLARI'!$A$4:$D$20,3,FALSE)="EVET",'GİDER AYARLARI'!$B$7,0),0))</f>
      </c>
      <c r="N182" s="3"/>
      <c r="O182" s="13">
        <f>IF(OR(F182="",I182=""),"",IFERROR(IF(VLOOKUP(E182,'ALIM AYARLARI'!$A$4:$D$20,2,FALSE)="EVET",F182*'GİDER AYARLARI'!$B$8*I182/30,0),0))</f>
      </c>
      <c r="P182" s="14">
        <f>IF(F182="","",SUM(J182:O182))</f>
      </c>
      <c r="Q182" s="14">
        <f>IF(F182="","",F182+P182)</f>
      </c>
      <c r="R182" s="2"/>
      <c r="S182" s="2"/>
      <c r="T182" s="3"/>
      <c r="U182" s="14">
        <f>IF(OR(F182="",T182=""),"",T182-F182)</f>
      </c>
      <c r="V182" s="14">
        <f>IF(T182="","",T182-Q182)</f>
      </c>
      <c r="W182" s="15">
        <f>IFERROR(V182/T182,"")</f>
      </c>
      <c r="X182" s="12">
        <f>IF(F182="","",IF(H182="","STOKTA","SATILDI"))</f>
      </c>
      <c r="Y182" s="2"/>
      <c r="Z182" s="3"/>
      <c r="AA182" s="3"/>
      <c r="AB182" s="3"/>
      <c r="AC182" s="14">
        <f>IF(F182="","",SUM(Z182:AB182))</f>
      </c>
      <c r="AD182" s="14">
        <f>IF(T182="","",V182+AC182)</f>
      </c>
    </row>
    <row r="183" spans="1:30">
      <c r="A183">
        <f>IF(D183="","",ROW()-3)</f>
      </c>
      <c r="B183" s="2"/>
      <c r="C183" s="18"/>
      <c r="D183" s="2"/>
      <c r="E183" s="2"/>
      <c r="F183" s="3"/>
      <c r="G183" s="16"/>
      <c r="H183" s="16"/>
      <c r="I183" s="17">
        <f>IF(G183="","",IF(H183="",TODAY()-G183,H183-G183))</f>
      </c>
      <c r="J183" s="13">
        <f>IF(F183="","",IFERROR(IF(VLOOKUP(E183,'ALIM AYARLARI'!$A$4:$D$20,3,FALSE)="EVET",'GİDER AYARLARI'!$B$4,0),0))</f>
      </c>
      <c r="K183" s="13">
        <f>IF(F183="","",'GİDER AYARLARI'!$B$5)</f>
      </c>
      <c r="L183" s="13">
        <f>IF(F183="","",'GİDER AYARLARI'!$B$6)</f>
      </c>
      <c r="M183" s="13">
        <f>IF(F183="","",IFERROR(IF(VLOOKUP(E183,'ALIM AYARLARI'!$A$4:$D$20,3,FALSE)="EVET",'GİDER AYARLARI'!$B$7,0),0))</f>
      </c>
      <c r="N183" s="3"/>
      <c r="O183" s="13">
        <f>IF(OR(F183="",I183=""),"",IFERROR(IF(VLOOKUP(E183,'ALIM AYARLARI'!$A$4:$D$20,2,FALSE)="EVET",F183*'GİDER AYARLARI'!$B$8*I183/30,0),0))</f>
      </c>
      <c r="P183" s="14">
        <f>IF(F183="","",SUM(J183:O183))</f>
      </c>
      <c r="Q183" s="14">
        <f>IF(F183="","",F183+P183)</f>
      </c>
      <c r="R183" s="2"/>
      <c r="S183" s="2"/>
      <c r="T183" s="3"/>
      <c r="U183" s="14">
        <f>IF(OR(F183="",T183=""),"",T183-F183)</f>
      </c>
      <c r="V183" s="14">
        <f>IF(T183="","",T183-Q183)</f>
      </c>
      <c r="W183" s="15">
        <f>IFERROR(V183/T183,"")</f>
      </c>
      <c r="X183" s="12">
        <f>IF(F183="","",IF(H183="","STOKTA","SATILDI"))</f>
      </c>
      <c r="Y183" s="2"/>
      <c r="Z183" s="3"/>
      <c r="AA183" s="3"/>
      <c r="AB183" s="3"/>
      <c r="AC183" s="14">
        <f>IF(F183="","",SUM(Z183:AB183))</f>
      </c>
      <c r="AD183" s="14">
        <f>IF(T183="","",V183+AC183)</f>
      </c>
    </row>
    <row r="184" spans="1:30">
      <c r="A184">
        <f>IF(D184="","",ROW()-3)</f>
      </c>
      <c r="B184" s="2"/>
      <c r="C184" s="18"/>
      <c r="D184" s="2"/>
      <c r="E184" s="2"/>
      <c r="F184" s="3"/>
      <c r="G184" s="16"/>
      <c r="H184" s="16"/>
      <c r="I184" s="17">
        <f>IF(G184="","",IF(H184="",TODAY()-G184,H184-G184))</f>
      </c>
      <c r="J184" s="13">
        <f>IF(F184="","",IFERROR(IF(VLOOKUP(E184,'ALIM AYARLARI'!$A$4:$D$20,3,FALSE)="EVET",'GİDER AYARLARI'!$B$4,0),0))</f>
      </c>
      <c r="K184" s="13">
        <f>IF(F184="","",'GİDER AYARLARI'!$B$5)</f>
      </c>
      <c r="L184" s="13">
        <f>IF(F184="","",'GİDER AYARLARI'!$B$6)</f>
      </c>
      <c r="M184" s="13">
        <f>IF(F184="","",IFERROR(IF(VLOOKUP(E184,'ALIM AYARLARI'!$A$4:$D$20,3,FALSE)="EVET",'GİDER AYARLARI'!$B$7,0),0))</f>
      </c>
      <c r="N184" s="3"/>
      <c r="O184" s="13">
        <f>IF(OR(F184="",I184=""),"",IFERROR(IF(VLOOKUP(E184,'ALIM AYARLARI'!$A$4:$D$20,2,FALSE)="EVET",F184*'GİDER AYARLARI'!$B$8*I184/30,0),0))</f>
      </c>
      <c r="P184" s="14">
        <f>IF(F184="","",SUM(J184:O184))</f>
      </c>
      <c r="Q184" s="14">
        <f>IF(F184="","",F184+P184)</f>
      </c>
      <c r="R184" s="2"/>
      <c r="S184" s="2"/>
      <c r="T184" s="3"/>
      <c r="U184" s="14">
        <f>IF(OR(F184="",T184=""),"",T184-F184)</f>
      </c>
      <c r="V184" s="14">
        <f>IF(T184="","",T184-Q184)</f>
      </c>
      <c r="W184" s="15">
        <f>IFERROR(V184/T184,"")</f>
      </c>
      <c r="X184" s="12">
        <f>IF(F184="","",IF(H184="","STOKTA","SATILDI"))</f>
      </c>
      <c r="Y184" s="2"/>
      <c r="Z184" s="3"/>
      <c r="AA184" s="3"/>
      <c r="AB184" s="3"/>
      <c r="AC184" s="14">
        <f>IF(F184="","",SUM(Z184:AB184))</f>
      </c>
      <c r="AD184" s="14">
        <f>IF(T184="","",V184+AC184)</f>
      </c>
    </row>
    <row r="185" spans="1:30">
      <c r="A185">
        <f>IF(D185="","",ROW()-3)</f>
      </c>
      <c r="B185" s="2"/>
      <c r="C185" s="18"/>
      <c r="D185" s="2"/>
      <c r="E185" s="2"/>
      <c r="F185" s="3"/>
      <c r="G185" s="16"/>
      <c r="H185" s="16"/>
      <c r="I185" s="17">
        <f>IF(G185="","",IF(H185="",TODAY()-G185,H185-G185))</f>
      </c>
      <c r="J185" s="13">
        <f>IF(F185="","",IFERROR(IF(VLOOKUP(E185,'ALIM AYARLARI'!$A$4:$D$20,3,FALSE)="EVET",'GİDER AYARLARI'!$B$4,0),0))</f>
      </c>
      <c r="K185" s="13">
        <f>IF(F185="","",'GİDER AYARLARI'!$B$5)</f>
      </c>
      <c r="L185" s="13">
        <f>IF(F185="","",'GİDER AYARLARI'!$B$6)</f>
      </c>
      <c r="M185" s="13">
        <f>IF(F185="","",IFERROR(IF(VLOOKUP(E185,'ALIM AYARLARI'!$A$4:$D$20,3,FALSE)="EVET",'GİDER AYARLARI'!$B$7,0),0))</f>
      </c>
      <c r="N185" s="3"/>
      <c r="O185" s="13">
        <f>IF(OR(F185="",I185=""),"",IFERROR(IF(VLOOKUP(E185,'ALIM AYARLARI'!$A$4:$D$20,2,FALSE)="EVET",F185*'GİDER AYARLARI'!$B$8*I185/30,0),0))</f>
      </c>
      <c r="P185" s="14">
        <f>IF(F185="","",SUM(J185:O185))</f>
      </c>
      <c r="Q185" s="14">
        <f>IF(F185="","",F185+P185)</f>
      </c>
      <c r="R185" s="2"/>
      <c r="S185" s="2"/>
      <c r="T185" s="3"/>
      <c r="U185" s="14">
        <f>IF(OR(F185="",T185=""),"",T185-F185)</f>
      </c>
      <c r="V185" s="14">
        <f>IF(T185="","",T185-Q185)</f>
      </c>
      <c r="W185" s="15">
        <f>IFERROR(V185/T185,"")</f>
      </c>
      <c r="X185" s="12">
        <f>IF(F185="","",IF(H185="","STOKTA","SATILDI"))</f>
      </c>
      <c r="Y185" s="2"/>
      <c r="Z185" s="3"/>
      <c r="AA185" s="3"/>
      <c r="AB185" s="3"/>
      <c r="AC185" s="14">
        <f>IF(F185="","",SUM(Z185:AB185))</f>
      </c>
      <c r="AD185" s="14">
        <f>IF(T185="","",V185+AC185)</f>
      </c>
    </row>
    <row r="186" spans="1:30">
      <c r="A186">
        <f>IF(D186="","",ROW()-3)</f>
      </c>
      <c r="B186" s="2"/>
      <c r="C186" s="18"/>
      <c r="D186" s="2"/>
      <c r="E186" s="2"/>
      <c r="F186" s="3"/>
      <c r="G186" s="16"/>
      <c r="H186" s="16"/>
      <c r="I186" s="17">
        <f>IF(G186="","",IF(H186="",TODAY()-G186,H186-G186))</f>
      </c>
      <c r="J186" s="13">
        <f>IF(F186="","",IFERROR(IF(VLOOKUP(E186,'ALIM AYARLARI'!$A$4:$D$20,3,FALSE)="EVET",'GİDER AYARLARI'!$B$4,0),0))</f>
      </c>
      <c r="K186" s="13">
        <f>IF(F186="","",'GİDER AYARLARI'!$B$5)</f>
      </c>
      <c r="L186" s="13">
        <f>IF(F186="","",'GİDER AYARLARI'!$B$6)</f>
      </c>
      <c r="M186" s="13">
        <f>IF(F186="","",IFERROR(IF(VLOOKUP(E186,'ALIM AYARLARI'!$A$4:$D$20,3,FALSE)="EVET",'GİDER AYARLARI'!$B$7,0),0))</f>
      </c>
      <c r="N186" s="3"/>
      <c r="O186" s="13">
        <f>IF(OR(F186="",I186=""),"",IFERROR(IF(VLOOKUP(E186,'ALIM AYARLARI'!$A$4:$D$20,2,FALSE)="EVET",F186*'GİDER AYARLARI'!$B$8*I186/30,0),0))</f>
      </c>
      <c r="P186" s="14">
        <f>IF(F186="","",SUM(J186:O186))</f>
      </c>
      <c r="Q186" s="14">
        <f>IF(F186="","",F186+P186)</f>
      </c>
      <c r="R186" s="2"/>
      <c r="S186" s="2"/>
      <c r="T186" s="3"/>
      <c r="U186" s="14">
        <f>IF(OR(F186="",T186=""),"",T186-F186)</f>
      </c>
      <c r="V186" s="14">
        <f>IF(T186="","",T186-Q186)</f>
      </c>
      <c r="W186" s="15">
        <f>IFERROR(V186/T186,"")</f>
      </c>
      <c r="X186" s="12">
        <f>IF(F186="","",IF(H186="","STOKTA","SATILDI"))</f>
      </c>
      <c r="Y186" s="2"/>
      <c r="Z186" s="3"/>
      <c r="AA186" s="3"/>
      <c r="AB186" s="3"/>
      <c r="AC186" s="14">
        <f>IF(F186="","",SUM(Z186:AB186))</f>
      </c>
      <c r="AD186" s="14">
        <f>IF(T186="","",V186+AC186)</f>
      </c>
    </row>
    <row r="187" spans="1:30">
      <c r="A187">
        <f>IF(D187="","",ROW()-3)</f>
      </c>
      <c r="B187" s="2"/>
      <c r="C187" s="18"/>
      <c r="D187" s="2"/>
      <c r="E187" s="2"/>
      <c r="F187" s="3"/>
      <c r="G187" s="16"/>
      <c r="H187" s="16"/>
      <c r="I187" s="17">
        <f>IF(G187="","",IF(H187="",TODAY()-G187,H187-G187))</f>
      </c>
      <c r="J187" s="13">
        <f>IF(F187="","",IFERROR(IF(VLOOKUP(E187,'ALIM AYARLARI'!$A$4:$D$20,3,FALSE)="EVET",'GİDER AYARLARI'!$B$4,0),0))</f>
      </c>
      <c r="K187" s="13">
        <f>IF(F187="","",'GİDER AYARLARI'!$B$5)</f>
      </c>
      <c r="L187" s="13">
        <f>IF(F187="","",'GİDER AYARLARI'!$B$6)</f>
      </c>
      <c r="M187" s="13">
        <f>IF(F187="","",IFERROR(IF(VLOOKUP(E187,'ALIM AYARLARI'!$A$4:$D$20,3,FALSE)="EVET",'GİDER AYARLARI'!$B$7,0),0))</f>
      </c>
      <c r="N187" s="3"/>
      <c r="O187" s="13">
        <f>IF(OR(F187="",I187=""),"",IFERROR(IF(VLOOKUP(E187,'ALIM AYARLARI'!$A$4:$D$20,2,FALSE)="EVET",F187*'GİDER AYARLARI'!$B$8*I187/30,0),0))</f>
      </c>
      <c r="P187" s="14">
        <f>IF(F187="","",SUM(J187:O187))</f>
      </c>
      <c r="Q187" s="14">
        <f>IF(F187="","",F187+P187)</f>
      </c>
      <c r="R187" s="2"/>
      <c r="S187" s="2"/>
      <c r="T187" s="3"/>
      <c r="U187" s="14">
        <f>IF(OR(F187="",T187=""),"",T187-F187)</f>
      </c>
      <c r="V187" s="14">
        <f>IF(T187="","",T187-Q187)</f>
      </c>
      <c r="W187" s="15">
        <f>IFERROR(V187/T187,"")</f>
      </c>
      <c r="X187" s="12">
        <f>IF(F187="","",IF(H187="","STOKTA","SATILDI"))</f>
      </c>
      <c r="Y187" s="2"/>
      <c r="Z187" s="3"/>
      <c r="AA187" s="3"/>
      <c r="AB187" s="3"/>
      <c r="AC187" s="14">
        <f>IF(F187="","",SUM(Z187:AB187))</f>
      </c>
      <c r="AD187" s="14">
        <f>IF(T187="","",V187+AC187)</f>
      </c>
    </row>
    <row r="188" spans="1:30">
      <c r="A188">
        <f>IF(D188="","",ROW()-3)</f>
      </c>
      <c r="B188" s="2"/>
      <c r="C188" s="18"/>
      <c r="D188" s="2"/>
      <c r="E188" s="2"/>
      <c r="F188" s="3"/>
      <c r="G188" s="16"/>
      <c r="H188" s="16"/>
      <c r="I188" s="17">
        <f>IF(G188="","",IF(H188="",TODAY()-G188,H188-G188))</f>
      </c>
      <c r="J188" s="13">
        <f>IF(F188="","",IFERROR(IF(VLOOKUP(E188,'ALIM AYARLARI'!$A$4:$D$20,3,FALSE)="EVET",'GİDER AYARLARI'!$B$4,0),0))</f>
      </c>
      <c r="K188" s="13">
        <f>IF(F188="","",'GİDER AYARLARI'!$B$5)</f>
      </c>
      <c r="L188" s="13">
        <f>IF(F188="","",'GİDER AYARLARI'!$B$6)</f>
      </c>
      <c r="M188" s="13">
        <f>IF(F188="","",IFERROR(IF(VLOOKUP(E188,'ALIM AYARLARI'!$A$4:$D$20,3,FALSE)="EVET",'GİDER AYARLARI'!$B$7,0),0))</f>
      </c>
      <c r="N188" s="3"/>
      <c r="O188" s="13">
        <f>IF(OR(F188="",I188=""),"",IFERROR(IF(VLOOKUP(E188,'ALIM AYARLARI'!$A$4:$D$20,2,FALSE)="EVET",F188*'GİDER AYARLARI'!$B$8*I188/30,0),0))</f>
      </c>
      <c r="P188" s="14">
        <f>IF(F188="","",SUM(J188:O188))</f>
      </c>
      <c r="Q188" s="14">
        <f>IF(F188="","",F188+P188)</f>
      </c>
      <c r="R188" s="2"/>
      <c r="S188" s="2"/>
      <c r="T188" s="3"/>
      <c r="U188" s="14">
        <f>IF(OR(F188="",T188=""),"",T188-F188)</f>
      </c>
      <c r="V188" s="14">
        <f>IF(T188="","",T188-Q188)</f>
      </c>
      <c r="W188" s="15">
        <f>IFERROR(V188/T188,"")</f>
      </c>
      <c r="X188" s="12">
        <f>IF(F188="","",IF(H188="","STOKTA","SATILDI"))</f>
      </c>
      <c r="Y188" s="2"/>
      <c r="Z188" s="3"/>
      <c r="AA188" s="3"/>
      <c r="AB188" s="3"/>
      <c r="AC188" s="14">
        <f>IF(F188="","",SUM(Z188:AB188))</f>
      </c>
      <c r="AD188" s="14">
        <f>IF(T188="","",V188+AC188)</f>
      </c>
    </row>
    <row r="189" spans="1:30">
      <c r="A189">
        <f>IF(D189="","",ROW()-3)</f>
      </c>
      <c r="B189" s="2"/>
      <c r="C189" s="18"/>
      <c r="D189" s="2"/>
      <c r="E189" s="2"/>
      <c r="F189" s="3"/>
      <c r="G189" s="16"/>
      <c r="H189" s="16"/>
      <c r="I189" s="17">
        <f>IF(G189="","",IF(H189="",TODAY()-G189,H189-G189))</f>
      </c>
      <c r="J189" s="13">
        <f>IF(F189="","",IFERROR(IF(VLOOKUP(E189,'ALIM AYARLARI'!$A$4:$D$20,3,FALSE)="EVET",'GİDER AYARLARI'!$B$4,0),0))</f>
      </c>
      <c r="K189" s="13">
        <f>IF(F189="","",'GİDER AYARLARI'!$B$5)</f>
      </c>
      <c r="L189" s="13">
        <f>IF(F189="","",'GİDER AYARLARI'!$B$6)</f>
      </c>
      <c r="M189" s="13">
        <f>IF(F189="","",IFERROR(IF(VLOOKUP(E189,'ALIM AYARLARI'!$A$4:$D$20,3,FALSE)="EVET",'GİDER AYARLARI'!$B$7,0),0))</f>
      </c>
      <c r="N189" s="3"/>
      <c r="O189" s="13">
        <f>IF(OR(F189="",I189=""),"",IFERROR(IF(VLOOKUP(E189,'ALIM AYARLARI'!$A$4:$D$20,2,FALSE)="EVET",F189*'GİDER AYARLARI'!$B$8*I189/30,0),0))</f>
      </c>
      <c r="P189" s="14">
        <f>IF(F189="","",SUM(J189:O189))</f>
      </c>
      <c r="Q189" s="14">
        <f>IF(F189="","",F189+P189)</f>
      </c>
      <c r="R189" s="2"/>
      <c r="S189" s="2"/>
      <c r="T189" s="3"/>
      <c r="U189" s="14">
        <f>IF(OR(F189="",T189=""),"",T189-F189)</f>
      </c>
      <c r="V189" s="14">
        <f>IF(T189="","",T189-Q189)</f>
      </c>
      <c r="W189" s="15">
        <f>IFERROR(V189/T189,"")</f>
      </c>
      <c r="X189" s="12">
        <f>IF(F189="","",IF(H189="","STOKTA","SATILDI"))</f>
      </c>
      <c r="Y189" s="2"/>
      <c r="Z189" s="3"/>
      <c r="AA189" s="3"/>
      <c r="AB189" s="3"/>
      <c r="AC189" s="14">
        <f>IF(F189="","",SUM(Z189:AB189))</f>
      </c>
      <c r="AD189" s="14">
        <f>IF(T189="","",V189+AC189)</f>
      </c>
    </row>
    <row r="190" spans="1:30">
      <c r="A190">
        <f>IF(D190="","",ROW()-3)</f>
      </c>
      <c r="B190" s="2"/>
      <c r="C190" s="18"/>
      <c r="D190" s="2"/>
      <c r="E190" s="2"/>
      <c r="F190" s="3"/>
      <c r="G190" s="16"/>
      <c r="H190" s="16"/>
      <c r="I190" s="17">
        <f>IF(G190="","",IF(H190="",TODAY()-G190,H190-G190))</f>
      </c>
      <c r="J190" s="13">
        <f>IF(F190="","",IFERROR(IF(VLOOKUP(E190,'ALIM AYARLARI'!$A$4:$D$20,3,FALSE)="EVET",'GİDER AYARLARI'!$B$4,0),0))</f>
      </c>
      <c r="K190" s="13">
        <f>IF(F190="","",'GİDER AYARLARI'!$B$5)</f>
      </c>
      <c r="L190" s="13">
        <f>IF(F190="","",'GİDER AYARLARI'!$B$6)</f>
      </c>
      <c r="M190" s="13">
        <f>IF(F190="","",IFERROR(IF(VLOOKUP(E190,'ALIM AYARLARI'!$A$4:$D$20,3,FALSE)="EVET",'GİDER AYARLARI'!$B$7,0),0))</f>
      </c>
      <c r="N190" s="3"/>
      <c r="O190" s="13">
        <f>IF(OR(F190="",I190=""),"",IFERROR(IF(VLOOKUP(E190,'ALIM AYARLARI'!$A$4:$D$20,2,FALSE)="EVET",F190*'GİDER AYARLARI'!$B$8*I190/30,0),0))</f>
      </c>
      <c r="P190" s="14">
        <f>IF(F190="","",SUM(J190:O190))</f>
      </c>
      <c r="Q190" s="14">
        <f>IF(F190="","",F190+P190)</f>
      </c>
      <c r="R190" s="2"/>
      <c r="S190" s="2"/>
      <c r="T190" s="3"/>
      <c r="U190" s="14">
        <f>IF(OR(F190="",T190=""),"",T190-F190)</f>
      </c>
      <c r="V190" s="14">
        <f>IF(T190="","",T190-Q190)</f>
      </c>
      <c r="W190" s="15">
        <f>IFERROR(V190/T190,"")</f>
      </c>
      <c r="X190" s="12">
        <f>IF(F190="","",IF(H190="","STOKTA","SATILDI"))</f>
      </c>
      <c r="Y190" s="2"/>
      <c r="Z190" s="3"/>
      <c r="AA190" s="3"/>
      <c r="AB190" s="3"/>
      <c r="AC190" s="14">
        <f>IF(F190="","",SUM(Z190:AB190))</f>
      </c>
      <c r="AD190" s="14">
        <f>IF(T190="","",V190+AC190)</f>
      </c>
    </row>
    <row r="191" spans="1:30">
      <c r="A191">
        <f>IF(D191="","",ROW()-3)</f>
      </c>
      <c r="B191" s="2"/>
      <c r="C191" s="18"/>
      <c r="D191" s="2"/>
      <c r="E191" s="2"/>
      <c r="F191" s="3"/>
      <c r="G191" s="16"/>
      <c r="H191" s="16"/>
      <c r="I191" s="17">
        <f>IF(G191="","",IF(H191="",TODAY()-G191,H191-G191))</f>
      </c>
      <c r="J191" s="13">
        <f>IF(F191="","",IFERROR(IF(VLOOKUP(E191,'ALIM AYARLARI'!$A$4:$D$20,3,FALSE)="EVET",'GİDER AYARLARI'!$B$4,0),0))</f>
      </c>
      <c r="K191" s="13">
        <f>IF(F191="","",'GİDER AYARLARI'!$B$5)</f>
      </c>
      <c r="L191" s="13">
        <f>IF(F191="","",'GİDER AYARLARI'!$B$6)</f>
      </c>
      <c r="M191" s="13">
        <f>IF(F191="","",IFERROR(IF(VLOOKUP(E191,'ALIM AYARLARI'!$A$4:$D$20,3,FALSE)="EVET",'GİDER AYARLARI'!$B$7,0),0))</f>
      </c>
      <c r="N191" s="3"/>
      <c r="O191" s="13">
        <f>IF(OR(F191="",I191=""),"",IFERROR(IF(VLOOKUP(E191,'ALIM AYARLARI'!$A$4:$D$20,2,FALSE)="EVET",F191*'GİDER AYARLARI'!$B$8*I191/30,0),0))</f>
      </c>
      <c r="P191" s="14">
        <f>IF(F191="","",SUM(J191:O191))</f>
      </c>
      <c r="Q191" s="14">
        <f>IF(F191="","",F191+P191)</f>
      </c>
      <c r="R191" s="2"/>
      <c r="S191" s="2"/>
      <c r="T191" s="3"/>
      <c r="U191" s="14">
        <f>IF(OR(F191="",T191=""),"",T191-F191)</f>
      </c>
      <c r="V191" s="14">
        <f>IF(T191="","",T191-Q191)</f>
      </c>
      <c r="W191" s="15">
        <f>IFERROR(V191/T191,"")</f>
      </c>
      <c r="X191" s="12">
        <f>IF(F191="","",IF(H191="","STOKTA","SATILDI"))</f>
      </c>
      <c r="Y191" s="2"/>
      <c r="Z191" s="3"/>
      <c r="AA191" s="3"/>
      <c r="AB191" s="3"/>
      <c r="AC191" s="14">
        <f>IF(F191="","",SUM(Z191:AB191))</f>
      </c>
      <c r="AD191" s="14">
        <f>IF(T191="","",V191+AC191)</f>
      </c>
    </row>
    <row r="192" spans="1:30">
      <c r="A192">
        <f>IF(D192="","",ROW()-3)</f>
      </c>
      <c r="B192" s="2"/>
      <c r="C192" s="18"/>
      <c r="D192" s="2"/>
      <c r="E192" s="2"/>
      <c r="F192" s="3"/>
      <c r="G192" s="16"/>
      <c r="H192" s="16"/>
      <c r="I192" s="17">
        <f>IF(G192="","",IF(H192="",TODAY()-G192,H192-G192))</f>
      </c>
      <c r="J192" s="13">
        <f>IF(F192="","",IFERROR(IF(VLOOKUP(E192,'ALIM AYARLARI'!$A$4:$D$20,3,FALSE)="EVET",'GİDER AYARLARI'!$B$4,0),0))</f>
      </c>
      <c r="K192" s="13">
        <f>IF(F192="","",'GİDER AYARLARI'!$B$5)</f>
      </c>
      <c r="L192" s="13">
        <f>IF(F192="","",'GİDER AYARLARI'!$B$6)</f>
      </c>
      <c r="M192" s="13">
        <f>IF(F192="","",IFERROR(IF(VLOOKUP(E192,'ALIM AYARLARI'!$A$4:$D$20,3,FALSE)="EVET",'GİDER AYARLARI'!$B$7,0),0))</f>
      </c>
      <c r="N192" s="3"/>
      <c r="O192" s="13">
        <f>IF(OR(F192="",I192=""),"",IFERROR(IF(VLOOKUP(E192,'ALIM AYARLARI'!$A$4:$D$20,2,FALSE)="EVET",F192*'GİDER AYARLARI'!$B$8*I192/30,0),0))</f>
      </c>
      <c r="P192" s="14">
        <f>IF(F192="","",SUM(J192:O192))</f>
      </c>
      <c r="Q192" s="14">
        <f>IF(F192="","",F192+P192)</f>
      </c>
      <c r="R192" s="2"/>
      <c r="S192" s="2"/>
      <c r="T192" s="3"/>
      <c r="U192" s="14">
        <f>IF(OR(F192="",T192=""),"",T192-F192)</f>
      </c>
      <c r="V192" s="14">
        <f>IF(T192="","",T192-Q192)</f>
      </c>
      <c r="W192" s="15">
        <f>IFERROR(V192/T192,"")</f>
      </c>
      <c r="X192" s="12">
        <f>IF(F192="","",IF(H192="","STOKTA","SATILDI"))</f>
      </c>
      <c r="Y192" s="2"/>
      <c r="Z192" s="3"/>
      <c r="AA192" s="3"/>
      <c r="AB192" s="3"/>
      <c r="AC192" s="14">
        <f>IF(F192="","",SUM(Z192:AB192))</f>
      </c>
      <c r="AD192" s="14">
        <f>IF(T192="","",V192+AC192)</f>
      </c>
    </row>
    <row r="193" spans="1:30">
      <c r="A193">
        <f>IF(D193="","",ROW()-3)</f>
      </c>
      <c r="B193" s="2"/>
      <c r="C193" s="18"/>
      <c r="D193" s="2"/>
      <c r="E193" s="2"/>
      <c r="F193" s="3"/>
      <c r="G193" s="16"/>
      <c r="H193" s="16"/>
      <c r="I193" s="17">
        <f>IF(G193="","",IF(H193="",TODAY()-G193,H193-G193))</f>
      </c>
      <c r="J193" s="13">
        <f>IF(F193="","",IFERROR(IF(VLOOKUP(E193,'ALIM AYARLARI'!$A$4:$D$20,3,FALSE)="EVET",'GİDER AYARLARI'!$B$4,0),0))</f>
      </c>
      <c r="K193" s="13">
        <f>IF(F193="","",'GİDER AYARLARI'!$B$5)</f>
      </c>
      <c r="L193" s="13">
        <f>IF(F193="","",'GİDER AYARLARI'!$B$6)</f>
      </c>
      <c r="M193" s="13">
        <f>IF(F193="","",IFERROR(IF(VLOOKUP(E193,'ALIM AYARLARI'!$A$4:$D$20,3,FALSE)="EVET",'GİDER AYARLARI'!$B$7,0),0))</f>
      </c>
      <c r="N193" s="3"/>
      <c r="O193" s="13">
        <f>IF(OR(F193="",I193=""),"",IFERROR(IF(VLOOKUP(E193,'ALIM AYARLARI'!$A$4:$D$20,2,FALSE)="EVET",F193*'GİDER AYARLARI'!$B$8*I193/30,0),0))</f>
      </c>
      <c r="P193" s="14">
        <f>IF(F193="","",SUM(J193:O193))</f>
      </c>
      <c r="Q193" s="14">
        <f>IF(F193="","",F193+P193)</f>
      </c>
      <c r="R193" s="2"/>
      <c r="S193" s="2"/>
      <c r="T193" s="3"/>
      <c r="U193" s="14">
        <f>IF(OR(F193="",T193=""),"",T193-F193)</f>
      </c>
      <c r="V193" s="14">
        <f>IF(T193="","",T193-Q193)</f>
      </c>
      <c r="W193" s="15">
        <f>IFERROR(V193/T193,"")</f>
      </c>
      <c r="X193" s="12">
        <f>IF(F193="","",IF(H193="","STOKTA","SATILDI"))</f>
      </c>
      <c r="Y193" s="2"/>
      <c r="Z193" s="3"/>
      <c r="AA193" s="3"/>
      <c r="AB193" s="3"/>
      <c r="AC193" s="14">
        <f>IF(F193="","",SUM(Z193:AB193))</f>
      </c>
      <c r="AD193" s="14">
        <f>IF(T193="","",V193+AC193)</f>
      </c>
    </row>
    <row r="194" spans="1:30">
      <c r="A194">
        <f>IF(D194="","",ROW()-3)</f>
      </c>
      <c r="B194" s="2"/>
      <c r="C194" s="18"/>
      <c r="D194" s="2"/>
      <c r="E194" s="2"/>
      <c r="F194" s="3"/>
      <c r="G194" s="16"/>
      <c r="H194" s="16"/>
      <c r="I194" s="17">
        <f>IF(G194="","",IF(H194="",TODAY()-G194,H194-G194))</f>
      </c>
      <c r="J194" s="13">
        <f>IF(F194="","",IFERROR(IF(VLOOKUP(E194,'ALIM AYARLARI'!$A$4:$D$20,3,FALSE)="EVET",'GİDER AYARLARI'!$B$4,0),0))</f>
      </c>
      <c r="K194" s="13">
        <f>IF(F194="","",'GİDER AYARLARI'!$B$5)</f>
      </c>
      <c r="L194" s="13">
        <f>IF(F194="","",'GİDER AYARLARI'!$B$6)</f>
      </c>
      <c r="M194" s="13">
        <f>IF(F194="","",IFERROR(IF(VLOOKUP(E194,'ALIM AYARLARI'!$A$4:$D$20,3,FALSE)="EVET",'GİDER AYARLARI'!$B$7,0),0))</f>
      </c>
      <c r="N194" s="3"/>
      <c r="O194" s="13">
        <f>IF(OR(F194="",I194=""),"",IFERROR(IF(VLOOKUP(E194,'ALIM AYARLARI'!$A$4:$D$20,2,FALSE)="EVET",F194*'GİDER AYARLARI'!$B$8*I194/30,0),0))</f>
      </c>
      <c r="P194" s="14">
        <f>IF(F194="","",SUM(J194:O194))</f>
      </c>
      <c r="Q194" s="14">
        <f>IF(F194="","",F194+P194)</f>
      </c>
      <c r="R194" s="2"/>
      <c r="S194" s="2"/>
      <c r="T194" s="3"/>
      <c r="U194" s="14">
        <f>IF(OR(F194="",T194=""),"",T194-F194)</f>
      </c>
      <c r="V194" s="14">
        <f>IF(T194="","",T194-Q194)</f>
      </c>
      <c r="W194" s="15">
        <f>IFERROR(V194/T194,"")</f>
      </c>
      <c r="X194" s="12">
        <f>IF(F194="","",IF(H194="","STOKTA","SATILDI"))</f>
      </c>
      <c r="Y194" s="2"/>
      <c r="Z194" s="3"/>
      <c r="AA194" s="3"/>
      <c r="AB194" s="3"/>
      <c r="AC194" s="14">
        <f>IF(F194="","",SUM(Z194:AB194))</f>
      </c>
      <c r="AD194" s="14">
        <f>IF(T194="","",V194+AC194)</f>
      </c>
    </row>
    <row r="195" spans="1:30">
      <c r="A195">
        <f>IF(D195="","",ROW()-3)</f>
      </c>
      <c r="B195" s="2"/>
      <c r="C195" s="18"/>
      <c r="D195" s="2"/>
      <c r="E195" s="2"/>
      <c r="F195" s="3"/>
      <c r="G195" s="16"/>
      <c r="H195" s="16"/>
      <c r="I195" s="17">
        <f>IF(G195="","",IF(H195="",TODAY()-G195,H195-G195))</f>
      </c>
      <c r="J195" s="13">
        <f>IF(F195="","",IFERROR(IF(VLOOKUP(E195,'ALIM AYARLARI'!$A$4:$D$20,3,FALSE)="EVET",'GİDER AYARLARI'!$B$4,0),0))</f>
      </c>
      <c r="K195" s="13">
        <f>IF(F195="","",'GİDER AYARLARI'!$B$5)</f>
      </c>
      <c r="L195" s="13">
        <f>IF(F195="","",'GİDER AYARLARI'!$B$6)</f>
      </c>
      <c r="M195" s="13">
        <f>IF(F195="","",IFERROR(IF(VLOOKUP(E195,'ALIM AYARLARI'!$A$4:$D$20,3,FALSE)="EVET",'GİDER AYARLARI'!$B$7,0),0))</f>
      </c>
      <c r="N195" s="3"/>
      <c r="O195" s="13">
        <f>IF(OR(F195="",I195=""),"",IFERROR(IF(VLOOKUP(E195,'ALIM AYARLARI'!$A$4:$D$20,2,FALSE)="EVET",F195*'GİDER AYARLARI'!$B$8*I195/30,0),0))</f>
      </c>
      <c r="P195" s="14">
        <f>IF(F195="","",SUM(J195:O195))</f>
      </c>
      <c r="Q195" s="14">
        <f>IF(F195="","",F195+P195)</f>
      </c>
      <c r="R195" s="2"/>
      <c r="S195" s="2"/>
      <c r="T195" s="3"/>
      <c r="U195" s="14">
        <f>IF(OR(F195="",T195=""),"",T195-F195)</f>
      </c>
      <c r="V195" s="14">
        <f>IF(T195="","",T195-Q195)</f>
      </c>
      <c r="W195" s="15">
        <f>IFERROR(V195/T195,"")</f>
      </c>
      <c r="X195" s="12">
        <f>IF(F195="","",IF(H195="","STOKTA","SATILDI"))</f>
      </c>
      <c r="Y195" s="2"/>
      <c r="Z195" s="3"/>
      <c r="AA195" s="3"/>
      <c r="AB195" s="3"/>
      <c r="AC195" s="14">
        <f>IF(F195="","",SUM(Z195:AB195))</f>
      </c>
      <c r="AD195" s="14">
        <f>IF(T195="","",V195+AC195)</f>
      </c>
    </row>
    <row r="196" spans="1:30">
      <c r="A196">
        <f>IF(D196="","",ROW()-3)</f>
      </c>
      <c r="B196" s="2"/>
      <c r="C196" s="18"/>
      <c r="D196" s="2"/>
      <c r="E196" s="2"/>
      <c r="F196" s="3"/>
      <c r="G196" s="16"/>
      <c r="H196" s="16"/>
      <c r="I196" s="17">
        <f>IF(G196="","",IF(H196="",TODAY()-G196,H196-G196))</f>
      </c>
      <c r="J196" s="13">
        <f>IF(F196="","",IFERROR(IF(VLOOKUP(E196,'ALIM AYARLARI'!$A$4:$D$20,3,FALSE)="EVET",'GİDER AYARLARI'!$B$4,0),0))</f>
      </c>
      <c r="K196" s="13">
        <f>IF(F196="","",'GİDER AYARLARI'!$B$5)</f>
      </c>
      <c r="L196" s="13">
        <f>IF(F196="","",'GİDER AYARLARI'!$B$6)</f>
      </c>
      <c r="M196" s="13">
        <f>IF(F196="","",IFERROR(IF(VLOOKUP(E196,'ALIM AYARLARI'!$A$4:$D$20,3,FALSE)="EVET",'GİDER AYARLARI'!$B$7,0),0))</f>
      </c>
      <c r="N196" s="3"/>
      <c r="O196" s="13">
        <f>IF(OR(F196="",I196=""),"",IFERROR(IF(VLOOKUP(E196,'ALIM AYARLARI'!$A$4:$D$20,2,FALSE)="EVET",F196*'GİDER AYARLARI'!$B$8*I196/30,0),0))</f>
      </c>
      <c r="P196" s="14">
        <f>IF(F196="","",SUM(J196:O196))</f>
      </c>
      <c r="Q196" s="14">
        <f>IF(F196="","",F196+P196)</f>
      </c>
      <c r="R196" s="2"/>
      <c r="S196" s="2"/>
      <c r="T196" s="3"/>
      <c r="U196" s="14">
        <f>IF(OR(F196="",T196=""),"",T196-F196)</f>
      </c>
      <c r="V196" s="14">
        <f>IF(T196="","",T196-Q196)</f>
      </c>
      <c r="W196" s="15">
        <f>IFERROR(V196/T196,"")</f>
      </c>
      <c r="X196" s="12">
        <f>IF(F196="","",IF(H196="","STOKTA","SATILDI"))</f>
      </c>
      <c r="Y196" s="2"/>
      <c r="Z196" s="3"/>
      <c r="AA196" s="3"/>
      <c r="AB196" s="3"/>
      <c r="AC196" s="14">
        <f>IF(F196="","",SUM(Z196:AB196))</f>
      </c>
      <c r="AD196" s="14">
        <f>IF(T196="","",V196+AC196)</f>
      </c>
    </row>
    <row r="197" spans="1:30">
      <c r="A197">
        <f>IF(D197="","",ROW()-3)</f>
      </c>
      <c r="B197" s="2"/>
      <c r="C197" s="18"/>
      <c r="D197" s="2"/>
      <c r="E197" s="2"/>
      <c r="F197" s="3"/>
      <c r="G197" s="16"/>
      <c r="H197" s="16"/>
      <c r="I197" s="17">
        <f>IF(G197="","",IF(H197="",TODAY()-G197,H197-G197))</f>
      </c>
      <c r="J197" s="13">
        <f>IF(F197="","",IFERROR(IF(VLOOKUP(E197,'ALIM AYARLARI'!$A$4:$D$20,3,FALSE)="EVET",'GİDER AYARLARI'!$B$4,0),0))</f>
      </c>
      <c r="K197" s="13">
        <f>IF(F197="","",'GİDER AYARLARI'!$B$5)</f>
      </c>
      <c r="L197" s="13">
        <f>IF(F197="","",'GİDER AYARLARI'!$B$6)</f>
      </c>
      <c r="M197" s="13">
        <f>IF(F197="","",IFERROR(IF(VLOOKUP(E197,'ALIM AYARLARI'!$A$4:$D$20,3,FALSE)="EVET",'GİDER AYARLARI'!$B$7,0),0))</f>
      </c>
      <c r="N197" s="3"/>
      <c r="O197" s="13">
        <f>IF(OR(F197="",I197=""),"",IFERROR(IF(VLOOKUP(E197,'ALIM AYARLARI'!$A$4:$D$20,2,FALSE)="EVET",F197*'GİDER AYARLARI'!$B$8*I197/30,0),0))</f>
      </c>
      <c r="P197" s="14">
        <f>IF(F197="","",SUM(J197:O197))</f>
      </c>
      <c r="Q197" s="14">
        <f>IF(F197="","",F197+P197)</f>
      </c>
      <c r="R197" s="2"/>
      <c r="S197" s="2"/>
      <c r="T197" s="3"/>
      <c r="U197" s="14">
        <f>IF(OR(F197="",T197=""),"",T197-F197)</f>
      </c>
      <c r="V197" s="14">
        <f>IF(T197="","",T197-Q197)</f>
      </c>
      <c r="W197" s="15">
        <f>IFERROR(V197/T197,"")</f>
      </c>
      <c r="X197" s="12">
        <f>IF(F197="","",IF(H197="","STOKTA","SATILDI"))</f>
      </c>
      <c r="Y197" s="2"/>
      <c r="Z197" s="3"/>
      <c r="AA197" s="3"/>
      <c r="AB197" s="3"/>
      <c r="AC197" s="14">
        <f>IF(F197="","",SUM(Z197:AB197))</f>
      </c>
      <c r="AD197" s="14">
        <f>IF(T197="","",V197+AC197)</f>
      </c>
    </row>
    <row r="198" spans="1:30">
      <c r="A198">
        <f>IF(D198="","",ROW()-3)</f>
      </c>
      <c r="B198" s="2"/>
      <c r="C198" s="18"/>
      <c r="D198" s="2"/>
      <c r="E198" s="2"/>
      <c r="F198" s="3"/>
      <c r="G198" s="16"/>
      <c r="H198" s="16"/>
      <c r="I198" s="17">
        <f>IF(G198="","",IF(H198="",TODAY()-G198,H198-G198))</f>
      </c>
      <c r="J198" s="13">
        <f>IF(F198="","",IFERROR(IF(VLOOKUP(E198,'ALIM AYARLARI'!$A$4:$D$20,3,FALSE)="EVET",'GİDER AYARLARI'!$B$4,0),0))</f>
      </c>
      <c r="K198" s="13">
        <f>IF(F198="","",'GİDER AYARLARI'!$B$5)</f>
      </c>
      <c r="L198" s="13">
        <f>IF(F198="","",'GİDER AYARLARI'!$B$6)</f>
      </c>
      <c r="M198" s="13">
        <f>IF(F198="","",IFERROR(IF(VLOOKUP(E198,'ALIM AYARLARI'!$A$4:$D$20,3,FALSE)="EVET",'GİDER AYARLARI'!$B$7,0),0))</f>
      </c>
      <c r="N198" s="3"/>
      <c r="O198" s="13">
        <f>IF(OR(F198="",I198=""),"",IFERROR(IF(VLOOKUP(E198,'ALIM AYARLARI'!$A$4:$D$20,2,FALSE)="EVET",F198*'GİDER AYARLARI'!$B$8*I198/30,0),0))</f>
      </c>
      <c r="P198" s="14">
        <f>IF(F198="","",SUM(J198:O198))</f>
      </c>
      <c r="Q198" s="14">
        <f>IF(F198="","",F198+P198)</f>
      </c>
      <c r="R198" s="2"/>
      <c r="S198" s="2"/>
      <c r="T198" s="3"/>
      <c r="U198" s="14">
        <f>IF(OR(F198="",T198=""),"",T198-F198)</f>
      </c>
      <c r="V198" s="14">
        <f>IF(T198="","",T198-Q198)</f>
      </c>
      <c r="W198" s="15">
        <f>IFERROR(V198/T198,"")</f>
      </c>
      <c r="X198" s="12">
        <f>IF(F198="","",IF(H198="","STOKTA","SATILDI"))</f>
      </c>
      <c r="Y198" s="2"/>
      <c r="Z198" s="3"/>
      <c r="AA198" s="3"/>
      <c r="AB198" s="3"/>
      <c r="AC198" s="14">
        <f>IF(F198="","",SUM(Z198:AB198))</f>
      </c>
      <c r="AD198" s="14">
        <f>IF(T198="","",V198+AC198)</f>
      </c>
    </row>
    <row r="199" spans="1:30">
      <c r="A199">
        <f>IF(D199="","",ROW()-3)</f>
      </c>
      <c r="B199" s="2"/>
      <c r="C199" s="18"/>
      <c r="D199" s="2"/>
      <c r="E199" s="2"/>
      <c r="F199" s="3"/>
      <c r="G199" s="16"/>
      <c r="H199" s="16"/>
      <c r="I199" s="17">
        <f>IF(G199="","",IF(H199="",TODAY()-G199,H199-G199))</f>
      </c>
      <c r="J199" s="13">
        <f>IF(F199="","",IFERROR(IF(VLOOKUP(E199,'ALIM AYARLARI'!$A$4:$D$20,3,FALSE)="EVET",'GİDER AYARLARI'!$B$4,0),0))</f>
      </c>
      <c r="K199" s="13">
        <f>IF(F199="","",'GİDER AYARLARI'!$B$5)</f>
      </c>
      <c r="L199" s="13">
        <f>IF(F199="","",'GİDER AYARLARI'!$B$6)</f>
      </c>
      <c r="M199" s="13">
        <f>IF(F199="","",IFERROR(IF(VLOOKUP(E199,'ALIM AYARLARI'!$A$4:$D$20,3,FALSE)="EVET",'GİDER AYARLARI'!$B$7,0),0))</f>
      </c>
      <c r="N199" s="3"/>
      <c r="O199" s="13">
        <f>IF(OR(F199="",I199=""),"",IFERROR(IF(VLOOKUP(E199,'ALIM AYARLARI'!$A$4:$D$20,2,FALSE)="EVET",F199*'GİDER AYARLARI'!$B$8*I199/30,0),0))</f>
      </c>
      <c r="P199" s="14">
        <f>IF(F199="","",SUM(J199:O199))</f>
      </c>
      <c r="Q199" s="14">
        <f>IF(F199="","",F199+P199)</f>
      </c>
      <c r="R199" s="2"/>
      <c r="S199" s="2"/>
      <c r="T199" s="3"/>
      <c r="U199" s="14">
        <f>IF(OR(F199="",T199=""),"",T199-F199)</f>
      </c>
      <c r="V199" s="14">
        <f>IF(T199="","",T199-Q199)</f>
      </c>
      <c r="W199" s="15">
        <f>IFERROR(V199/T199,"")</f>
      </c>
      <c r="X199" s="12">
        <f>IF(F199="","",IF(H199="","STOKTA","SATILDI"))</f>
      </c>
      <c r="Y199" s="2"/>
      <c r="Z199" s="3"/>
      <c r="AA199" s="3"/>
      <c r="AB199" s="3"/>
      <c r="AC199" s="14">
        <f>IF(F199="","",SUM(Z199:AB199))</f>
      </c>
      <c r="AD199" s="14">
        <f>IF(T199="","",V199+AC199)</f>
      </c>
    </row>
    <row r="200" spans="1:30">
      <c r="A200">
        <f>IF(D200="","",ROW()-3)</f>
      </c>
      <c r="B200" s="2"/>
      <c r="C200" s="18"/>
      <c r="D200" s="2"/>
      <c r="E200" s="2"/>
      <c r="F200" s="3"/>
      <c r="G200" s="16"/>
      <c r="H200" s="16"/>
      <c r="I200" s="17">
        <f>IF(G200="","",IF(H200="",TODAY()-G200,H200-G200))</f>
      </c>
      <c r="J200" s="13">
        <f>IF(F200="","",IFERROR(IF(VLOOKUP(E200,'ALIM AYARLARI'!$A$4:$D$20,3,FALSE)="EVET",'GİDER AYARLARI'!$B$4,0),0))</f>
      </c>
      <c r="K200" s="13">
        <f>IF(F200="","",'GİDER AYARLARI'!$B$5)</f>
      </c>
      <c r="L200" s="13">
        <f>IF(F200="","",'GİDER AYARLARI'!$B$6)</f>
      </c>
      <c r="M200" s="13">
        <f>IF(F200="","",IFERROR(IF(VLOOKUP(E200,'ALIM AYARLARI'!$A$4:$D$20,3,FALSE)="EVET",'GİDER AYARLARI'!$B$7,0),0))</f>
      </c>
      <c r="N200" s="3"/>
      <c r="O200" s="13">
        <f>IF(OR(F200="",I200=""),"",IFERROR(IF(VLOOKUP(E200,'ALIM AYARLARI'!$A$4:$D$20,2,FALSE)="EVET",F200*'GİDER AYARLARI'!$B$8*I200/30,0),0))</f>
      </c>
      <c r="P200" s="14">
        <f>IF(F200="","",SUM(J200:O200))</f>
      </c>
      <c r="Q200" s="14">
        <f>IF(F200="","",F200+P200)</f>
      </c>
      <c r="R200" s="2"/>
      <c r="S200" s="2"/>
      <c r="T200" s="3"/>
      <c r="U200" s="14">
        <f>IF(OR(F200="",T200=""),"",T200-F200)</f>
      </c>
      <c r="V200" s="14">
        <f>IF(T200="","",T200-Q200)</f>
      </c>
      <c r="W200" s="15">
        <f>IFERROR(V200/T200,"")</f>
      </c>
      <c r="X200" s="12">
        <f>IF(F200="","",IF(H200="","STOKTA","SATILDI"))</f>
      </c>
      <c r="Y200" s="2"/>
      <c r="Z200" s="3"/>
      <c r="AA200" s="3"/>
      <c r="AB200" s="3"/>
      <c r="AC200" s="14">
        <f>IF(F200="","",SUM(Z200:AB200))</f>
      </c>
      <c r="AD200" s="14">
        <f>IF(T200="","",V200+AC200)</f>
      </c>
    </row>
    <row r="201" spans="1:30">
      <c r="A201">
        <f>IF(D201="","",ROW()-3)</f>
      </c>
      <c r="B201" s="2"/>
      <c r="C201" s="18"/>
      <c r="D201" s="2"/>
      <c r="E201" s="2"/>
      <c r="F201" s="3"/>
      <c r="G201" s="16"/>
      <c r="H201" s="16"/>
      <c r="I201" s="17">
        <f>IF(G201="","",IF(H201="",TODAY()-G201,H201-G201))</f>
      </c>
      <c r="J201" s="13">
        <f>IF(F201="","",IFERROR(IF(VLOOKUP(E201,'ALIM AYARLARI'!$A$4:$D$20,3,FALSE)="EVET",'GİDER AYARLARI'!$B$4,0),0))</f>
      </c>
      <c r="K201" s="13">
        <f>IF(F201="","",'GİDER AYARLARI'!$B$5)</f>
      </c>
      <c r="L201" s="13">
        <f>IF(F201="","",'GİDER AYARLARI'!$B$6)</f>
      </c>
      <c r="M201" s="13">
        <f>IF(F201="","",IFERROR(IF(VLOOKUP(E201,'ALIM AYARLARI'!$A$4:$D$20,3,FALSE)="EVET",'GİDER AYARLARI'!$B$7,0),0))</f>
      </c>
      <c r="N201" s="3"/>
      <c r="O201" s="13">
        <f>IF(OR(F201="",I201=""),"",IFERROR(IF(VLOOKUP(E201,'ALIM AYARLARI'!$A$4:$D$20,2,FALSE)="EVET",F201*'GİDER AYARLARI'!$B$8*I201/30,0),0))</f>
      </c>
      <c r="P201" s="14">
        <f>IF(F201="","",SUM(J201:O201))</f>
      </c>
      <c r="Q201" s="14">
        <f>IF(F201="","",F201+P201)</f>
      </c>
      <c r="R201" s="2"/>
      <c r="S201" s="2"/>
      <c r="T201" s="3"/>
      <c r="U201" s="14">
        <f>IF(OR(F201="",T201=""),"",T201-F201)</f>
      </c>
      <c r="V201" s="14">
        <f>IF(T201="","",T201-Q201)</f>
      </c>
      <c r="W201" s="15">
        <f>IFERROR(V201/T201,"")</f>
      </c>
      <c r="X201" s="12">
        <f>IF(F201="","",IF(H201="","STOKTA","SATILDI"))</f>
      </c>
      <c r="Y201" s="2"/>
      <c r="Z201" s="3"/>
      <c r="AA201" s="3"/>
      <c r="AB201" s="3"/>
      <c r="AC201" s="14">
        <f>IF(F201="","",SUM(Z201:AB201))</f>
      </c>
      <c r="AD201" s="14">
        <f>IF(T201="","",V201+AC201)</f>
      </c>
    </row>
    <row r="202" spans="1:30">
      <c r="A202">
        <f>IF(D202="","",ROW()-3)</f>
      </c>
      <c r="B202" s="2"/>
      <c r="C202" s="18"/>
      <c r="D202" s="2"/>
      <c r="E202" s="2"/>
      <c r="F202" s="3"/>
      <c r="G202" s="16"/>
      <c r="H202" s="16"/>
      <c r="I202" s="17">
        <f>IF(G202="","",IF(H202="",TODAY()-G202,H202-G202))</f>
      </c>
      <c r="J202" s="13">
        <f>IF(F202="","",IFERROR(IF(VLOOKUP(E202,'ALIM AYARLARI'!$A$4:$D$20,3,FALSE)="EVET",'GİDER AYARLARI'!$B$4,0),0))</f>
      </c>
      <c r="K202" s="13">
        <f>IF(F202="","",'GİDER AYARLARI'!$B$5)</f>
      </c>
      <c r="L202" s="13">
        <f>IF(F202="","",'GİDER AYARLARI'!$B$6)</f>
      </c>
      <c r="M202" s="13">
        <f>IF(F202="","",IFERROR(IF(VLOOKUP(E202,'ALIM AYARLARI'!$A$4:$D$20,3,FALSE)="EVET",'GİDER AYARLARI'!$B$7,0),0))</f>
      </c>
      <c r="N202" s="3"/>
      <c r="O202" s="13">
        <f>IF(OR(F202="",I202=""),"",IFERROR(IF(VLOOKUP(E202,'ALIM AYARLARI'!$A$4:$D$20,2,FALSE)="EVET",F202*'GİDER AYARLARI'!$B$8*I202/30,0),0))</f>
      </c>
      <c r="P202" s="14">
        <f>IF(F202="","",SUM(J202:O202))</f>
      </c>
      <c r="Q202" s="14">
        <f>IF(F202="","",F202+P202)</f>
      </c>
      <c r="R202" s="2"/>
      <c r="S202" s="2"/>
      <c r="T202" s="3"/>
      <c r="U202" s="14">
        <f>IF(OR(F202="",T202=""),"",T202-F202)</f>
      </c>
      <c r="V202" s="14">
        <f>IF(T202="","",T202-Q202)</f>
      </c>
      <c r="W202" s="15">
        <f>IFERROR(V202/T202,"")</f>
      </c>
      <c r="X202" s="12">
        <f>IF(F202="","",IF(H202="","STOKTA","SATILDI"))</f>
      </c>
      <c r="Y202" s="2"/>
      <c r="Z202" s="3"/>
      <c r="AA202" s="3"/>
      <c r="AB202" s="3"/>
      <c r="AC202" s="14">
        <f>IF(F202="","",SUM(Z202:AB202))</f>
      </c>
      <c r="AD202" s="14">
        <f>IF(T202="","",V202+AC202)</f>
      </c>
    </row>
    <row r="203" spans="1:30">
      <c r="A203">
        <f>IF(D203="","",ROW()-3)</f>
      </c>
      <c r="B203" s="2"/>
      <c r="C203" s="18"/>
      <c r="D203" s="2"/>
      <c r="E203" s="2"/>
      <c r="F203" s="3"/>
      <c r="G203" s="16"/>
      <c r="H203" s="16"/>
      <c r="I203" s="17">
        <f>IF(G203="","",IF(H203="",TODAY()-G203,H203-G203))</f>
      </c>
      <c r="J203" s="13">
        <f>IF(F203="","",IFERROR(IF(VLOOKUP(E203,'ALIM AYARLARI'!$A$4:$D$20,3,FALSE)="EVET",'GİDER AYARLARI'!$B$4,0),0))</f>
      </c>
      <c r="K203" s="13">
        <f>IF(F203="","",'GİDER AYARLARI'!$B$5)</f>
      </c>
      <c r="L203" s="13">
        <f>IF(F203="","",'GİDER AYARLARI'!$B$6)</f>
      </c>
      <c r="M203" s="13">
        <f>IF(F203="","",IFERROR(IF(VLOOKUP(E203,'ALIM AYARLARI'!$A$4:$D$20,3,FALSE)="EVET",'GİDER AYARLARI'!$B$7,0),0))</f>
      </c>
      <c r="N203" s="3"/>
      <c r="O203" s="13">
        <f>IF(OR(F203="",I203=""),"",IFERROR(IF(VLOOKUP(E203,'ALIM AYARLARI'!$A$4:$D$20,2,FALSE)="EVET",F203*'GİDER AYARLARI'!$B$8*I203/30,0),0))</f>
      </c>
      <c r="P203" s="14">
        <f>IF(F203="","",SUM(J203:O203))</f>
      </c>
      <c r="Q203" s="14">
        <f>IF(F203="","",F203+P203)</f>
      </c>
      <c r="R203" s="2"/>
      <c r="S203" s="2"/>
      <c r="T203" s="3"/>
      <c r="U203" s="14">
        <f>IF(OR(F203="",T203=""),"",T203-F203)</f>
      </c>
      <c r="V203" s="14">
        <f>IF(T203="","",T203-Q203)</f>
      </c>
      <c r="W203" s="15">
        <f>IFERROR(V203/T203,"")</f>
      </c>
      <c r="X203" s="12">
        <f>IF(F203="","",IF(H203="","STOKTA","SATILDI"))</f>
      </c>
      <c r="Y203" s="2"/>
      <c r="Z203" s="3"/>
      <c r="AA203" s="3"/>
      <c r="AB203" s="3"/>
      <c r="AC203" s="14">
        <f>IF(F203="","",SUM(Z203:AB203))</f>
      </c>
      <c r="AD203" s="14">
        <f>IF(T203="","",V203+AC203)</f>
      </c>
    </row>
    <row r="204" spans="1:30">
      <c r="A204">
        <f>IF(D204="","",ROW()-3)</f>
      </c>
      <c r="B204" s="2"/>
      <c r="C204" s="18"/>
      <c r="D204" s="2"/>
      <c r="E204" s="2"/>
      <c r="F204" s="3"/>
      <c r="G204" s="16"/>
      <c r="H204" s="16"/>
      <c r="I204" s="17">
        <f>IF(G204="","",IF(H204="",TODAY()-G204,H204-G204))</f>
      </c>
      <c r="J204" s="13">
        <f>IF(F204="","",IFERROR(IF(VLOOKUP(E204,'ALIM AYARLARI'!$A$4:$D$20,3,FALSE)="EVET",'GİDER AYARLARI'!$B$4,0),0))</f>
      </c>
      <c r="K204" s="13">
        <f>IF(F204="","",'GİDER AYARLARI'!$B$5)</f>
      </c>
      <c r="L204" s="13">
        <f>IF(F204="","",'GİDER AYARLARI'!$B$6)</f>
      </c>
      <c r="M204" s="13">
        <f>IF(F204="","",IFERROR(IF(VLOOKUP(E204,'ALIM AYARLARI'!$A$4:$D$20,3,FALSE)="EVET",'GİDER AYARLARI'!$B$7,0),0))</f>
      </c>
      <c r="N204" s="3"/>
      <c r="O204" s="13">
        <f>IF(OR(F204="",I204=""),"",IFERROR(IF(VLOOKUP(E204,'ALIM AYARLARI'!$A$4:$D$20,2,FALSE)="EVET",F204*'GİDER AYARLARI'!$B$8*I204/30,0),0))</f>
      </c>
      <c r="P204" s="14">
        <f>IF(F204="","",SUM(J204:O204))</f>
      </c>
      <c r="Q204" s="14">
        <f>IF(F204="","",F204+P204)</f>
      </c>
      <c r="R204" s="2"/>
      <c r="S204" s="2"/>
      <c r="T204" s="3"/>
      <c r="U204" s="14">
        <f>IF(OR(F204="",T204=""),"",T204-F204)</f>
      </c>
      <c r="V204" s="14">
        <f>IF(T204="","",T204-Q204)</f>
      </c>
      <c r="W204" s="15">
        <f>IFERROR(V204/T204,"")</f>
      </c>
      <c r="X204" s="12">
        <f>IF(F204="","",IF(H204="","STOKTA","SATILDI"))</f>
      </c>
      <c r="Y204" s="2"/>
      <c r="Z204" s="3"/>
      <c r="AA204" s="3"/>
      <c r="AB204" s="3"/>
      <c r="AC204" s="14">
        <f>IF(F204="","",SUM(Z204:AB204))</f>
      </c>
      <c r="AD204" s="14">
        <f>IF(T204="","",V204+AC204)</f>
      </c>
    </row>
    <row r="205" spans="1:30">
      <c r="A205">
        <f>IF(D205="","",ROW()-3)</f>
      </c>
      <c r="B205" s="2"/>
      <c r="C205" s="18"/>
      <c r="D205" s="2"/>
      <c r="E205" s="2"/>
      <c r="F205" s="3"/>
      <c r="G205" s="16"/>
      <c r="H205" s="16"/>
      <c r="I205" s="17">
        <f>IF(G205="","",IF(H205="",TODAY()-G205,H205-G205))</f>
      </c>
      <c r="J205" s="13">
        <f>IF(F205="","",IFERROR(IF(VLOOKUP(E205,'ALIM AYARLARI'!$A$4:$D$20,3,FALSE)="EVET",'GİDER AYARLARI'!$B$4,0),0))</f>
      </c>
      <c r="K205" s="13">
        <f>IF(F205="","",'GİDER AYARLARI'!$B$5)</f>
      </c>
      <c r="L205" s="13">
        <f>IF(F205="","",'GİDER AYARLARI'!$B$6)</f>
      </c>
      <c r="M205" s="13">
        <f>IF(F205="","",IFERROR(IF(VLOOKUP(E205,'ALIM AYARLARI'!$A$4:$D$20,3,FALSE)="EVET",'GİDER AYARLARI'!$B$7,0),0))</f>
      </c>
      <c r="N205" s="3"/>
      <c r="O205" s="13">
        <f>IF(OR(F205="",I205=""),"",IFERROR(IF(VLOOKUP(E205,'ALIM AYARLARI'!$A$4:$D$20,2,FALSE)="EVET",F205*'GİDER AYARLARI'!$B$8*I205/30,0),0))</f>
      </c>
      <c r="P205" s="14">
        <f>IF(F205="","",SUM(J205:O205))</f>
      </c>
      <c r="Q205" s="14">
        <f>IF(F205="","",F205+P205)</f>
      </c>
      <c r="R205" s="2"/>
      <c r="S205" s="2"/>
      <c r="T205" s="3"/>
      <c r="U205" s="14">
        <f>IF(OR(F205="",T205=""),"",T205-F205)</f>
      </c>
      <c r="V205" s="14">
        <f>IF(T205="","",T205-Q205)</f>
      </c>
      <c r="W205" s="15">
        <f>IFERROR(V205/T205,"")</f>
      </c>
      <c r="X205" s="12">
        <f>IF(F205="","",IF(H205="","STOKTA","SATILDI"))</f>
      </c>
      <c r="Y205" s="2"/>
      <c r="Z205" s="3"/>
      <c r="AA205" s="3"/>
      <c r="AB205" s="3"/>
      <c r="AC205" s="14">
        <f>IF(F205="","",SUM(Z205:AB205))</f>
      </c>
      <c r="AD205" s="14">
        <f>IF(T205="","",V205+AC205)</f>
      </c>
    </row>
    <row r="206" spans="1:30">
      <c r="A206">
        <f>IF(D206="","",ROW()-3)</f>
      </c>
      <c r="B206" s="2"/>
      <c r="C206" s="18"/>
      <c r="D206" s="2"/>
      <c r="E206" s="2"/>
      <c r="F206" s="3"/>
      <c r="G206" s="16"/>
      <c r="H206" s="16"/>
      <c r="I206" s="17">
        <f>IF(G206="","",IF(H206="",TODAY()-G206,H206-G206))</f>
      </c>
      <c r="J206" s="13">
        <f>IF(F206="","",IFERROR(IF(VLOOKUP(E206,'ALIM AYARLARI'!$A$4:$D$20,3,FALSE)="EVET",'GİDER AYARLARI'!$B$4,0),0))</f>
      </c>
      <c r="K206" s="13">
        <f>IF(F206="","",'GİDER AYARLARI'!$B$5)</f>
      </c>
      <c r="L206" s="13">
        <f>IF(F206="","",'GİDER AYARLARI'!$B$6)</f>
      </c>
      <c r="M206" s="13">
        <f>IF(F206="","",IFERROR(IF(VLOOKUP(E206,'ALIM AYARLARI'!$A$4:$D$20,3,FALSE)="EVET",'GİDER AYARLARI'!$B$7,0),0))</f>
      </c>
      <c r="N206" s="3"/>
      <c r="O206" s="13">
        <f>IF(OR(F206="",I206=""),"",IFERROR(IF(VLOOKUP(E206,'ALIM AYARLARI'!$A$4:$D$20,2,FALSE)="EVET",F206*'GİDER AYARLARI'!$B$8*I206/30,0),0))</f>
      </c>
      <c r="P206" s="14">
        <f>IF(F206="","",SUM(J206:O206))</f>
      </c>
      <c r="Q206" s="14">
        <f>IF(F206="","",F206+P206)</f>
      </c>
      <c r="R206" s="2"/>
      <c r="S206" s="2"/>
      <c r="T206" s="3"/>
      <c r="U206" s="14">
        <f>IF(OR(F206="",T206=""),"",T206-F206)</f>
      </c>
      <c r="V206" s="14">
        <f>IF(T206="","",T206-Q206)</f>
      </c>
      <c r="W206" s="15">
        <f>IFERROR(V206/T206,"")</f>
      </c>
      <c r="X206" s="12">
        <f>IF(F206="","",IF(H206="","STOKTA","SATILDI"))</f>
      </c>
      <c r="Y206" s="2"/>
      <c r="Z206" s="3"/>
      <c r="AA206" s="3"/>
      <c r="AB206" s="3"/>
      <c r="AC206" s="14">
        <f>IF(F206="","",SUM(Z206:AB206))</f>
      </c>
      <c r="AD206" s="14">
        <f>IF(T206="","",V206+AC206)</f>
      </c>
    </row>
    <row r="207" spans="1:30">
      <c r="A207">
        <f>IF(D207="","",ROW()-3)</f>
      </c>
      <c r="B207" s="2"/>
      <c r="C207" s="18"/>
      <c r="D207" s="2"/>
      <c r="E207" s="2"/>
      <c r="F207" s="3"/>
      <c r="G207" s="16"/>
      <c r="H207" s="16"/>
      <c r="I207" s="17">
        <f>IF(G207="","",IF(H207="",TODAY()-G207,H207-G207))</f>
      </c>
      <c r="J207" s="13">
        <f>IF(F207="","",IFERROR(IF(VLOOKUP(E207,'ALIM AYARLARI'!$A$4:$D$20,3,FALSE)="EVET",'GİDER AYARLARI'!$B$4,0),0))</f>
      </c>
      <c r="K207" s="13">
        <f>IF(F207="","",'GİDER AYARLARI'!$B$5)</f>
      </c>
      <c r="L207" s="13">
        <f>IF(F207="","",'GİDER AYARLARI'!$B$6)</f>
      </c>
      <c r="M207" s="13">
        <f>IF(F207="","",IFERROR(IF(VLOOKUP(E207,'ALIM AYARLARI'!$A$4:$D$20,3,FALSE)="EVET",'GİDER AYARLARI'!$B$7,0),0))</f>
      </c>
      <c r="N207" s="3"/>
      <c r="O207" s="13">
        <f>IF(OR(F207="",I207=""),"",IFERROR(IF(VLOOKUP(E207,'ALIM AYARLARI'!$A$4:$D$20,2,FALSE)="EVET",F207*'GİDER AYARLARI'!$B$8*I207/30,0),0))</f>
      </c>
      <c r="P207" s="14">
        <f>IF(F207="","",SUM(J207:O207))</f>
      </c>
      <c r="Q207" s="14">
        <f>IF(F207="","",F207+P207)</f>
      </c>
      <c r="R207" s="2"/>
      <c r="S207" s="2"/>
      <c r="T207" s="3"/>
      <c r="U207" s="14">
        <f>IF(OR(F207="",T207=""),"",T207-F207)</f>
      </c>
      <c r="V207" s="14">
        <f>IF(T207="","",T207-Q207)</f>
      </c>
      <c r="W207" s="15">
        <f>IFERROR(V207/T207,"")</f>
      </c>
      <c r="X207" s="12">
        <f>IF(F207="","",IF(H207="","STOKTA","SATILDI"))</f>
      </c>
      <c r="Y207" s="2"/>
      <c r="Z207" s="3"/>
      <c r="AA207" s="3"/>
      <c r="AB207" s="3"/>
      <c r="AC207" s="14">
        <f>IF(F207="","",SUM(Z207:AB207))</f>
      </c>
      <c r="AD207" s="14">
        <f>IF(T207="","",V207+AC207)</f>
      </c>
    </row>
    <row r="208" spans="1:30">
      <c r="A208">
        <f>IF(D208="","",ROW()-3)</f>
      </c>
      <c r="B208" s="2"/>
      <c r="C208" s="18"/>
      <c r="D208" s="2"/>
      <c r="E208" s="2"/>
      <c r="F208" s="3"/>
      <c r="G208" s="16"/>
      <c r="H208" s="16"/>
      <c r="I208" s="17">
        <f>IF(G208="","",IF(H208="",TODAY()-G208,H208-G208))</f>
      </c>
      <c r="J208" s="13">
        <f>IF(F208="","",IFERROR(IF(VLOOKUP(E208,'ALIM AYARLARI'!$A$4:$D$20,3,FALSE)="EVET",'GİDER AYARLARI'!$B$4,0),0))</f>
      </c>
      <c r="K208" s="13">
        <f>IF(F208="","",'GİDER AYARLARI'!$B$5)</f>
      </c>
      <c r="L208" s="13">
        <f>IF(F208="","",'GİDER AYARLARI'!$B$6)</f>
      </c>
      <c r="M208" s="13">
        <f>IF(F208="","",IFERROR(IF(VLOOKUP(E208,'ALIM AYARLARI'!$A$4:$D$20,3,FALSE)="EVET",'GİDER AYARLARI'!$B$7,0),0))</f>
      </c>
      <c r="N208" s="3"/>
      <c r="O208" s="13">
        <f>IF(OR(F208="",I208=""),"",IFERROR(IF(VLOOKUP(E208,'ALIM AYARLARI'!$A$4:$D$20,2,FALSE)="EVET",F208*'GİDER AYARLARI'!$B$8*I208/30,0),0))</f>
      </c>
      <c r="P208" s="14">
        <f>IF(F208="","",SUM(J208:O208))</f>
      </c>
      <c r="Q208" s="14">
        <f>IF(F208="","",F208+P208)</f>
      </c>
      <c r="R208" s="2"/>
      <c r="S208" s="2"/>
      <c r="T208" s="3"/>
      <c r="U208" s="14">
        <f>IF(OR(F208="",T208=""),"",T208-F208)</f>
      </c>
      <c r="V208" s="14">
        <f>IF(T208="","",T208-Q208)</f>
      </c>
      <c r="W208" s="15">
        <f>IFERROR(V208/T208,"")</f>
      </c>
      <c r="X208" s="12">
        <f>IF(F208="","",IF(H208="","STOKTA","SATILDI"))</f>
      </c>
      <c r="Y208" s="2"/>
      <c r="Z208" s="3"/>
      <c r="AA208" s="3"/>
      <c r="AB208" s="3"/>
      <c r="AC208" s="14">
        <f>IF(F208="","",SUM(Z208:AB208))</f>
      </c>
      <c r="AD208" s="14">
        <f>IF(T208="","",V208+AC208)</f>
      </c>
    </row>
    <row r="209" spans="1:30">
      <c r="A209">
        <f>IF(D209="","",ROW()-3)</f>
      </c>
      <c r="B209" s="2"/>
      <c r="C209" s="18"/>
      <c r="D209" s="2"/>
      <c r="E209" s="2"/>
      <c r="F209" s="3"/>
      <c r="G209" s="16"/>
      <c r="H209" s="16"/>
      <c r="I209" s="17">
        <f>IF(G209="","",IF(H209="",TODAY()-G209,H209-G209))</f>
      </c>
      <c r="J209" s="13">
        <f>IF(F209="","",IFERROR(IF(VLOOKUP(E209,'ALIM AYARLARI'!$A$4:$D$20,3,FALSE)="EVET",'GİDER AYARLARI'!$B$4,0),0))</f>
      </c>
      <c r="K209" s="13">
        <f>IF(F209="","",'GİDER AYARLARI'!$B$5)</f>
      </c>
      <c r="L209" s="13">
        <f>IF(F209="","",'GİDER AYARLARI'!$B$6)</f>
      </c>
      <c r="M209" s="13">
        <f>IF(F209="","",IFERROR(IF(VLOOKUP(E209,'ALIM AYARLARI'!$A$4:$D$20,3,FALSE)="EVET",'GİDER AYARLARI'!$B$7,0),0))</f>
      </c>
      <c r="N209" s="3"/>
      <c r="O209" s="13">
        <f>IF(OR(F209="",I209=""),"",IFERROR(IF(VLOOKUP(E209,'ALIM AYARLARI'!$A$4:$D$20,2,FALSE)="EVET",F209*'GİDER AYARLARI'!$B$8*I209/30,0),0))</f>
      </c>
      <c r="P209" s="14">
        <f>IF(F209="","",SUM(J209:O209))</f>
      </c>
      <c r="Q209" s="14">
        <f>IF(F209="","",F209+P209)</f>
      </c>
      <c r="R209" s="2"/>
      <c r="S209" s="2"/>
      <c r="T209" s="3"/>
      <c r="U209" s="14">
        <f>IF(OR(F209="",T209=""),"",T209-F209)</f>
      </c>
      <c r="V209" s="14">
        <f>IF(T209="","",T209-Q209)</f>
      </c>
      <c r="W209" s="15">
        <f>IFERROR(V209/T209,"")</f>
      </c>
      <c r="X209" s="12">
        <f>IF(F209="","",IF(H209="","STOKTA","SATILDI"))</f>
      </c>
      <c r="Y209" s="2"/>
      <c r="Z209" s="3"/>
      <c r="AA209" s="3"/>
      <c r="AB209" s="3"/>
      <c r="AC209" s="14">
        <f>IF(F209="","",SUM(Z209:AB209))</f>
      </c>
      <c r="AD209" s="14">
        <f>IF(T209="","",V209+AC209)</f>
      </c>
    </row>
    <row r="210" spans="1:30">
      <c r="A210">
        <f>IF(D210="","",ROW()-3)</f>
      </c>
      <c r="B210" s="2"/>
      <c r="C210" s="18"/>
      <c r="D210" s="2"/>
      <c r="E210" s="2"/>
      <c r="F210" s="3"/>
      <c r="G210" s="16"/>
      <c r="H210" s="16"/>
      <c r="I210" s="17">
        <f>IF(G210="","",IF(H210="",TODAY()-G210,H210-G210))</f>
      </c>
      <c r="J210" s="13">
        <f>IF(F210="","",IFERROR(IF(VLOOKUP(E210,'ALIM AYARLARI'!$A$4:$D$20,3,FALSE)="EVET",'GİDER AYARLARI'!$B$4,0),0))</f>
      </c>
      <c r="K210" s="13">
        <f>IF(F210="","",'GİDER AYARLARI'!$B$5)</f>
      </c>
      <c r="L210" s="13">
        <f>IF(F210="","",'GİDER AYARLARI'!$B$6)</f>
      </c>
      <c r="M210" s="13">
        <f>IF(F210="","",IFERROR(IF(VLOOKUP(E210,'ALIM AYARLARI'!$A$4:$D$20,3,FALSE)="EVET",'GİDER AYARLARI'!$B$7,0),0))</f>
      </c>
      <c r="N210" s="3"/>
      <c r="O210" s="13">
        <f>IF(OR(F210="",I210=""),"",IFERROR(IF(VLOOKUP(E210,'ALIM AYARLARI'!$A$4:$D$20,2,FALSE)="EVET",F210*'GİDER AYARLARI'!$B$8*I210/30,0),0))</f>
      </c>
      <c r="P210" s="14">
        <f>IF(F210="","",SUM(J210:O210))</f>
      </c>
      <c r="Q210" s="14">
        <f>IF(F210="","",F210+P210)</f>
      </c>
      <c r="R210" s="2"/>
      <c r="S210" s="2"/>
      <c r="T210" s="3"/>
      <c r="U210" s="14">
        <f>IF(OR(F210="",T210=""),"",T210-F210)</f>
      </c>
      <c r="V210" s="14">
        <f>IF(T210="","",T210-Q210)</f>
      </c>
      <c r="W210" s="15">
        <f>IFERROR(V210/T210,"")</f>
      </c>
      <c r="X210" s="12">
        <f>IF(F210="","",IF(H210="","STOKTA","SATILDI"))</f>
      </c>
      <c r="Y210" s="2"/>
      <c r="Z210" s="3"/>
      <c r="AA210" s="3"/>
      <c r="AB210" s="3"/>
      <c r="AC210" s="14">
        <f>IF(F210="","",SUM(Z210:AB210))</f>
      </c>
      <c r="AD210" s="14">
        <f>IF(T210="","",V210+AC210)</f>
      </c>
    </row>
    <row r="211" spans="1:30">
      <c r="A211">
        <f>IF(D211="","",ROW()-3)</f>
      </c>
      <c r="B211" s="2"/>
      <c r="C211" s="18"/>
      <c r="D211" s="2"/>
      <c r="E211" s="2"/>
      <c r="F211" s="3"/>
      <c r="G211" s="16"/>
      <c r="H211" s="16"/>
      <c r="I211" s="17">
        <f>IF(G211="","",IF(H211="",TODAY()-G211,H211-G211))</f>
      </c>
      <c r="J211" s="13">
        <f>IF(F211="","",IFERROR(IF(VLOOKUP(E211,'ALIM AYARLARI'!$A$4:$D$20,3,FALSE)="EVET",'GİDER AYARLARI'!$B$4,0),0))</f>
      </c>
      <c r="K211" s="13">
        <f>IF(F211="","",'GİDER AYARLARI'!$B$5)</f>
      </c>
      <c r="L211" s="13">
        <f>IF(F211="","",'GİDER AYARLARI'!$B$6)</f>
      </c>
      <c r="M211" s="13">
        <f>IF(F211="","",IFERROR(IF(VLOOKUP(E211,'ALIM AYARLARI'!$A$4:$D$20,3,FALSE)="EVET",'GİDER AYARLARI'!$B$7,0),0))</f>
      </c>
      <c r="N211" s="3"/>
      <c r="O211" s="13">
        <f>IF(OR(F211="",I211=""),"",IFERROR(IF(VLOOKUP(E211,'ALIM AYARLARI'!$A$4:$D$20,2,FALSE)="EVET",F211*'GİDER AYARLARI'!$B$8*I211/30,0),0))</f>
      </c>
      <c r="P211" s="14">
        <f>IF(F211="","",SUM(J211:O211))</f>
      </c>
      <c r="Q211" s="14">
        <f>IF(F211="","",F211+P211)</f>
      </c>
      <c r="R211" s="2"/>
      <c r="S211" s="2"/>
      <c r="T211" s="3"/>
      <c r="U211" s="14">
        <f>IF(OR(F211="",T211=""),"",T211-F211)</f>
      </c>
      <c r="V211" s="14">
        <f>IF(T211="","",T211-Q211)</f>
      </c>
      <c r="W211" s="15">
        <f>IFERROR(V211/T211,"")</f>
      </c>
      <c r="X211" s="12">
        <f>IF(F211="","",IF(H211="","STOKTA","SATILDI"))</f>
      </c>
      <c r="Y211" s="2"/>
      <c r="Z211" s="3"/>
      <c r="AA211" s="3"/>
      <c r="AB211" s="3"/>
      <c r="AC211" s="14">
        <f>IF(F211="","",SUM(Z211:AB211))</f>
      </c>
      <c r="AD211" s="14">
        <f>IF(T211="","",V211+AC211)</f>
      </c>
    </row>
    <row r="212" spans="1:30">
      <c r="A212">
        <f>IF(D212="","",ROW()-3)</f>
      </c>
      <c r="B212" s="2"/>
      <c r="C212" s="18"/>
      <c r="D212" s="2"/>
      <c r="E212" s="2"/>
      <c r="F212" s="3"/>
      <c r="G212" s="16"/>
      <c r="H212" s="16"/>
      <c r="I212" s="17">
        <f>IF(G212="","",IF(H212="",TODAY()-G212,H212-G212))</f>
      </c>
      <c r="J212" s="13">
        <f>IF(F212="","",IFERROR(IF(VLOOKUP(E212,'ALIM AYARLARI'!$A$4:$D$20,3,FALSE)="EVET",'GİDER AYARLARI'!$B$4,0),0))</f>
      </c>
      <c r="K212" s="13">
        <f>IF(F212="","",'GİDER AYARLARI'!$B$5)</f>
      </c>
      <c r="L212" s="13">
        <f>IF(F212="","",'GİDER AYARLARI'!$B$6)</f>
      </c>
      <c r="M212" s="13">
        <f>IF(F212="","",IFERROR(IF(VLOOKUP(E212,'ALIM AYARLARI'!$A$4:$D$20,3,FALSE)="EVET",'GİDER AYARLARI'!$B$7,0),0))</f>
      </c>
      <c r="N212" s="3"/>
      <c r="O212" s="13">
        <f>IF(OR(F212="",I212=""),"",IFERROR(IF(VLOOKUP(E212,'ALIM AYARLARI'!$A$4:$D$20,2,FALSE)="EVET",F212*'GİDER AYARLARI'!$B$8*I212/30,0),0))</f>
      </c>
      <c r="P212" s="14">
        <f>IF(F212="","",SUM(J212:O212))</f>
      </c>
      <c r="Q212" s="14">
        <f>IF(F212="","",F212+P212)</f>
      </c>
      <c r="R212" s="2"/>
      <c r="S212" s="2"/>
      <c r="T212" s="3"/>
      <c r="U212" s="14">
        <f>IF(OR(F212="",T212=""),"",T212-F212)</f>
      </c>
      <c r="V212" s="14">
        <f>IF(T212="","",T212-Q212)</f>
      </c>
      <c r="W212" s="15">
        <f>IFERROR(V212/T212,"")</f>
      </c>
      <c r="X212" s="12">
        <f>IF(F212="","",IF(H212="","STOKTA","SATILDI"))</f>
      </c>
      <c r="Y212" s="2"/>
      <c r="Z212" s="3"/>
      <c r="AA212" s="3"/>
      <c r="AB212" s="3"/>
      <c r="AC212" s="14">
        <f>IF(F212="","",SUM(Z212:AB212))</f>
      </c>
      <c r="AD212" s="14">
        <f>IF(T212="","",V212+AC212)</f>
      </c>
    </row>
    <row r="213" spans="1:30">
      <c r="A213">
        <f>IF(D213="","",ROW()-3)</f>
      </c>
      <c r="B213" s="2"/>
      <c r="C213" s="18"/>
      <c r="D213" s="2"/>
      <c r="E213" s="2"/>
      <c r="F213" s="3"/>
      <c r="G213" s="16"/>
      <c r="H213" s="16"/>
      <c r="I213" s="17">
        <f>IF(G213="","",IF(H213="",TODAY()-G213,H213-G213))</f>
      </c>
      <c r="J213" s="13">
        <f>IF(F213="","",IFERROR(IF(VLOOKUP(E213,'ALIM AYARLARI'!$A$4:$D$20,3,FALSE)="EVET",'GİDER AYARLARI'!$B$4,0),0))</f>
      </c>
      <c r="K213" s="13">
        <f>IF(F213="","",'GİDER AYARLARI'!$B$5)</f>
      </c>
      <c r="L213" s="13">
        <f>IF(F213="","",'GİDER AYARLARI'!$B$6)</f>
      </c>
      <c r="M213" s="13">
        <f>IF(F213="","",IFERROR(IF(VLOOKUP(E213,'ALIM AYARLARI'!$A$4:$D$20,3,FALSE)="EVET",'GİDER AYARLARI'!$B$7,0),0))</f>
      </c>
      <c r="N213" s="3"/>
      <c r="O213" s="13">
        <f>IF(OR(F213="",I213=""),"",IFERROR(IF(VLOOKUP(E213,'ALIM AYARLARI'!$A$4:$D$20,2,FALSE)="EVET",F213*'GİDER AYARLARI'!$B$8*I213/30,0),0))</f>
      </c>
      <c r="P213" s="14">
        <f>IF(F213="","",SUM(J213:O213))</f>
      </c>
      <c r="Q213" s="14">
        <f>IF(F213="","",F213+P213)</f>
      </c>
      <c r="R213" s="2"/>
      <c r="S213" s="2"/>
      <c r="T213" s="3"/>
      <c r="U213" s="14">
        <f>IF(OR(F213="",T213=""),"",T213-F213)</f>
      </c>
      <c r="V213" s="14">
        <f>IF(T213="","",T213-Q213)</f>
      </c>
      <c r="W213" s="15">
        <f>IFERROR(V213/T213,"")</f>
      </c>
      <c r="X213" s="12">
        <f>IF(F213="","",IF(H213="","STOKTA","SATILDI"))</f>
      </c>
      <c r="Y213" s="2"/>
      <c r="Z213" s="3"/>
      <c r="AA213" s="3"/>
      <c r="AB213" s="3"/>
      <c r="AC213" s="14">
        <f>IF(F213="","",SUM(Z213:AB213))</f>
      </c>
      <c r="AD213" s="14">
        <f>IF(T213="","",V213+AC213)</f>
      </c>
    </row>
    <row r="214" spans="1:30">
      <c r="A214">
        <f>IF(D214="","",ROW()-3)</f>
      </c>
      <c r="B214" s="2"/>
      <c r="C214" s="18"/>
      <c r="D214" s="2"/>
      <c r="E214" s="2"/>
      <c r="F214" s="3"/>
      <c r="G214" s="16"/>
      <c r="H214" s="16"/>
      <c r="I214" s="17">
        <f>IF(G214="","",IF(H214="",TODAY()-G214,H214-G214))</f>
      </c>
      <c r="J214" s="13">
        <f>IF(F214="","",IFERROR(IF(VLOOKUP(E214,'ALIM AYARLARI'!$A$4:$D$20,3,FALSE)="EVET",'GİDER AYARLARI'!$B$4,0),0))</f>
      </c>
      <c r="K214" s="13">
        <f>IF(F214="","",'GİDER AYARLARI'!$B$5)</f>
      </c>
      <c r="L214" s="13">
        <f>IF(F214="","",'GİDER AYARLARI'!$B$6)</f>
      </c>
      <c r="M214" s="13">
        <f>IF(F214="","",IFERROR(IF(VLOOKUP(E214,'ALIM AYARLARI'!$A$4:$D$20,3,FALSE)="EVET",'GİDER AYARLARI'!$B$7,0),0))</f>
      </c>
      <c r="N214" s="3"/>
      <c r="O214" s="13">
        <f>IF(OR(F214="",I214=""),"",IFERROR(IF(VLOOKUP(E214,'ALIM AYARLARI'!$A$4:$D$20,2,FALSE)="EVET",F214*'GİDER AYARLARI'!$B$8*I214/30,0),0))</f>
      </c>
      <c r="P214" s="14">
        <f>IF(F214="","",SUM(J214:O214))</f>
      </c>
      <c r="Q214" s="14">
        <f>IF(F214="","",F214+P214)</f>
      </c>
      <c r="R214" s="2"/>
      <c r="S214" s="2"/>
      <c r="T214" s="3"/>
      <c r="U214" s="14">
        <f>IF(OR(F214="",T214=""),"",T214-F214)</f>
      </c>
      <c r="V214" s="14">
        <f>IF(T214="","",T214-Q214)</f>
      </c>
      <c r="W214" s="15">
        <f>IFERROR(V214/T214,"")</f>
      </c>
      <c r="X214" s="12">
        <f>IF(F214="","",IF(H214="","STOKTA","SATILDI"))</f>
      </c>
      <c r="Y214" s="2"/>
      <c r="Z214" s="3"/>
      <c r="AA214" s="3"/>
      <c r="AB214" s="3"/>
      <c r="AC214" s="14">
        <f>IF(F214="","",SUM(Z214:AB214))</f>
      </c>
      <c r="AD214" s="14">
        <f>IF(T214="","",V214+AC214)</f>
      </c>
    </row>
    <row r="215" spans="1:30">
      <c r="A215">
        <f>IF(D215="","",ROW()-3)</f>
      </c>
      <c r="B215" s="2"/>
      <c r="C215" s="18"/>
      <c r="D215" s="2"/>
      <c r="E215" s="2"/>
      <c r="F215" s="3"/>
      <c r="G215" s="16"/>
      <c r="H215" s="16"/>
      <c r="I215" s="17">
        <f>IF(G215="","",IF(H215="",TODAY()-G215,H215-G215))</f>
      </c>
      <c r="J215" s="13">
        <f>IF(F215="","",IFERROR(IF(VLOOKUP(E215,'ALIM AYARLARI'!$A$4:$D$20,3,FALSE)="EVET",'GİDER AYARLARI'!$B$4,0),0))</f>
      </c>
      <c r="K215" s="13">
        <f>IF(F215="","",'GİDER AYARLARI'!$B$5)</f>
      </c>
      <c r="L215" s="13">
        <f>IF(F215="","",'GİDER AYARLARI'!$B$6)</f>
      </c>
      <c r="M215" s="13">
        <f>IF(F215="","",IFERROR(IF(VLOOKUP(E215,'ALIM AYARLARI'!$A$4:$D$20,3,FALSE)="EVET",'GİDER AYARLARI'!$B$7,0),0))</f>
      </c>
      <c r="N215" s="3"/>
      <c r="O215" s="13">
        <f>IF(OR(F215="",I215=""),"",IFERROR(IF(VLOOKUP(E215,'ALIM AYARLARI'!$A$4:$D$20,2,FALSE)="EVET",F215*'GİDER AYARLARI'!$B$8*I215/30,0),0))</f>
      </c>
      <c r="P215" s="14">
        <f>IF(F215="","",SUM(J215:O215))</f>
      </c>
      <c r="Q215" s="14">
        <f>IF(F215="","",F215+P215)</f>
      </c>
      <c r="R215" s="2"/>
      <c r="S215" s="2"/>
      <c r="T215" s="3"/>
      <c r="U215" s="14">
        <f>IF(OR(F215="",T215=""),"",T215-F215)</f>
      </c>
      <c r="V215" s="14">
        <f>IF(T215="","",T215-Q215)</f>
      </c>
      <c r="W215" s="15">
        <f>IFERROR(V215/T215,"")</f>
      </c>
      <c r="X215" s="12">
        <f>IF(F215="","",IF(H215="","STOKTA","SATILDI"))</f>
      </c>
      <c r="Y215" s="2"/>
      <c r="Z215" s="3"/>
      <c r="AA215" s="3"/>
      <c r="AB215" s="3"/>
      <c r="AC215" s="14">
        <f>IF(F215="","",SUM(Z215:AB215))</f>
      </c>
      <c r="AD215" s="14">
        <f>IF(T215="","",V215+AC215)</f>
      </c>
    </row>
    <row r="216" spans="1:30">
      <c r="A216">
        <f>IF(D216="","",ROW()-3)</f>
      </c>
      <c r="B216" s="2"/>
      <c r="C216" s="18"/>
      <c r="D216" s="2"/>
      <c r="E216" s="2"/>
      <c r="F216" s="3"/>
      <c r="G216" s="16"/>
      <c r="H216" s="16"/>
      <c r="I216" s="17">
        <f>IF(G216="","",IF(H216="",TODAY()-G216,H216-G216))</f>
      </c>
      <c r="J216" s="13">
        <f>IF(F216="","",IFERROR(IF(VLOOKUP(E216,'ALIM AYARLARI'!$A$4:$D$20,3,FALSE)="EVET",'GİDER AYARLARI'!$B$4,0),0))</f>
      </c>
      <c r="K216" s="13">
        <f>IF(F216="","",'GİDER AYARLARI'!$B$5)</f>
      </c>
      <c r="L216" s="13">
        <f>IF(F216="","",'GİDER AYARLARI'!$B$6)</f>
      </c>
      <c r="M216" s="13">
        <f>IF(F216="","",IFERROR(IF(VLOOKUP(E216,'ALIM AYARLARI'!$A$4:$D$20,3,FALSE)="EVET",'GİDER AYARLARI'!$B$7,0),0))</f>
      </c>
      <c r="N216" s="3"/>
      <c r="O216" s="13">
        <f>IF(OR(F216="",I216=""),"",IFERROR(IF(VLOOKUP(E216,'ALIM AYARLARI'!$A$4:$D$20,2,FALSE)="EVET",F216*'GİDER AYARLARI'!$B$8*I216/30,0),0))</f>
      </c>
      <c r="P216" s="14">
        <f>IF(F216="","",SUM(J216:O216))</f>
      </c>
      <c r="Q216" s="14">
        <f>IF(F216="","",F216+P216)</f>
      </c>
      <c r="R216" s="2"/>
      <c r="S216" s="2"/>
      <c r="T216" s="3"/>
      <c r="U216" s="14">
        <f>IF(OR(F216="",T216=""),"",T216-F216)</f>
      </c>
      <c r="V216" s="14">
        <f>IF(T216="","",T216-Q216)</f>
      </c>
      <c r="W216" s="15">
        <f>IFERROR(V216/T216,"")</f>
      </c>
      <c r="X216" s="12">
        <f>IF(F216="","",IF(H216="","STOKTA","SATILDI"))</f>
      </c>
      <c r="Y216" s="2"/>
      <c r="Z216" s="3"/>
      <c r="AA216" s="3"/>
      <c r="AB216" s="3"/>
      <c r="AC216" s="14">
        <f>IF(F216="","",SUM(Z216:AB216))</f>
      </c>
      <c r="AD216" s="14">
        <f>IF(T216="","",V216+AC216)</f>
      </c>
    </row>
    <row r="217" spans="1:30">
      <c r="A217">
        <f>IF(D217="","",ROW()-3)</f>
      </c>
      <c r="B217" s="2"/>
      <c r="C217" s="18"/>
      <c r="D217" s="2"/>
      <c r="E217" s="2"/>
      <c r="F217" s="3"/>
      <c r="G217" s="16"/>
      <c r="H217" s="16"/>
      <c r="I217" s="17">
        <f>IF(G217="","",IF(H217="",TODAY()-G217,H217-G217))</f>
      </c>
      <c r="J217" s="13">
        <f>IF(F217="","",IFERROR(IF(VLOOKUP(E217,'ALIM AYARLARI'!$A$4:$D$20,3,FALSE)="EVET",'GİDER AYARLARI'!$B$4,0),0))</f>
      </c>
      <c r="K217" s="13">
        <f>IF(F217="","",'GİDER AYARLARI'!$B$5)</f>
      </c>
      <c r="L217" s="13">
        <f>IF(F217="","",'GİDER AYARLARI'!$B$6)</f>
      </c>
      <c r="M217" s="13">
        <f>IF(F217="","",IFERROR(IF(VLOOKUP(E217,'ALIM AYARLARI'!$A$4:$D$20,3,FALSE)="EVET",'GİDER AYARLARI'!$B$7,0),0))</f>
      </c>
      <c r="N217" s="3"/>
      <c r="O217" s="13">
        <f>IF(OR(F217="",I217=""),"",IFERROR(IF(VLOOKUP(E217,'ALIM AYARLARI'!$A$4:$D$20,2,FALSE)="EVET",F217*'GİDER AYARLARI'!$B$8*I217/30,0),0))</f>
      </c>
      <c r="P217" s="14">
        <f>IF(F217="","",SUM(J217:O217))</f>
      </c>
      <c r="Q217" s="14">
        <f>IF(F217="","",F217+P217)</f>
      </c>
      <c r="R217" s="2"/>
      <c r="S217" s="2"/>
      <c r="T217" s="3"/>
      <c r="U217" s="14">
        <f>IF(OR(F217="",T217=""),"",T217-F217)</f>
      </c>
      <c r="V217" s="14">
        <f>IF(T217="","",T217-Q217)</f>
      </c>
      <c r="W217" s="15">
        <f>IFERROR(V217/T217,"")</f>
      </c>
      <c r="X217" s="12">
        <f>IF(F217="","",IF(H217="","STOKTA","SATILDI"))</f>
      </c>
      <c r="Y217" s="2"/>
      <c r="Z217" s="3"/>
      <c r="AA217" s="3"/>
      <c r="AB217" s="3"/>
      <c r="AC217" s="14">
        <f>IF(F217="","",SUM(Z217:AB217))</f>
      </c>
      <c r="AD217" s="14">
        <f>IF(T217="","",V217+AC217)</f>
      </c>
    </row>
    <row r="218" spans="1:30">
      <c r="A218">
        <f>IF(D218="","",ROW()-3)</f>
      </c>
      <c r="B218" s="2"/>
      <c r="C218" s="18"/>
      <c r="D218" s="2"/>
      <c r="E218" s="2"/>
      <c r="F218" s="3"/>
      <c r="G218" s="16"/>
      <c r="H218" s="16"/>
      <c r="I218" s="17">
        <f>IF(G218="","",IF(H218="",TODAY()-G218,H218-G218))</f>
      </c>
      <c r="J218" s="13">
        <f>IF(F218="","",IFERROR(IF(VLOOKUP(E218,'ALIM AYARLARI'!$A$4:$D$20,3,FALSE)="EVET",'GİDER AYARLARI'!$B$4,0),0))</f>
      </c>
      <c r="K218" s="13">
        <f>IF(F218="","",'GİDER AYARLARI'!$B$5)</f>
      </c>
      <c r="L218" s="13">
        <f>IF(F218="","",'GİDER AYARLARI'!$B$6)</f>
      </c>
      <c r="M218" s="13">
        <f>IF(F218="","",IFERROR(IF(VLOOKUP(E218,'ALIM AYARLARI'!$A$4:$D$20,3,FALSE)="EVET",'GİDER AYARLARI'!$B$7,0),0))</f>
      </c>
      <c r="N218" s="3"/>
      <c r="O218" s="13">
        <f>IF(OR(F218="",I218=""),"",IFERROR(IF(VLOOKUP(E218,'ALIM AYARLARI'!$A$4:$D$20,2,FALSE)="EVET",F218*'GİDER AYARLARI'!$B$8*I218/30,0),0))</f>
      </c>
      <c r="P218" s="14">
        <f>IF(F218="","",SUM(J218:O218))</f>
      </c>
      <c r="Q218" s="14">
        <f>IF(F218="","",F218+P218)</f>
      </c>
      <c r="R218" s="2"/>
      <c r="S218" s="2"/>
      <c r="T218" s="3"/>
      <c r="U218" s="14">
        <f>IF(OR(F218="",T218=""),"",T218-F218)</f>
      </c>
      <c r="V218" s="14">
        <f>IF(T218="","",T218-Q218)</f>
      </c>
      <c r="W218" s="15">
        <f>IFERROR(V218/T218,"")</f>
      </c>
      <c r="X218" s="12">
        <f>IF(F218="","",IF(H218="","STOKTA","SATILDI"))</f>
      </c>
      <c r="Y218" s="2"/>
      <c r="Z218" s="3"/>
      <c r="AA218" s="3"/>
      <c r="AB218" s="3"/>
      <c r="AC218" s="14">
        <f>IF(F218="","",SUM(Z218:AB218))</f>
      </c>
      <c r="AD218" s="14">
        <f>IF(T218="","",V218+AC218)</f>
      </c>
    </row>
    <row r="219" spans="1:30">
      <c r="A219">
        <f>IF(D219="","",ROW()-3)</f>
      </c>
      <c r="B219" s="2"/>
      <c r="C219" s="18"/>
      <c r="D219" s="2"/>
      <c r="E219" s="2"/>
      <c r="F219" s="3"/>
      <c r="G219" s="16"/>
      <c r="H219" s="16"/>
      <c r="I219" s="17">
        <f>IF(G219="","",IF(H219="",TODAY()-G219,H219-G219))</f>
      </c>
      <c r="J219" s="13">
        <f>IF(F219="","",IFERROR(IF(VLOOKUP(E219,'ALIM AYARLARI'!$A$4:$D$20,3,FALSE)="EVET",'GİDER AYARLARI'!$B$4,0),0))</f>
      </c>
      <c r="K219" s="13">
        <f>IF(F219="","",'GİDER AYARLARI'!$B$5)</f>
      </c>
      <c r="L219" s="13">
        <f>IF(F219="","",'GİDER AYARLARI'!$B$6)</f>
      </c>
      <c r="M219" s="13">
        <f>IF(F219="","",IFERROR(IF(VLOOKUP(E219,'ALIM AYARLARI'!$A$4:$D$20,3,FALSE)="EVET",'GİDER AYARLARI'!$B$7,0),0))</f>
      </c>
      <c r="N219" s="3"/>
      <c r="O219" s="13">
        <f>IF(OR(F219="",I219=""),"",IFERROR(IF(VLOOKUP(E219,'ALIM AYARLARI'!$A$4:$D$20,2,FALSE)="EVET",F219*'GİDER AYARLARI'!$B$8*I219/30,0),0))</f>
      </c>
      <c r="P219" s="14">
        <f>IF(F219="","",SUM(J219:O219))</f>
      </c>
      <c r="Q219" s="14">
        <f>IF(F219="","",F219+P219)</f>
      </c>
      <c r="R219" s="2"/>
      <c r="S219" s="2"/>
      <c r="T219" s="3"/>
      <c r="U219" s="14">
        <f>IF(OR(F219="",T219=""),"",T219-F219)</f>
      </c>
      <c r="V219" s="14">
        <f>IF(T219="","",T219-Q219)</f>
      </c>
      <c r="W219" s="15">
        <f>IFERROR(V219/T219,"")</f>
      </c>
      <c r="X219" s="12">
        <f>IF(F219="","",IF(H219="","STOKTA","SATILDI"))</f>
      </c>
      <c r="Y219" s="2"/>
      <c r="Z219" s="3"/>
      <c r="AA219" s="3"/>
      <c r="AB219" s="3"/>
      <c r="AC219" s="14">
        <f>IF(F219="","",SUM(Z219:AB219))</f>
      </c>
      <c r="AD219" s="14">
        <f>IF(T219="","",V219+AC219)</f>
      </c>
    </row>
    <row r="220" spans="1:30">
      <c r="A220">
        <f>IF(D220="","",ROW()-3)</f>
      </c>
      <c r="B220" s="2"/>
      <c r="C220" s="18"/>
      <c r="D220" s="2"/>
      <c r="E220" s="2"/>
      <c r="F220" s="3"/>
      <c r="G220" s="16"/>
      <c r="H220" s="16"/>
      <c r="I220" s="17">
        <f>IF(G220="","",IF(H220="",TODAY()-G220,H220-G220))</f>
      </c>
      <c r="J220" s="13">
        <f>IF(F220="","",IFERROR(IF(VLOOKUP(E220,'ALIM AYARLARI'!$A$4:$D$20,3,FALSE)="EVET",'GİDER AYARLARI'!$B$4,0),0))</f>
      </c>
      <c r="K220" s="13">
        <f>IF(F220="","",'GİDER AYARLARI'!$B$5)</f>
      </c>
      <c r="L220" s="13">
        <f>IF(F220="","",'GİDER AYARLARI'!$B$6)</f>
      </c>
      <c r="M220" s="13">
        <f>IF(F220="","",IFERROR(IF(VLOOKUP(E220,'ALIM AYARLARI'!$A$4:$D$20,3,FALSE)="EVET",'GİDER AYARLARI'!$B$7,0),0))</f>
      </c>
      <c r="N220" s="3"/>
      <c r="O220" s="13">
        <f>IF(OR(F220="",I220=""),"",IFERROR(IF(VLOOKUP(E220,'ALIM AYARLARI'!$A$4:$D$20,2,FALSE)="EVET",F220*'GİDER AYARLARI'!$B$8*I220/30,0),0))</f>
      </c>
      <c r="P220" s="14">
        <f>IF(F220="","",SUM(J220:O220))</f>
      </c>
      <c r="Q220" s="14">
        <f>IF(F220="","",F220+P220)</f>
      </c>
      <c r="R220" s="2"/>
      <c r="S220" s="2"/>
      <c r="T220" s="3"/>
      <c r="U220" s="14">
        <f>IF(OR(F220="",T220=""),"",T220-F220)</f>
      </c>
      <c r="V220" s="14">
        <f>IF(T220="","",T220-Q220)</f>
      </c>
      <c r="W220" s="15">
        <f>IFERROR(V220/T220,"")</f>
      </c>
      <c r="X220" s="12">
        <f>IF(F220="","",IF(H220="","STOKTA","SATILDI"))</f>
      </c>
      <c r="Y220" s="2"/>
      <c r="Z220" s="3"/>
      <c r="AA220" s="3"/>
      <c r="AB220" s="3"/>
      <c r="AC220" s="14">
        <f>IF(F220="","",SUM(Z220:AB220))</f>
      </c>
      <c r="AD220" s="14">
        <f>IF(T220="","",V220+AC220)</f>
      </c>
    </row>
    <row r="221" spans="1:30">
      <c r="A221">
        <f>IF(D221="","",ROW()-3)</f>
      </c>
      <c r="B221" s="2"/>
      <c r="C221" s="18"/>
      <c r="D221" s="2"/>
      <c r="E221" s="2"/>
      <c r="F221" s="3"/>
      <c r="G221" s="16"/>
      <c r="H221" s="16"/>
      <c r="I221" s="17">
        <f>IF(G221="","",IF(H221="",TODAY()-G221,H221-G221))</f>
      </c>
      <c r="J221" s="13">
        <f>IF(F221="","",IFERROR(IF(VLOOKUP(E221,'ALIM AYARLARI'!$A$4:$D$20,3,FALSE)="EVET",'GİDER AYARLARI'!$B$4,0),0))</f>
      </c>
      <c r="K221" s="13">
        <f>IF(F221="","",'GİDER AYARLARI'!$B$5)</f>
      </c>
      <c r="L221" s="13">
        <f>IF(F221="","",'GİDER AYARLARI'!$B$6)</f>
      </c>
      <c r="M221" s="13">
        <f>IF(F221="","",IFERROR(IF(VLOOKUP(E221,'ALIM AYARLARI'!$A$4:$D$20,3,FALSE)="EVET",'GİDER AYARLARI'!$B$7,0),0))</f>
      </c>
      <c r="N221" s="3"/>
      <c r="O221" s="13">
        <f>IF(OR(F221="",I221=""),"",IFERROR(IF(VLOOKUP(E221,'ALIM AYARLARI'!$A$4:$D$20,2,FALSE)="EVET",F221*'GİDER AYARLARI'!$B$8*I221/30,0),0))</f>
      </c>
      <c r="P221" s="14">
        <f>IF(F221="","",SUM(J221:O221))</f>
      </c>
      <c r="Q221" s="14">
        <f>IF(F221="","",F221+P221)</f>
      </c>
      <c r="R221" s="2"/>
      <c r="S221" s="2"/>
      <c r="T221" s="3"/>
      <c r="U221" s="14">
        <f>IF(OR(F221="",T221=""),"",T221-F221)</f>
      </c>
      <c r="V221" s="14">
        <f>IF(T221="","",T221-Q221)</f>
      </c>
      <c r="W221" s="15">
        <f>IFERROR(V221/T221,"")</f>
      </c>
      <c r="X221" s="12">
        <f>IF(F221="","",IF(H221="","STOKTA","SATILDI"))</f>
      </c>
      <c r="Y221" s="2"/>
      <c r="Z221" s="3"/>
      <c r="AA221" s="3"/>
      <c r="AB221" s="3"/>
      <c r="AC221" s="14">
        <f>IF(F221="","",SUM(Z221:AB221))</f>
      </c>
      <c r="AD221" s="14">
        <f>IF(T221="","",V221+AC221)</f>
      </c>
    </row>
    <row r="222" spans="1:30">
      <c r="A222">
        <f>IF(D222="","",ROW()-3)</f>
      </c>
      <c r="B222" s="2"/>
      <c r="C222" s="18"/>
      <c r="D222" s="2"/>
      <c r="E222" s="2"/>
      <c r="F222" s="3"/>
      <c r="G222" s="16"/>
      <c r="H222" s="16"/>
      <c r="I222" s="17">
        <f>IF(G222="","",IF(H222="",TODAY()-G222,H222-G222))</f>
      </c>
      <c r="J222" s="13">
        <f>IF(F222="","",IFERROR(IF(VLOOKUP(E222,'ALIM AYARLARI'!$A$4:$D$20,3,FALSE)="EVET",'GİDER AYARLARI'!$B$4,0),0))</f>
      </c>
      <c r="K222" s="13">
        <f>IF(F222="","",'GİDER AYARLARI'!$B$5)</f>
      </c>
      <c r="L222" s="13">
        <f>IF(F222="","",'GİDER AYARLARI'!$B$6)</f>
      </c>
      <c r="M222" s="13">
        <f>IF(F222="","",IFERROR(IF(VLOOKUP(E222,'ALIM AYARLARI'!$A$4:$D$20,3,FALSE)="EVET",'GİDER AYARLARI'!$B$7,0),0))</f>
      </c>
      <c r="N222" s="3"/>
      <c r="O222" s="13">
        <f>IF(OR(F222="",I222=""),"",IFERROR(IF(VLOOKUP(E222,'ALIM AYARLARI'!$A$4:$D$20,2,FALSE)="EVET",F222*'GİDER AYARLARI'!$B$8*I222/30,0),0))</f>
      </c>
      <c r="P222" s="14">
        <f>IF(F222="","",SUM(J222:O222))</f>
      </c>
      <c r="Q222" s="14">
        <f>IF(F222="","",F222+P222)</f>
      </c>
      <c r="R222" s="2"/>
      <c r="S222" s="2"/>
      <c r="T222" s="3"/>
      <c r="U222" s="14">
        <f>IF(OR(F222="",T222=""),"",T222-F222)</f>
      </c>
      <c r="V222" s="14">
        <f>IF(T222="","",T222-Q222)</f>
      </c>
      <c r="W222" s="15">
        <f>IFERROR(V222/T222,"")</f>
      </c>
      <c r="X222" s="12">
        <f>IF(F222="","",IF(H222="","STOKTA","SATILDI"))</f>
      </c>
      <c r="Y222" s="2"/>
      <c r="Z222" s="3"/>
      <c r="AA222" s="3"/>
      <c r="AB222" s="3"/>
      <c r="AC222" s="14">
        <f>IF(F222="","",SUM(Z222:AB222))</f>
      </c>
      <c r="AD222" s="14">
        <f>IF(T222="","",V222+AC222)</f>
      </c>
    </row>
    <row r="223" spans="1:30">
      <c r="A223">
        <f>IF(D223="","",ROW()-3)</f>
      </c>
      <c r="B223" s="2"/>
      <c r="C223" s="18"/>
      <c r="D223" s="2"/>
      <c r="E223" s="2"/>
      <c r="F223" s="3"/>
      <c r="G223" s="16"/>
      <c r="H223" s="16"/>
      <c r="I223" s="17">
        <f>IF(G223="","",IF(H223="",TODAY()-G223,H223-G223))</f>
      </c>
      <c r="J223" s="13">
        <f>IF(F223="","",IFERROR(IF(VLOOKUP(E223,'ALIM AYARLARI'!$A$4:$D$20,3,FALSE)="EVET",'GİDER AYARLARI'!$B$4,0),0))</f>
      </c>
      <c r="K223" s="13">
        <f>IF(F223="","",'GİDER AYARLARI'!$B$5)</f>
      </c>
      <c r="L223" s="13">
        <f>IF(F223="","",'GİDER AYARLARI'!$B$6)</f>
      </c>
      <c r="M223" s="13">
        <f>IF(F223="","",IFERROR(IF(VLOOKUP(E223,'ALIM AYARLARI'!$A$4:$D$20,3,FALSE)="EVET",'GİDER AYARLARI'!$B$7,0),0))</f>
      </c>
      <c r="N223" s="3"/>
      <c r="O223" s="13">
        <f>IF(OR(F223="",I223=""),"",IFERROR(IF(VLOOKUP(E223,'ALIM AYARLARI'!$A$4:$D$20,2,FALSE)="EVET",F223*'GİDER AYARLARI'!$B$8*I223/30,0),0))</f>
      </c>
      <c r="P223" s="14">
        <f>IF(F223="","",SUM(J223:O223))</f>
      </c>
      <c r="Q223" s="14">
        <f>IF(F223="","",F223+P223)</f>
      </c>
      <c r="R223" s="2"/>
      <c r="S223" s="2"/>
      <c r="T223" s="3"/>
      <c r="U223" s="14">
        <f>IF(OR(F223="",T223=""),"",T223-F223)</f>
      </c>
      <c r="V223" s="14">
        <f>IF(T223="","",T223-Q223)</f>
      </c>
      <c r="W223" s="15">
        <f>IFERROR(V223/T223,"")</f>
      </c>
      <c r="X223" s="12">
        <f>IF(F223="","",IF(H223="","STOKTA","SATILDI"))</f>
      </c>
      <c r="Y223" s="2"/>
      <c r="Z223" s="3"/>
      <c r="AA223" s="3"/>
      <c r="AB223" s="3"/>
      <c r="AC223" s="14">
        <f>IF(F223="","",SUM(Z223:AB223))</f>
      </c>
      <c r="AD223" s="14">
        <f>IF(T223="","",V223+AC223)</f>
      </c>
    </row>
    <row r="224" spans="1:30">
      <c r="A224">
        <f>IF(D224="","",ROW()-3)</f>
      </c>
      <c r="B224" s="2"/>
      <c r="C224" s="18"/>
      <c r="D224" s="2"/>
      <c r="E224" s="2"/>
      <c r="F224" s="3"/>
      <c r="G224" s="16"/>
      <c r="H224" s="16"/>
      <c r="I224" s="17">
        <f>IF(G224="","",IF(H224="",TODAY()-G224,H224-G224))</f>
      </c>
      <c r="J224" s="13">
        <f>IF(F224="","",IFERROR(IF(VLOOKUP(E224,'ALIM AYARLARI'!$A$4:$D$20,3,FALSE)="EVET",'GİDER AYARLARI'!$B$4,0),0))</f>
      </c>
      <c r="K224" s="13">
        <f>IF(F224="","",'GİDER AYARLARI'!$B$5)</f>
      </c>
      <c r="L224" s="13">
        <f>IF(F224="","",'GİDER AYARLARI'!$B$6)</f>
      </c>
      <c r="M224" s="13">
        <f>IF(F224="","",IFERROR(IF(VLOOKUP(E224,'ALIM AYARLARI'!$A$4:$D$20,3,FALSE)="EVET",'GİDER AYARLARI'!$B$7,0),0))</f>
      </c>
      <c r="N224" s="3"/>
      <c r="O224" s="13">
        <f>IF(OR(F224="",I224=""),"",IFERROR(IF(VLOOKUP(E224,'ALIM AYARLARI'!$A$4:$D$20,2,FALSE)="EVET",F224*'GİDER AYARLARI'!$B$8*I224/30,0),0))</f>
      </c>
      <c r="P224" s="14">
        <f>IF(F224="","",SUM(J224:O224))</f>
      </c>
      <c r="Q224" s="14">
        <f>IF(F224="","",F224+P224)</f>
      </c>
      <c r="R224" s="2"/>
      <c r="S224" s="2"/>
      <c r="T224" s="3"/>
      <c r="U224" s="14">
        <f>IF(OR(F224="",T224=""),"",T224-F224)</f>
      </c>
      <c r="V224" s="14">
        <f>IF(T224="","",T224-Q224)</f>
      </c>
      <c r="W224" s="15">
        <f>IFERROR(V224/T224,"")</f>
      </c>
      <c r="X224" s="12">
        <f>IF(F224="","",IF(H224="","STOKTA","SATILDI"))</f>
      </c>
      <c r="Y224" s="2"/>
      <c r="Z224" s="3"/>
      <c r="AA224" s="3"/>
      <c r="AB224" s="3"/>
      <c r="AC224" s="14">
        <f>IF(F224="","",SUM(Z224:AB224))</f>
      </c>
      <c r="AD224" s="14">
        <f>IF(T224="","",V224+AC224)</f>
      </c>
    </row>
    <row r="225" spans="1:30">
      <c r="A225">
        <f>IF(D225="","",ROW()-3)</f>
      </c>
      <c r="B225" s="2"/>
      <c r="C225" s="18"/>
      <c r="D225" s="2"/>
      <c r="E225" s="2"/>
      <c r="F225" s="3"/>
      <c r="G225" s="16"/>
      <c r="H225" s="16"/>
      <c r="I225" s="17">
        <f>IF(G225="","",IF(H225="",TODAY()-G225,H225-G225))</f>
      </c>
      <c r="J225" s="13">
        <f>IF(F225="","",IFERROR(IF(VLOOKUP(E225,'ALIM AYARLARI'!$A$4:$D$20,3,FALSE)="EVET",'GİDER AYARLARI'!$B$4,0),0))</f>
      </c>
      <c r="K225" s="13">
        <f>IF(F225="","",'GİDER AYARLARI'!$B$5)</f>
      </c>
      <c r="L225" s="13">
        <f>IF(F225="","",'GİDER AYARLARI'!$B$6)</f>
      </c>
      <c r="M225" s="13">
        <f>IF(F225="","",IFERROR(IF(VLOOKUP(E225,'ALIM AYARLARI'!$A$4:$D$20,3,FALSE)="EVET",'GİDER AYARLARI'!$B$7,0),0))</f>
      </c>
      <c r="N225" s="3"/>
      <c r="O225" s="13">
        <f>IF(OR(F225="",I225=""),"",IFERROR(IF(VLOOKUP(E225,'ALIM AYARLARI'!$A$4:$D$20,2,FALSE)="EVET",F225*'GİDER AYARLARI'!$B$8*I225/30,0),0))</f>
      </c>
      <c r="P225" s="14">
        <f>IF(F225="","",SUM(J225:O225))</f>
      </c>
      <c r="Q225" s="14">
        <f>IF(F225="","",F225+P225)</f>
      </c>
      <c r="R225" s="2"/>
      <c r="S225" s="2"/>
      <c r="T225" s="3"/>
      <c r="U225" s="14">
        <f>IF(OR(F225="",T225=""),"",T225-F225)</f>
      </c>
      <c r="V225" s="14">
        <f>IF(T225="","",T225-Q225)</f>
      </c>
      <c r="W225" s="15">
        <f>IFERROR(V225/T225,"")</f>
      </c>
      <c r="X225" s="12">
        <f>IF(F225="","",IF(H225="","STOKTA","SATILDI"))</f>
      </c>
      <c r="Y225" s="2"/>
      <c r="Z225" s="3"/>
      <c r="AA225" s="3"/>
      <c r="AB225" s="3"/>
      <c r="AC225" s="14">
        <f>IF(F225="","",SUM(Z225:AB225))</f>
      </c>
      <c r="AD225" s="14">
        <f>IF(T225="","",V225+AC225)</f>
      </c>
    </row>
    <row r="226" spans="1:30">
      <c r="A226">
        <f>IF(D226="","",ROW()-3)</f>
      </c>
      <c r="B226" s="2"/>
      <c r="C226" s="18"/>
      <c r="D226" s="2"/>
      <c r="E226" s="2"/>
      <c r="F226" s="3"/>
      <c r="G226" s="16"/>
      <c r="H226" s="16"/>
      <c r="I226" s="17">
        <f>IF(G226="","",IF(H226="",TODAY()-G226,H226-G226))</f>
      </c>
      <c r="J226" s="13">
        <f>IF(F226="","",IFERROR(IF(VLOOKUP(E226,'ALIM AYARLARI'!$A$4:$D$20,3,FALSE)="EVET",'GİDER AYARLARI'!$B$4,0),0))</f>
      </c>
      <c r="K226" s="13">
        <f>IF(F226="","",'GİDER AYARLARI'!$B$5)</f>
      </c>
      <c r="L226" s="13">
        <f>IF(F226="","",'GİDER AYARLARI'!$B$6)</f>
      </c>
      <c r="M226" s="13">
        <f>IF(F226="","",IFERROR(IF(VLOOKUP(E226,'ALIM AYARLARI'!$A$4:$D$20,3,FALSE)="EVET",'GİDER AYARLARI'!$B$7,0),0))</f>
      </c>
      <c r="N226" s="3"/>
      <c r="O226" s="13">
        <f>IF(OR(F226="",I226=""),"",IFERROR(IF(VLOOKUP(E226,'ALIM AYARLARI'!$A$4:$D$20,2,FALSE)="EVET",F226*'GİDER AYARLARI'!$B$8*I226/30,0),0))</f>
      </c>
      <c r="P226" s="14">
        <f>IF(F226="","",SUM(J226:O226))</f>
      </c>
      <c r="Q226" s="14">
        <f>IF(F226="","",F226+P226)</f>
      </c>
      <c r="R226" s="2"/>
      <c r="S226" s="2"/>
      <c r="T226" s="3"/>
      <c r="U226" s="14">
        <f>IF(OR(F226="",T226=""),"",T226-F226)</f>
      </c>
      <c r="V226" s="14">
        <f>IF(T226="","",T226-Q226)</f>
      </c>
      <c r="W226" s="15">
        <f>IFERROR(V226/T226,"")</f>
      </c>
      <c r="X226" s="12">
        <f>IF(F226="","",IF(H226="","STOKTA","SATILDI"))</f>
      </c>
      <c r="Y226" s="2"/>
      <c r="Z226" s="3"/>
      <c r="AA226" s="3"/>
      <c r="AB226" s="3"/>
      <c r="AC226" s="14">
        <f>IF(F226="","",SUM(Z226:AB226))</f>
      </c>
      <c r="AD226" s="14">
        <f>IF(T226="","",V226+AC226)</f>
      </c>
    </row>
    <row r="227" spans="1:30">
      <c r="A227">
        <f>IF(D227="","",ROW()-3)</f>
      </c>
      <c r="B227" s="2"/>
      <c r="C227" s="18"/>
      <c r="D227" s="2"/>
      <c r="E227" s="2"/>
      <c r="F227" s="3"/>
      <c r="G227" s="16"/>
      <c r="H227" s="16"/>
      <c r="I227" s="17">
        <f>IF(G227="","",IF(H227="",TODAY()-G227,H227-G227))</f>
      </c>
      <c r="J227" s="13">
        <f>IF(F227="","",IFERROR(IF(VLOOKUP(E227,'ALIM AYARLARI'!$A$4:$D$20,3,FALSE)="EVET",'GİDER AYARLARI'!$B$4,0),0))</f>
      </c>
      <c r="K227" s="13">
        <f>IF(F227="","",'GİDER AYARLARI'!$B$5)</f>
      </c>
      <c r="L227" s="13">
        <f>IF(F227="","",'GİDER AYARLARI'!$B$6)</f>
      </c>
      <c r="M227" s="13">
        <f>IF(F227="","",IFERROR(IF(VLOOKUP(E227,'ALIM AYARLARI'!$A$4:$D$20,3,FALSE)="EVET",'GİDER AYARLARI'!$B$7,0),0))</f>
      </c>
      <c r="N227" s="3"/>
      <c r="O227" s="13">
        <f>IF(OR(F227="",I227=""),"",IFERROR(IF(VLOOKUP(E227,'ALIM AYARLARI'!$A$4:$D$20,2,FALSE)="EVET",F227*'GİDER AYARLARI'!$B$8*I227/30,0),0))</f>
      </c>
      <c r="P227" s="14">
        <f>IF(F227="","",SUM(J227:O227))</f>
      </c>
      <c r="Q227" s="14">
        <f>IF(F227="","",F227+P227)</f>
      </c>
      <c r="R227" s="2"/>
      <c r="S227" s="2"/>
      <c r="T227" s="3"/>
      <c r="U227" s="14">
        <f>IF(OR(F227="",T227=""),"",T227-F227)</f>
      </c>
      <c r="V227" s="14">
        <f>IF(T227="","",T227-Q227)</f>
      </c>
      <c r="W227" s="15">
        <f>IFERROR(V227/T227,"")</f>
      </c>
      <c r="X227" s="12">
        <f>IF(F227="","",IF(H227="","STOKTA","SATILDI"))</f>
      </c>
      <c r="Y227" s="2"/>
      <c r="Z227" s="3"/>
      <c r="AA227" s="3"/>
      <c r="AB227" s="3"/>
      <c r="AC227" s="14">
        <f>IF(F227="","",SUM(Z227:AB227))</f>
      </c>
      <c r="AD227" s="14">
        <f>IF(T227="","",V227+AC227)</f>
      </c>
    </row>
    <row r="228" spans="1:30">
      <c r="A228">
        <f>IF(D228="","",ROW()-3)</f>
      </c>
      <c r="B228" s="2"/>
      <c r="C228" s="18"/>
      <c r="D228" s="2"/>
      <c r="E228" s="2"/>
      <c r="F228" s="3"/>
      <c r="G228" s="16"/>
      <c r="H228" s="16"/>
      <c r="I228" s="17">
        <f>IF(G228="","",IF(H228="",TODAY()-G228,H228-G228))</f>
      </c>
      <c r="J228" s="13">
        <f>IF(F228="","",IFERROR(IF(VLOOKUP(E228,'ALIM AYARLARI'!$A$4:$D$20,3,FALSE)="EVET",'GİDER AYARLARI'!$B$4,0),0))</f>
      </c>
      <c r="K228" s="13">
        <f>IF(F228="","",'GİDER AYARLARI'!$B$5)</f>
      </c>
      <c r="L228" s="13">
        <f>IF(F228="","",'GİDER AYARLARI'!$B$6)</f>
      </c>
      <c r="M228" s="13">
        <f>IF(F228="","",IFERROR(IF(VLOOKUP(E228,'ALIM AYARLARI'!$A$4:$D$20,3,FALSE)="EVET",'GİDER AYARLARI'!$B$7,0),0))</f>
      </c>
      <c r="N228" s="3"/>
      <c r="O228" s="13">
        <f>IF(OR(F228="",I228=""),"",IFERROR(IF(VLOOKUP(E228,'ALIM AYARLARI'!$A$4:$D$20,2,FALSE)="EVET",F228*'GİDER AYARLARI'!$B$8*I228/30,0),0))</f>
      </c>
      <c r="P228" s="14">
        <f>IF(F228="","",SUM(J228:O228))</f>
      </c>
      <c r="Q228" s="14">
        <f>IF(F228="","",F228+P228)</f>
      </c>
      <c r="R228" s="2"/>
      <c r="S228" s="2"/>
      <c r="T228" s="3"/>
      <c r="U228" s="14">
        <f>IF(OR(F228="",T228=""),"",T228-F228)</f>
      </c>
      <c r="V228" s="14">
        <f>IF(T228="","",T228-Q228)</f>
      </c>
      <c r="W228" s="15">
        <f>IFERROR(V228/T228,"")</f>
      </c>
      <c r="X228" s="12">
        <f>IF(F228="","",IF(H228="","STOKTA","SATILDI"))</f>
      </c>
      <c r="Y228" s="2"/>
      <c r="Z228" s="3"/>
      <c r="AA228" s="3"/>
      <c r="AB228" s="3"/>
      <c r="AC228" s="14">
        <f>IF(F228="","",SUM(Z228:AB228))</f>
      </c>
      <c r="AD228" s="14">
        <f>IF(T228="","",V228+AC228)</f>
      </c>
    </row>
    <row r="229" spans="1:30">
      <c r="A229">
        <f>IF(D229="","",ROW()-3)</f>
      </c>
      <c r="B229" s="2"/>
      <c r="C229" s="18"/>
      <c r="D229" s="2"/>
      <c r="E229" s="2"/>
      <c r="F229" s="3"/>
      <c r="G229" s="16"/>
      <c r="H229" s="16"/>
      <c r="I229" s="17">
        <f>IF(G229="","",IF(H229="",TODAY()-G229,H229-G229))</f>
      </c>
      <c r="J229" s="13">
        <f>IF(F229="","",IFERROR(IF(VLOOKUP(E229,'ALIM AYARLARI'!$A$4:$D$20,3,FALSE)="EVET",'GİDER AYARLARI'!$B$4,0),0))</f>
      </c>
      <c r="K229" s="13">
        <f>IF(F229="","",'GİDER AYARLARI'!$B$5)</f>
      </c>
      <c r="L229" s="13">
        <f>IF(F229="","",'GİDER AYARLARI'!$B$6)</f>
      </c>
      <c r="M229" s="13">
        <f>IF(F229="","",IFERROR(IF(VLOOKUP(E229,'ALIM AYARLARI'!$A$4:$D$20,3,FALSE)="EVET",'GİDER AYARLARI'!$B$7,0),0))</f>
      </c>
      <c r="N229" s="3"/>
      <c r="O229" s="13">
        <f>IF(OR(F229="",I229=""),"",IFERROR(IF(VLOOKUP(E229,'ALIM AYARLARI'!$A$4:$D$20,2,FALSE)="EVET",F229*'GİDER AYARLARI'!$B$8*I229/30,0),0))</f>
      </c>
      <c r="P229" s="14">
        <f>IF(F229="","",SUM(J229:O229))</f>
      </c>
      <c r="Q229" s="14">
        <f>IF(F229="","",F229+P229)</f>
      </c>
      <c r="R229" s="2"/>
      <c r="S229" s="2"/>
      <c r="T229" s="3"/>
      <c r="U229" s="14">
        <f>IF(OR(F229="",T229=""),"",T229-F229)</f>
      </c>
      <c r="V229" s="14">
        <f>IF(T229="","",T229-Q229)</f>
      </c>
      <c r="W229" s="15">
        <f>IFERROR(V229/T229,"")</f>
      </c>
      <c r="X229" s="12">
        <f>IF(F229="","",IF(H229="","STOKTA","SATILDI"))</f>
      </c>
      <c r="Y229" s="2"/>
      <c r="Z229" s="3"/>
      <c r="AA229" s="3"/>
      <c r="AB229" s="3"/>
      <c r="AC229" s="14">
        <f>IF(F229="","",SUM(Z229:AB229))</f>
      </c>
      <c r="AD229" s="14">
        <f>IF(T229="","",V229+AC229)</f>
      </c>
    </row>
    <row r="230" spans="1:30">
      <c r="A230">
        <f>IF(D230="","",ROW()-3)</f>
      </c>
      <c r="B230" s="2"/>
      <c r="C230" s="18"/>
      <c r="D230" s="2"/>
      <c r="E230" s="2"/>
      <c r="F230" s="3"/>
      <c r="G230" s="16"/>
      <c r="H230" s="16"/>
      <c r="I230" s="17">
        <f>IF(G230="","",IF(H230="",TODAY()-G230,H230-G230))</f>
      </c>
      <c r="J230" s="13">
        <f>IF(F230="","",IFERROR(IF(VLOOKUP(E230,'ALIM AYARLARI'!$A$4:$D$20,3,FALSE)="EVET",'GİDER AYARLARI'!$B$4,0),0))</f>
      </c>
      <c r="K230" s="13">
        <f>IF(F230="","",'GİDER AYARLARI'!$B$5)</f>
      </c>
      <c r="L230" s="13">
        <f>IF(F230="","",'GİDER AYARLARI'!$B$6)</f>
      </c>
      <c r="M230" s="13">
        <f>IF(F230="","",IFERROR(IF(VLOOKUP(E230,'ALIM AYARLARI'!$A$4:$D$20,3,FALSE)="EVET",'GİDER AYARLARI'!$B$7,0),0))</f>
      </c>
      <c r="N230" s="3"/>
      <c r="O230" s="13">
        <f>IF(OR(F230="",I230=""),"",IFERROR(IF(VLOOKUP(E230,'ALIM AYARLARI'!$A$4:$D$20,2,FALSE)="EVET",F230*'GİDER AYARLARI'!$B$8*I230/30,0),0))</f>
      </c>
      <c r="P230" s="14">
        <f>IF(F230="","",SUM(J230:O230))</f>
      </c>
      <c r="Q230" s="14">
        <f>IF(F230="","",F230+P230)</f>
      </c>
      <c r="R230" s="2"/>
      <c r="S230" s="2"/>
      <c r="T230" s="3"/>
      <c r="U230" s="14">
        <f>IF(OR(F230="",T230=""),"",T230-F230)</f>
      </c>
      <c r="V230" s="14">
        <f>IF(T230="","",T230-Q230)</f>
      </c>
      <c r="W230" s="15">
        <f>IFERROR(V230/T230,"")</f>
      </c>
      <c r="X230" s="12">
        <f>IF(F230="","",IF(H230="","STOKTA","SATILDI"))</f>
      </c>
      <c r="Y230" s="2"/>
      <c r="Z230" s="3"/>
      <c r="AA230" s="3"/>
      <c r="AB230" s="3"/>
      <c r="AC230" s="14">
        <f>IF(F230="","",SUM(Z230:AB230))</f>
      </c>
      <c r="AD230" s="14">
        <f>IF(T230="","",V230+AC230)</f>
      </c>
    </row>
    <row r="231" spans="1:30">
      <c r="A231">
        <f>IF(D231="","",ROW()-3)</f>
      </c>
      <c r="B231" s="2"/>
      <c r="C231" s="18"/>
      <c r="D231" s="2"/>
      <c r="E231" s="2"/>
      <c r="F231" s="3"/>
      <c r="G231" s="16"/>
      <c r="H231" s="16"/>
      <c r="I231" s="17">
        <f>IF(G231="","",IF(H231="",TODAY()-G231,H231-G231))</f>
      </c>
      <c r="J231" s="13">
        <f>IF(F231="","",IFERROR(IF(VLOOKUP(E231,'ALIM AYARLARI'!$A$4:$D$20,3,FALSE)="EVET",'GİDER AYARLARI'!$B$4,0),0))</f>
      </c>
      <c r="K231" s="13">
        <f>IF(F231="","",'GİDER AYARLARI'!$B$5)</f>
      </c>
      <c r="L231" s="13">
        <f>IF(F231="","",'GİDER AYARLARI'!$B$6)</f>
      </c>
      <c r="M231" s="13">
        <f>IF(F231="","",IFERROR(IF(VLOOKUP(E231,'ALIM AYARLARI'!$A$4:$D$20,3,FALSE)="EVET",'GİDER AYARLARI'!$B$7,0),0))</f>
      </c>
      <c r="N231" s="3"/>
      <c r="O231" s="13">
        <f>IF(OR(F231="",I231=""),"",IFERROR(IF(VLOOKUP(E231,'ALIM AYARLARI'!$A$4:$D$20,2,FALSE)="EVET",F231*'GİDER AYARLARI'!$B$8*I231/30,0),0))</f>
      </c>
      <c r="P231" s="14">
        <f>IF(F231="","",SUM(J231:O231))</f>
      </c>
      <c r="Q231" s="14">
        <f>IF(F231="","",F231+P231)</f>
      </c>
      <c r="R231" s="2"/>
      <c r="S231" s="2"/>
      <c r="T231" s="3"/>
      <c r="U231" s="14">
        <f>IF(OR(F231="",T231=""),"",T231-F231)</f>
      </c>
      <c r="V231" s="14">
        <f>IF(T231="","",T231-Q231)</f>
      </c>
      <c r="W231" s="15">
        <f>IFERROR(V231/T231,"")</f>
      </c>
      <c r="X231" s="12">
        <f>IF(F231="","",IF(H231="","STOKTA","SATILDI"))</f>
      </c>
      <c r="Y231" s="2"/>
      <c r="Z231" s="3"/>
      <c r="AA231" s="3"/>
      <c r="AB231" s="3"/>
      <c r="AC231" s="14">
        <f>IF(F231="","",SUM(Z231:AB231))</f>
      </c>
      <c r="AD231" s="14">
        <f>IF(T231="","",V231+AC231)</f>
      </c>
    </row>
    <row r="232" spans="1:30">
      <c r="A232">
        <f>IF(D232="","",ROW()-3)</f>
      </c>
      <c r="B232" s="2"/>
      <c r="C232" s="18"/>
      <c r="D232" s="2"/>
      <c r="E232" s="2"/>
      <c r="F232" s="3"/>
      <c r="G232" s="16"/>
      <c r="H232" s="16"/>
      <c r="I232" s="17">
        <f>IF(G232="","",IF(H232="",TODAY()-G232,H232-G232))</f>
      </c>
      <c r="J232" s="13">
        <f>IF(F232="","",IFERROR(IF(VLOOKUP(E232,'ALIM AYARLARI'!$A$4:$D$20,3,FALSE)="EVET",'GİDER AYARLARI'!$B$4,0),0))</f>
      </c>
      <c r="K232" s="13">
        <f>IF(F232="","",'GİDER AYARLARI'!$B$5)</f>
      </c>
      <c r="L232" s="13">
        <f>IF(F232="","",'GİDER AYARLARI'!$B$6)</f>
      </c>
      <c r="M232" s="13">
        <f>IF(F232="","",IFERROR(IF(VLOOKUP(E232,'ALIM AYARLARI'!$A$4:$D$20,3,FALSE)="EVET",'GİDER AYARLARI'!$B$7,0),0))</f>
      </c>
      <c r="N232" s="3"/>
      <c r="O232" s="13">
        <f>IF(OR(F232="",I232=""),"",IFERROR(IF(VLOOKUP(E232,'ALIM AYARLARI'!$A$4:$D$20,2,FALSE)="EVET",F232*'GİDER AYARLARI'!$B$8*I232/30,0),0))</f>
      </c>
      <c r="P232" s="14">
        <f>IF(F232="","",SUM(J232:O232))</f>
      </c>
      <c r="Q232" s="14">
        <f>IF(F232="","",F232+P232)</f>
      </c>
      <c r="R232" s="2"/>
      <c r="S232" s="2"/>
      <c r="T232" s="3"/>
      <c r="U232" s="14">
        <f>IF(OR(F232="",T232=""),"",T232-F232)</f>
      </c>
      <c r="V232" s="14">
        <f>IF(T232="","",T232-Q232)</f>
      </c>
      <c r="W232" s="15">
        <f>IFERROR(V232/T232,"")</f>
      </c>
      <c r="X232" s="12">
        <f>IF(F232="","",IF(H232="","STOKTA","SATILDI"))</f>
      </c>
      <c r="Y232" s="2"/>
      <c r="Z232" s="3"/>
      <c r="AA232" s="3"/>
      <c r="AB232" s="3"/>
      <c r="AC232" s="14">
        <f>IF(F232="","",SUM(Z232:AB232))</f>
      </c>
      <c r="AD232" s="14">
        <f>IF(T232="","",V232+AC232)</f>
      </c>
    </row>
    <row r="233" spans="1:30">
      <c r="A233">
        <f>IF(D233="","",ROW()-3)</f>
      </c>
      <c r="B233" s="2"/>
      <c r="C233" s="18"/>
      <c r="D233" s="2"/>
      <c r="E233" s="2"/>
      <c r="F233" s="3"/>
      <c r="G233" s="16"/>
      <c r="H233" s="16"/>
      <c r="I233" s="17">
        <f>IF(G233="","",IF(H233="",TODAY()-G233,H233-G233))</f>
      </c>
      <c r="J233" s="13">
        <f>IF(F233="","",IFERROR(IF(VLOOKUP(E233,'ALIM AYARLARI'!$A$4:$D$20,3,FALSE)="EVET",'GİDER AYARLARI'!$B$4,0),0))</f>
      </c>
      <c r="K233" s="13">
        <f>IF(F233="","",'GİDER AYARLARI'!$B$5)</f>
      </c>
      <c r="L233" s="13">
        <f>IF(F233="","",'GİDER AYARLARI'!$B$6)</f>
      </c>
      <c r="M233" s="13">
        <f>IF(F233="","",IFERROR(IF(VLOOKUP(E233,'ALIM AYARLARI'!$A$4:$D$20,3,FALSE)="EVET",'GİDER AYARLARI'!$B$7,0),0))</f>
      </c>
      <c r="N233" s="3"/>
      <c r="O233" s="13">
        <f>IF(OR(F233="",I233=""),"",IFERROR(IF(VLOOKUP(E233,'ALIM AYARLARI'!$A$4:$D$20,2,FALSE)="EVET",F233*'GİDER AYARLARI'!$B$8*I233/30,0),0))</f>
      </c>
      <c r="P233" s="14">
        <f>IF(F233="","",SUM(J233:O233))</f>
      </c>
      <c r="Q233" s="14">
        <f>IF(F233="","",F233+P233)</f>
      </c>
      <c r="R233" s="2"/>
      <c r="S233" s="2"/>
      <c r="T233" s="3"/>
      <c r="U233" s="14">
        <f>IF(OR(F233="",T233=""),"",T233-F233)</f>
      </c>
      <c r="V233" s="14">
        <f>IF(T233="","",T233-Q233)</f>
      </c>
      <c r="W233" s="15">
        <f>IFERROR(V233/T233,"")</f>
      </c>
      <c r="X233" s="12">
        <f>IF(F233="","",IF(H233="","STOKTA","SATILDI"))</f>
      </c>
      <c r="Y233" s="2"/>
      <c r="Z233" s="3"/>
      <c r="AA233" s="3"/>
      <c r="AB233" s="3"/>
      <c r="AC233" s="14">
        <f>IF(F233="","",SUM(Z233:AB233))</f>
      </c>
      <c r="AD233" s="14">
        <f>IF(T233="","",V233+AC233)</f>
      </c>
    </row>
    <row r="234" spans="1:30">
      <c r="A234">
        <f>IF(D234="","",ROW()-3)</f>
      </c>
      <c r="B234" s="2"/>
      <c r="C234" s="18"/>
      <c r="D234" s="2"/>
      <c r="E234" s="2"/>
      <c r="F234" s="3"/>
      <c r="G234" s="16"/>
      <c r="H234" s="16"/>
      <c r="I234" s="17">
        <f>IF(G234="","",IF(H234="",TODAY()-G234,H234-G234))</f>
      </c>
      <c r="J234" s="13">
        <f>IF(F234="","",IFERROR(IF(VLOOKUP(E234,'ALIM AYARLARI'!$A$4:$D$20,3,FALSE)="EVET",'GİDER AYARLARI'!$B$4,0),0))</f>
      </c>
      <c r="K234" s="13">
        <f>IF(F234="","",'GİDER AYARLARI'!$B$5)</f>
      </c>
      <c r="L234" s="13">
        <f>IF(F234="","",'GİDER AYARLARI'!$B$6)</f>
      </c>
      <c r="M234" s="13">
        <f>IF(F234="","",IFERROR(IF(VLOOKUP(E234,'ALIM AYARLARI'!$A$4:$D$20,3,FALSE)="EVET",'GİDER AYARLARI'!$B$7,0),0))</f>
      </c>
      <c r="N234" s="3"/>
      <c r="O234" s="13">
        <f>IF(OR(F234="",I234=""),"",IFERROR(IF(VLOOKUP(E234,'ALIM AYARLARI'!$A$4:$D$20,2,FALSE)="EVET",F234*'GİDER AYARLARI'!$B$8*I234/30,0),0))</f>
      </c>
      <c r="P234" s="14">
        <f>IF(F234="","",SUM(J234:O234))</f>
      </c>
      <c r="Q234" s="14">
        <f>IF(F234="","",F234+P234)</f>
      </c>
      <c r="R234" s="2"/>
      <c r="S234" s="2"/>
      <c r="T234" s="3"/>
      <c r="U234" s="14">
        <f>IF(OR(F234="",T234=""),"",T234-F234)</f>
      </c>
      <c r="V234" s="14">
        <f>IF(T234="","",T234-Q234)</f>
      </c>
      <c r="W234" s="15">
        <f>IFERROR(V234/T234,"")</f>
      </c>
      <c r="X234" s="12">
        <f>IF(F234="","",IF(H234="","STOKTA","SATILDI"))</f>
      </c>
      <c r="Y234" s="2"/>
      <c r="Z234" s="3"/>
      <c r="AA234" s="3"/>
      <c r="AB234" s="3"/>
      <c r="AC234" s="14">
        <f>IF(F234="","",SUM(Z234:AB234))</f>
      </c>
      <c r="AD234" s="14">
        <f>IF(T234="","",V234+AC234)</f>
      </c>
    </row>
    <row r="235" spans="1:30">
      <c r="A235">
        <f>IF(D235="","",ROW()-3)</f>
      </c>
      <c r="B235" s="2"/>
      <c r="C235" s="18"/>
      <c r="D235" s="2"/>
      <c r="E235" s="2"/>
      <c r="F235" s="3"/>
      <c r="G235" s="16"/>
      <c r="H235" s="16"/>
      <c r="I235" s="17">
        <f>IF(G235="","",IF(H235="",TODAY()-G235,H235-G235))</f>
      </c>
      <c r="J235" s="13">
        <f>IF(F235="","",IFERROR(IF(VLOOKUP(E235,'ALIM AYARLARI'!$A$4:$D$20,3,FALSE)="EVET",'GİDER AYARLARI'!$B$4,0),0))</f>
      </c>
      <c r="K235" s="13">
        <f>IF(F235="","",'GİDER AYARLARI'!$B$5)</f>
      </c>
      <c r="L235" s="13">
        <f>IF(F235="","",'GİDER AYARLARI'!$B$6)</f>
      </c>
      <c r="M235" s="13">
        <f>IF(F235="","",IFERROR(IF(VLOOKUP(E235,'ALIM AYARLARI'!$A$4:$D$20,3,FALSE)="EVET",'GİDER AYARLARI'!$B$7,0),0))</f>
      </c>
      <c r="N235" s="3"/>
      <c r="O235" s="13">
        <f>IF(OR(F235="",I235=""),"",IFERROR(IF(VLOOKUP(E235,'ALIM AYARLARI'!$A$4:$D$20,2,FALSE)="EVET",F235*'GİDER AYARLARI'!$B$8*I235/30,0),0))</f>
      </c>
      <c r="P235" s="14">
        <f>IF(F235="","",SUM(J235:O235))</f>
      </c>
      <c r="Q235" s="14">
        <f>IF(F235="","",F235+P235)</f>
      </c>
      <c r="R235" s="2"/>
      <c r="S235" s="2"/>
      <c r="T235" s="3"/>
      <c r="U235" s="14">
        <f>IF(OR(F235="",T235=""),"",T235-F235)</f>
      </c>
      <c r="V235" s="14">
        <f>IF(T235="","",T235-Q235)</f>
      </c>
      <c r="W235" s="15">
        <f>IFERROR(V235/T235,"")</f>
      </c>
      <c r="X235" s="12">
        <f>IF(F235="","",IF(H235="","STOKTA","SATILDI"))</f>
      </c>
      <c r="Y235" s="2"/>
      <c r="Z235" s="3"/>
      <c r="AA235" s="3"/>
      <c r="AB235" s="3"/>
      <c r="AC235" s="14">
        <f>IF(F235="","",SUM(Z235:AB235))</f>
      </c>
      <c r="AD235" s="14">
        <f>IF(T235="","",V235+AC235)</f>
      </c>
    </row>
    <row r="236" spans="1:30">
      <c r="A236">
        <f>IF(D236="","",ROW()-3)</f>
      </c>
      <c r="B236" s="2"/>
      <c r="C236" s="18"/>
      <c r="D236" s="2"/>
      <c r="E236" s="2"/>
      <c r="F236" s="3"/>
      <c r="G236" s="16"/>
      <c r="H236" s="16"/>
      <c r="I236" s="17">
        <f>IF(G236="","",IF(H236="",TODAY()-G236,H236-G236))</f>
      </c>
      <c r="J236" s="13">
        <f>IF(F236="","",IFERROR(IF(VLOOKUP(E236,'ALIM AYARLARI'!$A$4:$D$20,3,FALSE)="EVET",'GİDER AYARLARI'!$B$4,0),0))</f>
      </c>
      <c r="K236" s="13">
        <f>IF(F236="","",'GİDER AYARLARI'!$B$5)</f>
      </c>
      <c r="L236" s="13">
        <f>IF(F236="","",'GİDER AYARLARI'!$B$6)</f>
      </c>
      <c r="M236" s="13">
        <f>IF(F236="","",IFERROR(IF(VLOOKUP(E236,'ALIM AYARLARI'!$A$4:$D$20,3,FALSE)="EVET",'GİDER AYARLARI'!$B$7,0),0))</f>
      </c>
      <c r="N236" s="3"/>
      <c r="O236" s="13">
        <f>IF(OR(F236="",I236=""),"",IFERROR(IF(VLOOKUP(E236,'ALIM AYARLARI'!$A$4:$D$20,2,FALSE)="EVET",F236*'GİDER AYARLARI'!$B$8*I236/30,0),0))</f>
      </c>
      <c r="P236" s="14">
        <f>IF(F236="","",SUM(J236:O236))</f>
      </c>
      <c r="Q236" s="14">
        <f>IF(F236="","",F236+P236)</f>
      </c>
      <c r="R236" s="2"/>
      <c r="S236" s="2"/>
      <c r="T236" s="3"/>
      <c r="U236" s="14">
        <f>IF(OR(F236="",T236=""),"",T236-F236)</f>
      </c>
      <c r="V236" s="14">
        <f>IF(T236="","",T236-Q236)</f>
      </c>
      <c r="W236" s="15">
        <f>IFERROR(V236/T236,"")</f>
      </c>
      <c r="X236" s="12">
        <f>IF(F236="","",IF(H236="","STOKTA","SATILDI"))</f>
      </c>
      <c r="Y236" s="2"/>
      <c r="Z236" s="3"/>
      <c r="AA236" s="3"/>
      <c r="AB236" s="3"/>
      <c r="AC236" s="14">
        <f>IF(F236="","",SUM(Z236:AB236))</f>
      </c>
      <c r="AD236" s="14">
        <f>IF(T236="","",V236+AC236)</f>
      </c>
    </row>
    <row r="237" spans="1:30">
      <c r="A237">
        <f>IF(D237="","",ROW()-3)</f>
      </c>
      <c r="B237" s="2"/>
      <c r="C237" s="18"/>
      <c r="D237" s="2"/>
      <c r="E237" s="2"/>
      <c r="F237" s="3"/>
      <c r="G237" s="16"/>
      <c r="H237" s="16"/>
      <c r="I237" s="17">
        <f>IF(G237="","",IF(H237="",TODAY()-G237,H237-G237))</f>
      </c>
      <c r="J237" s="13">
        <f>IF(F237="","",IFERROR(IF(VLOOKUP(E237,'ALIM AYARLARI'!$A$4:$D$20,3,FALSE)="EVET",'GİDER AYARLARI'!$B$4,0),0))</f>
      </c>
      <c r="K237" s="13">
        <f>IF(F237="","",'GİDER AYARLARI'!$B$5)</f>
      </c>
      <c r="L237" s="13">
        <f>IF(F237="","",'GİDER AYARLARI'!$B$6)</f>
      </c>
      <c r="M237" s="13">
        <f>IF(F237="","",IFERROR(IF(VLOOKUP(E237,'ALIM AYARLARI'!$A$4:$D$20,3,FALSE)="EVET",'GİDER AYARLARI'!$B$7,0),0))</f>
      </c>
      <c r="N237" s="3"/>
      <c r="O237" s="13">
        <f>IF(OR(F237="",I237=""),"",IFERROR(IF(VLOOKUP(E237,'ALIM AYARLARI'!$A$4:$D$20,2,FALSE)="EVET",F237*'GİDER AYARLARI'!$B$8*I237/30,0),0))</f>
      </c>
      <c r="P237" s="14">
        <f>IF(F237="","",SUM(J237:O237))</f>
      </c>
      <c r="Q237" s="14">
        <f>IF(F237="","",F237+P237)</f>
      </c>
      <c r="R237" s="2"/>
      <c r="S237" s="2"/>
      <c r="T237" s="3"/>
      <c r="U237" s="14">
        <f>IF(OR(F237="",T237=""),"",T237-F237)</f>
      </c>
      <c r="V237" s="14">
        <f>IF(T237="","",T237-Q237)</f>
      </c>
      <c r="W237" s="15">
        <f>IFERROR(V237/T237,"")</f>
      </c>
      <c r="X237" s="12">
        <f>IF(F237="","",IF(H237="","STOKTA","SATILDI"))</f>
      </c>
      <c r="Y237" s="2"/>
      <c r="Z237" s="3"/>
      <c r="AA237" s="3"/>
      <c r="AB237" s="3"/>
      <c r="AC237" s="14">
        <f>IF(F237="","",SUM(Z237:AB237))</f>
      </c>
      <c r="AD237" s="14">
        <f>IF(T237="","",V237+AC237)</f>
      </c>
    </row>
    <row r="238" spans="1:30">
      <c r="A238">
        <f>IF(D238="","",ROW()-3)</f>
      </c>
      <c r="B238" s="2"/>
      <c r="C238" s="18"/>
      <c r="D238" s="2"/>
      <c r="E238" s="2"/>
      <c r="F238" s="3"/>
      <c r="G238" s="16"/>
      <c r="H238" s="16"/>
      <c r="I238" s="17">
        <f>IF(G238="","",IF(H238="",TODAY()-G238,H238-G238))</f>
      </c>
      <c r="J238" s="13">
        <f>IF(F238="","",IFERROR(IF(VLOOKUP(E238,'ALIM AYARLARI'!$A$4:$D$20,3,FALSE)="EVET",'GİDER AYARLARI'!$B$4,0),0))</f>
      </c>
      <c r="K238" s="13">
        <f>IF(F238="","",'GİDER AYARLARI'!$B$5)</f>
      </c>
      <c r="L238" s="13">
        <f>IF(F238="","",'GİDER AYARLARI'!$B$6)</f>
      </c>
      <c r="M238" s="13">
        <f>IF(F238="","",IFERROR(IF(VLOOKUP(E238,'ALIM AYARLARI'!$A$4:$D$20,3,FALSE)="EVET",'GİDER AYARLARI'!$B$7,0),0))</f>
      </c>
      <c r="N238" s="3"/>
      <c r="O238" s="13">
        <f>IF(OR(F238="",I238=""),"",IFERROR(IF(VLOOKUP(E238,'ALIM AYARLARI'!$A$4:$D$20,2,FALSE)="EVET",F238*'GİDER AYARLARI'!$B$8*I238/30,0),0))</f>
      </c>
      <c r="P238" s="14">
        <f>IF(F238="","",SUM(J238:O238))</f>
      </c>
      <c r="Q238" s="14">
        <f>IF(F238="","",F238+P238)</f>
      </c>
      <c r="R238" s="2"/>
      <c r="S238" s="2"/>
      <c r="T238" s="3"/>
      <c r="U238" s="14">
        <f>IF(OR(F238="",T238=""),"",T238-F238)</f>
      </c>
      <c r="V238" s="14">
        <f>IF(T238="","",T238-Q238)</f>
      </c>
      <c r="W238" s="15">
        <f>IFERROR(V238/T238,"")</f>
      </c>
      <c r="X238" s="12">
        <f>IF(F238="","",IF(H238="","STOKTA","SATILDI"))</f>
      </c>
      <c r="Y238" s="2"/>
      <c r="Z238" s="3"/>
      <c r="AA238" s="3"/>
      <c r="AB238" s="3"/>
      <c r="AC238" s="14">
        <f>IF(F238="","",SUM(Z238:AB238))</f>
      </c>
      <c r="AD238" s="14">
        <f>IF(T238="","",V238+AC238)</f>
      </c>
    </row>
    <row r="239" spans="1:30">
      <c r="A239">
        <f>IF(D239="","",ROW()-3)</f>
      </c>
      <c r="B239" s="2"/>
      <c r="C239" s="18"/>
      <c r="D239" s="2"/>
      <c r="E239" s="2"/>
      <c r="F239" s="3"/>
      <c r="G239" s="16"/>
      <c r="H239" s="16"/>
      <c r="I239" s="17">
        <f>IF(G239="","",IF(H239="",TODAY()-G239,H239-G239))</f>
      </c>
      <c r="J239" s="13">
        <f>IF(F239="","",IFERROR(IF(VLOOKUP(E239,'ALIM AYARLARI'!$A$4:$D$20,3,FALSE)="EVET",'GİDER AYARLARI'!$B$4,0),0))</f>
      </c>
      <c r="K239" s="13">
        <f>IF(F239="","",'GİDER AYARLARI'!$B$5)</f>
      </c>
      <c r="L239" s="13">
        <f>IF(F239="","",'GİDER AYARLARI'!$B$6)</f>
      </c>
      <c r="M239" s="13">
        <f>IF(F239="","",IFERROR(IF(VLOOKUP(E239,'ALIM AYARLARI'!$A$4:$D$20,3,FALSE)="EVET",'GİDER AYARLARI'!$B$7,0),0))</f>
      </c>
      <c r="N239" s="3"/>
      <c r="O239" s="13">
        <f>IF(OR(F239="",I239=""),"",IFERROR(IF(VLOOKUP(E239,'ALIM AYARLARI'!$A$4:$D$20,2,FALSE)="EVET",F239*'GİDER AYARLARI'!$B$8*I239/30,0),0))</f>
      </c>
      <c r="P239" s="14">
        <f>IF(F239="","",SUM(J239:O239))</f>
      </c>
      <c r="Q239" s="14">
        <f>IF(F239="","",F239+P239)</f>
      </c>
      <c r="R239" s="2"/>
      <c r="S239" s="2"/>
      <c r="T239" s="3"/>
      <c r="U239" s="14">
        <f>IF(OR(F239="",T239=""),"",T239-F239)</f>
      </c>
      <c r="V239" s="14">
        <f>IF(T239="","",T239-Q239)</f>
      </c>
      <c r="W239" s="15">
        <f>IFERROR(V239/T239,"")</f>
      </c>
      <c r="X239" s="12">
        <f>IF(F239="","",IF(H239="","STOKTA","SATILDI"))</f>
      </c>
      <c r="Y239" s="2"/>
      <c r="Z239" s="3"/>
      <c r="AA239" s="3"/>
      <c r="AB239" s="3"/>
      <c r="AC239" s="14">
        <f>IF(F239="","",SUM(Z239:AB239))</f>
      </c>
      <c r="AD239" s="14">
        <f>IF(T239="","",V239+AC239)</f>
      </c>
    </row>
    <row r="240" spans="1:30">
      <c r="A240">
        <f>IF(D240="","",ROW()-3)</f>
      </c>
      <c r="B240" s="2"/>
      <c r="C240" s="18"/>
      <c r="D240" s="2"/>
      <c r="E240" s="2"/>
      <c r="F240" s="3"/>
      <c r="G240" s="16"/>
      <c r="H240" s="16"/>
      <c r="I240" s="17">
        <f>IF(G240="","",IF(H240="",TODAY()-G240,H240-G240))</f>
      </c>
      <c r="J240" s="13">
        <f>IF(F240="","",IFERROR(IF(VLOOKUP(E240,'ALIM AYARLARI'!$A$4:$D$20,3,FALSE)="EVET",'GİDER AYARLARI'!$B$4,0),0))</f>
      </c>
      <c r="K240" s="13">
        <f>IF(F240="","",'GİDER AYARLARI'!$B$5)</f>
      </c>
      <c r="L240" s="13">
        <f>IF(F240="","",'GİDER AYARLARI'!$B$6)</f>
      </c>
      <c r="M240" s="13">
        <f>IF(F240="","",IFERROR(IF(VLOOKUP(E240,'ALIM AYARLARI'!$A$4:$D$20,3,FALSE)="EVET",'GİDER AYARLARI'!$B$7,0),0))</f>
      </c>
      <c r="N240" s="3"/>
      <c r="O240" s="13">
        <f>IF(OR(F240="",I240=""),"",IFERROR(IF(VLOOKUP(E240,'ALIM AYARLARI'!$A$4:$D$20,2,FALSE)="EVET",F240*'GİDER AYARLARI'!$B$8*I240/30,0),0))</f>
      </c>
      <c r="P240" s="14">
        <f>IF(F240="","",SUM(J240:O240))</f>
      </c>
      <c r="Q240" s="14">
        <f>IF(F240="","",F240+P240)</f>
      </c>
      <c r="R240" s="2"/>
      <c r="S240" s="2"/>
      <c r="T240" s="3"/>
      <c r="U240" s="14">
        <f>IF(OR(F240="",T240=""),"",T240-F240)</f>
      </c>
      <c r="V240" s="14">
        <f>IF(T240="","",T240-Q240)</f>
      </c>
      <c r="W240" s="15">
        <f>IFERROR(V240/T240,"")</f>
      </c>
      <c r="X240" s="12">
        <f>IF(F240="","",IF(H240="","STOKTA","SATILDI"))</f>
      </c>
      <c r="Y240" s="2"/>
      <c r="Z240" s="3"/>
      <c r="AA240" s="3"/>
      <c r="AB240" s="3"/>
      <c r="AC240" s="14">
        <f>IF(F240="","",SUM(Z240:AB240))</f>
      </c>
      <c r="AD240" s="14">
        <f>IF(T240="","",V240+AC240)</f>
      </c>
    </row>
    <row r="241" spans="1:30">
      <c r="A241">
        <f>IF(D241="","",ROW()-3)</f>
      </c>
      <c r="B241" s="2"/>
      <c r="C241" s="18"/>
      <c r="D241" s="2"/>
      <c r="E241" s="2"/>
      <c r="F241" s="3"/>
      <c r="G241" s="16"/>
      <c r="H241" s="16"/>
      <c r="I241" s="17">
        <f>IF(G241="","",IF(H241="",TODAY()-G241,H241-G241))</f>
      </c>
      <c r="J241" s="13">
        <f>IF(F241="","",IFERROR(IF(VLOOKUP(E241,'ALIM AYARLARI'!$A$4:$D$20,3,FALSE)="EVET",'GİDER AYARLARI'!$B$4,0),0))</f>
      </c>
      <c r="K241" s="13">
        <f>IF(F241="","",'GİDER AYARLARI'!$B$5)</f>
      </c>
      <c r="L241" s="13">
        <f>IF(F241="","",'GİDER AYARLARI'!$B$6)</f>
      </c>
      <c r="M241" s="13">
        <f>IF(F241="","",IFERROR(IF(VLOOKUP(E241,'ALIM AYARLARI'!$A$4:$D$20,3,FALSE)="EVET",'GİDER AYARLARI'!$B$7,0),0))</f>
      </c>
      <c r="N241" s="3"/>
      <c r="O241" s="13">
        <f>IF(OR(F241="",I241=""),"",IFERROR(IF(VLOOKUP(E241,'ALIM AYARLARI'!$A$4:$D$20,2,FALSE)="EVET",F241*'GİDER AYARLARI'!$B$8*I241/30,0),0))</f>
      </c>
      <c r="P241" s="14">
        <f>IF(F241="","",SUM(J241:O241))</f>
      </c>
      <c r="Q241" s="14">
        <f>IF(F241="","",F241+P241)</f>
      </c>
      <c r="R241" s="2"/>
      <c r="S241" s="2"/>
      <c r="T241" s="3"/>
      <c r="U241" s="14">
        <f>IF(OR(F241="",T241=""),"",T241-F241)</f>
      </c>
      <c r="V241" s="14">
        <f>IF(T241="","",T241-Q241)</f>
      </c>
      <c r="W241" s="15">
        <f>IFERROR(V241/T241,"")</f>
      </c>
      <c r="X241" s="12">
        <f>IF(F241="","",IF(H241="","STOKTA","SATILDI"))</f>
      </c>
      <c r="Y241" s="2"/>
      <c r="Z241" s="3"/>
      <c r="AA241" s="3"/>
      <c r="AB241" s="3"/>
      <c r="AC241" s="14">
        <f>IF(F241="","",SUM(Z241:AB241))</f>
      </c>
      <c r="AD241" s="14">
        <f>IF(T241="","",V241+AC241)</f>
      </c>
    </row>
    <row r="242" spans="1:30">
      <c r="A242">
        <f>IF(D242="","",ROW()-3)</f>
      </c>
      <c r="B242" s="2"/>
      <c r="C242" s="18"/>
      <c r="D242" s="2"/>
      <c r="E242" s="2"/>
      <c r="F242" s="3"/>
      <c r="G242" s="16"/>
      <c r="H242" s="16"/>
      <c r="I242" s="17">
        <f>IF(G242="","",IF(H242="",TODAY()-G242,H242-G242))</f>
      </c>
      <c r="J242" s="13">
        <f>IF(F242="","",IFERROR(IF(VLOOKUP(E242,'ALIM AYARLARI'!$A$4:$D$20,3,FALSE)="EVET",'GİDER AYARLARI'!$B$4,0),0))</f>
      </c>
      <c r="K242" s="13">
        <f>IF(F242="","",'GİDER AYARLARI'!$B$5)</f>
      </c>
      <c r="L242" s="13">
        <f>IF(F242="","",'GİDER AYARLARI'!$B$6)</f>
      </c>
      <c r="M242" s="13">
        <f>IF(F242="","",IFERROR(IF(VLOOKUP(E242,'ALIM AYARLARI'!$A$4:$D$20,3,FALSE)="EVET",'GİDER AYARLARI'!$B$7,0),0))</f>
      </c>
      <c r="N242" s="3"/>
      <c r="O242" s="13">
        <f>IF(OR(F242="",I242=""),"",IFERROR(IF(VLOOKUP(E242,'ALIM AYARLARI'!$A$4:$D$20,2,FALSE)="EVET",F242*'GİDER AYARLARI'!$B$8*I242/30,0),0))</f>
      </c>
      <c r="P242" s="14">
        <f>IF(F242="","",SUM(J242:O242))</f>
      </c>
      <c r="Q242" s="14">
        <f>IF(F242="","",F242+P242)</f>
      </c>
      <c r="R242" s="2"/>
      <c r="S242" s="2"/>
      <c r="T242" s="3"/>
      <c r="U242" s="14">
        <f>IF(OR(F242="",T242=""),"",T242-F242)</f>
      </c>
      <c r="V242" s="14">
        <f>IF(T242="","",T242-Q242)</f>
      </c>
      <c r="W242" s="15">
        <f>IFERROR(V242/T242,"")</f>
      </c>
      <c r="X242" s="12">
        <f>IF(F242="","",IF(H242="","STOKTA","SATILDI"))</f>
      </c>
      <c r="Y242" s="2"/>
      <c r="Z242" s="3"/>
      <c r="AA242" s="3"/>
      <c r="AB242" s="3"/>
      <c r="AC242" s="14">
        <f>IF(F242="","",SUM(Z242:AB242))</f>
      </c>
      <c r="AD242" s="14">
        <f>IF(T242="","",V242+AC242)</f>
      </c>
    </row>
    <row r="243" spans="1:30">
      <c r="A243">
        <f>IF(D243="","",ROW()-3)</f>
      </c>
      <c r="B243" s="2"/>
      <c r="C243" s="18"/>
      <c r="D243" s="2"/>
      <c r="E243" s="2"/>
      <c r="F243" s="3"/>
      <c r="G243" s="16"/>
      <c r="H243" s="16"/>
      <c r="I243" s="17">
        <f>IF(G243="","",IF(H243="",TODAY()-G243,H243-G243))</f>
      </c>
      <c r="J243" s="13">
        <f>IF(F243="","",IFERROR(IF(VLOOKUP(E243,'ALIM AYARLARI'!$A$4:$D$20,3,FALSE)="EVET",'GİDER AYARLARI'!$B$4,0),0))</f>
      </c>
      <c r="K243" s="13">
        <f>IF(F243="","",'GİDER AYARLARI'!$B$5)</f>
      </c>
      <c r="L243" s="13">
        <f>IF(F243="","",'GİDER AYARLARI'!$B$6)</f>
      </c>
      <c r="M243" s="13">
        <f>IF(F243="","",IFERROR(IF(VLOOKUP(E243,'ALIM AYARLARI'!$A$4:$D$20,3,FALSE)="EVET",'GİDER AYARLARI'!$B$7,0),0))</f>
      </c>
      <c r="N243" s="3"/>
      <c r="O243" s="13">
        <f>IF(OR(F243="",I243=""),"",IFERROR(IF(VLOOKUP(E243,'ALIM AYARLARI'!$A$4:$D$20,2,FALSE)="EVET",F243*'GİDER AYARLARI'!$B$8*I243/30,0),0))</f>
      </c>
      <c r="P243" s="14">
        <f>IF(F243="","",SUM(J243:O243))</f>
      </c>
      <c r="Q243" s="14">
        <f>IF(F243="","",F243+P243)</f>
      </c>
      <c r="R243" s="2"/>
      <c r="S243" s="2"/>
      <c r="T243" s="3"/>
      <c r="U243" s="14">
        <f>IF(OR(F243="",T243=""),"",T243-F243)</f>
      </c>
      <c r="V243" s="14">
        <f>IF(T243="","",T243-Q243)</f>
      </c>
      <c r="W243" s="15">
        <f>IFERROR(V243/T243,"")</f>
      </c>
      <c r="X243" s="12">
        <f>IF(F243="","",IF(H243="","STOKTA","SATILDI"))</f>
      </c>
      <c r="Y243" s="2"/>
      <c r="Z243" s="3"/>
      <c r="AA243" s="3"/>
      <c r="AB243" s="3"/>
      <c r="AC243" s="14">
        <f>IF(F243="","",SUM(Z243:AB243))</f>
      </c>
      <c r="AD243" s="14">
        <f>IF(T243="","",V243+AC243)</f>
      </c>
    </row>
    <row r="244" spans="1:30">
      <c r="A244">
        <f>IF(D244="","",ROW()-3)</f>
      </c>
      <c r="B244" s="2"/>
      <c r="C244" s="18"/>
      <c r="D244" s="2"/>
      <c r="E244" s="2"/>
      <c r="F244" s="3"/>
      <c r="G244" s="16"/>
      <c r="H244" s="16"/>
      <c r="I244" s="17">
        <f>IF(G244="","",IF(H244="",TODAY()-G244,H244-G244))</f>
      </c>
      <c r="J244" s="13">
        <f>IF(F244="","",IFERROR(IF(VLOOKUP(E244,'ALIM AYARLARI'!$A$4:$D$20,3,FALSE)="EVET",'GİDER AYARLARI'!$B$4,0),0))</f>
      </c>
      <c r="K244" s="13">
        <f>IF(F244="","",'GİDER AYARLARI'!$B$5)</f>
      </c>
      <c r="L244" s="13">
        <f>IF(F244="","",'GİDER AYARLARI'!$B$6)</f>
      </c>
      <c r="M244" s="13">
        <f>IF(F244="","",IFERROR(IF(VLOOKUP(E244,'ALIM AYARLARI'!$A$4:$D$20,3,FALSE)="EVET",'GİDER AYARLARI'!$B$7,0),0))</f>
      </c>
      <c r="N244" s="3"/>
      <c r="O244" s="13">
        <f>IF(OR(F244="",I244=""),"",IFERROR(IF(VLOOKUP(E244,'ALIM AYARLARI'!$A$4:$D$20,2,FALSE)="EVET",F244*'GİDER AYARLARI'!$B$8*I244/30,0),0))</f>
      </c>
      <c r="P244" s="14">
        <f>IF(F244="","",SUM(J244:O244))</f>
      </c>
      <c r="Q244" s="14">
        <f>IF(F244="","",F244+P244)</f>
      </c>
      <c r="R244" s="2"/>
      <c r="S244" s="2"/>
      <c r="T244" s="3"/>
      <c r="U244" s="14">
        <f>IF(OR(F244="",T244=""),"",T244-F244)</f>
      </c>
      <c r="V244" s="14">
        <f>IF(T244="","",T244-Q244)</f>
      </c>
      <c r="W244" s="15">
        <f>IFERROR(V244/T244,"")</f>
      </c>
      <c r="X244" s="12">
        <f>IF(F244="","",IF(H244="","STOKTA","SATILDI"))</f>
      </c>
      <c r="Y244" s="2"/>
      <c r="Z244" s="3"/>
      <c r="AA244" s="3"/>
      <c r="AB244" s="3"/>
      <c r="AC244" s="14">
        <f>IF(F244="","",SUM(Z244:AB244))</f>
      </c>
      <c r="AD244" s="14">
        <f>IF(T244="","",V244+AC244)</f>
      </c>
    </row>
    <row r="245" spans="1:30">
      <c r="A245">
        <f>IF(D245="","",ROW()-3)</f>
      </c>
      <c r="B245" s="2"/>
      <c r="C245" s="18"/>
      <c r="D245" s="2"/>
      <c r="E245" s="2"/>
      <c r="F245" s="3"/>
      <c r="G245" s="16"/>
      <c r="H245" s="16"/>
      <c r="I245" s="17">
        <f>IF(G245="","",IF(H245="",TODAY()-G245,H245-G245))</f>
      </c>
      <c r="J245" s="13">
        <f>IF(F245="","",IFERROR(IF(VLOOKUP(E245,'ALIM AYARLARI'!$A$4:$D$20,3,FALSE)="EVET",'GİDER AYARLARI'!$B$4,0),0))</f>
      </c>
      <c r="K245" s="13">
        <f>IF(F245="","",'GİDER AYARLARI'!$B$5)</f>
      </c>
      <c r="L245" s="13">
        <f>IF(F245="","",'GİDER AYARLARI'!$B$6)</f>
      </c>
      <c r="M245" s="13">
        <f>IF(F245="","",IFERROR(IF(VLOOKUP(E245,'ALIM AYARLARI'!$A$4:$D$20,3,FALSE)="EVET",'GİDER AYARLARI'!$B$7,0),0))</f>
      </c>
      <c r="N245" s="3"/>
      <c r="O245" s="13">
        <f>IF(OR(F245="",I245=""),"",IFERROR(IF(VLOOKUP(E245,'ALIM AYARLARI'!$A$4:$D$20,2,FALSE)="EVET",F245*'GİDER AYARLARI'!$B$8*I245/30,0),0))</f>
      </c>
      <c r="P245" s="14">
        <f>IF(F245="","",SUM(J245:O245))</f>
      </c>
      <c r="Q245" s="14">
        <f>IF(F245="","",F245+P245)</f>
      </c>
      <c r="R245" s="2"/>
      <c r="S245" s="2"/>
      <c r="T245" s="3"/>
      <c r="U245" s="14">
        <f>IF(OR(F245="",T245=""),"",T245-F245)</f>
      </c>
      <c r="V245" s="14">
        <f>IF(T245="","",T245-Q245)</f>
      </c>
      <c r="W245" s="15">
        <f>IFERROR(V245/T245,"")</f>
      </c>
      <c r="X245" s="12">
        <f>IF(F245="","",IF(H245="","STOKTA","SATILDI"))</f>
      </c>
      <c r="Y245" s="2"/>
      <c r="Z245" s="3"/>
      <c r="AA245" s="3"/>
      <c r="AB245" s="3"/>
      <c r="AC245" s="14">
        <f>IF(F245="","",SUM(Z245:AB245))</f>
      </c>
      <c r="AD245" s="14">
        <f>IF(T245="","",V245+AC245)</f>
      </c>
    </row>
    <row r="246" spans="1:30">
      <c r="A246">
        <f>IF(D246="","",ROW()-3)</f>
      </c>
      <c r="B246" s="2"/>
      <c r="C246" s="18"/>
      <c r="D246" s="2"/>
      <c r="E246" s="2"/>
      <c r="F246" s="3"/>
      <c r="G246" s="16"/>
      <c r="H246" s="16"/>
      <c r="I246" s="17">
        <f>IF(G246="","",IF(H246="",TODAY()-G246,H246-G246))</f>
      </c>
      <c r="J246" s="13">
        <f>IF(F246="","",IFERROR(IF(VLOOKUP(E246,'ALIM AYARLARI'!$A$4:$D$20,3,FALSE)="EVET",'GİDER AYARLARI'!$B$4,0),0))</f>
      </c>
      <c r="K246" s="13">
        <f>IF(F246="","",'GİDER AYARLARI'!$B$5)</f>
      </c>
      <c r="L246" s="13">
        <f>IF(F246="","",'GİDER AYARLARI'!$B$6)</f>
      </c>
      <c r="M246" s="13">
        <f>IF(F246="","",IFERROR(IF(VLOOKUP(E246,'ALIM AYARLARI'!$A$4:$D$20,3,FALSE)="EVET",'GİDER AYARLARI'!$B$7,0),0))</f>
      </c>
      <c r="N246" s="3"/>
      <c r="O246" s="13">
        <f>IF(OR(F246="",I246=""),"",IFERROR(IF(VLOOKUP(E246,'ALIM AYARLARI'!$A$4:$D$20,2,FALSE)="EVET",F246*'GİDER AYARLARI'!$B$8*I246/30,0),0))</f>
      </c>
      <c r="P246" s="14">
        <f>IF(F246="","",SUM(J246:O246))</f>
      </c>
      <c r="Q246" s="14">
        <f>IF(F246="","",F246+P246)</f>
      </c>
      <c r="R246" s="2"/>
      <c r="S246" s="2"/>
      <c r="T246" s="3"/>
      <c r="U246" s="14">
        <f>IF(OR(F246="",T246=""),"",T246-F246)</f>
      </c>
      <c r="V246" s="14">
        <f>IF(T246="","",T246-Q246)</f>
      </c>
      <c r="W246" s="15">
        <f>IFERROR(V246/T246,"")</f>
      </c>
      <c r="X246" s="12">
        <f>IF(F246="","",IF(H246="","STOKTA","SATILDI"))</f>
      </c>
      <c r="Y246" s="2"/>
      <c r="Z246" s="3"/>
      <c r="AA246" s="3"/>
      <c r="AB246" s="3"/>
      <c r="AC246" s="14">
        <f>IF(F246="","",SUM(Z246:AB246))</f>
      </c>
      <c r="AD246" s="14">
        <f>IF(T246="","",V246+AC246)</f>
      </c>
    </row>
    <row r="247" spans="1:30">
      <c r="A247">
        <f>IF(D247="","",ROW()-3)</f>
      </c>
      <c r="B247" s="2"/>
      <c r="C247" s="18"/>
      <c r="D247" s="2"/>
      <c r="E247" s="2"/>
      <c r="F247" s="3"/>
      <c r="G247" s="16"/>
      <c r="H247" s="16"/>
      <c r="I247" s="17">
        <f>IF(G247="","",IF(H247="",TODAY()-G247,H247-G247))</f>
      </c>
      <c r="J247" s="13">
        <f>IF(F247="","",IFERROR(IF(VLOOKUP(E247,'ALIM AYARLARI'!$A$4:$D$20,3,FALSE)="EVET",'GİDER AYARLARI'!$B$4,0),0))</f>
      </c>
      <c r="K247" s="13">
        <f>IF(F247="","",'GİDER AYARLARI'!$B$5)</f>
      </c>
      <c r="L247" s="13">
        <f>IF(F247="","",'GİDER AYARLARI'!$B$6)</f>
      </c>
      <c r="M247" s="13">
        <f>IF(F247="","",IFERROR(IF(VLOOKUP(E247,'ALIM AYARLARI'!$A$4:$D$20,3,FALSE)="EVET",'GİDER AYARLARI'!$B$7,0),0))</f>
      </c>
      <c r="N247" s="3"/>
      <c r="O247" s="13">
        <f>IF(OR(F247="",I247=""),"",IFERROR(IF(VLOOKUP(E247,'ALIM AYARLARI'!$A$4:$D$20,2,FALSE)="EVET",F247*'GİDER AYARLARI'!$B$8*I247/30,0),0))</f>
      </c>
      <c r="P247" s="14">
        <f>IF(F247="","",SUM(J247:O247))</f>
      </c>
      <c r="Q247" s="14">
        <f>IF(F247="","",F247+P247)</f>
      </c>
      <c r="R247" s="2"/>
      <c r="S247" s="2"/>
      <c r="T247" s="3"/>
      <c r="U247" s="14">
        <f>IF(OR(F247="",T247=""),"",T247-F247)</f>
      </c>
      <c r="V247" s="14">
        <f>IF(T247="","",T247-Q247)</f>
      </c>
      <c r="W247" s="15">
        <f>IFERROR(V247/T247,"")</f>
      </c>
      <c r="X247" s="12">
        <f>IF(F247="","",IF(H247="","STOKTA","SATILDI"))</f>
      </c>
      <c r="Y247" s="2"/>
      <c r="Z247" s="3"/>
      <c r="AA247" s="3"/>
      <c r="AB247" s="3"/>
      <c r="AC247" s="14">
        <f>IF(F247="","",SUM(Z247:AB247))</f>
      </c>
      <c r="AD247" s="14">
        <f>IF(T247="","",V247+AC247)</f>
      </c>
    </row>
    <row r="248" spans="1:30">
      <c r="A248">
        <f>IF(D248="","",ROW()-3)</f>
      </c>
      <c r="B248" s="2"/>
      <c r="C248" s="18"/>
      <c r="D248" s="2"/>
      <c r="E248" s="2"/>
      <c r="F248" s="3"/>
      <c r="G248" s="16"/>
      <c r="H248" s="16"/>
      <c r="I248" s="17">
        <f>IF(G248="","",IF(H248="",TODAY()-G248,H248-G248))</f>
      </c>
      <c r="J248" s="13">
        <f>IF(F248="","",IFERROR(IF(VLOOKUP(E248,'ALIM AYARLARI'!$A$4:$D$20,3,FALSE)="EVET",'GİDER AYARLARI'!$B$4,0),0))</f>
      </c>
      <c r="K248" s="13">
        <f>IF(F248="","",'GİDER AYARLARI'!$B$5)</f>
      </c>
      <c r="L248" s="13">
        <f>IF(F248="","",'GİDER AYARLARI'!$B$6)</f>
      </c>
      <c r="M248" s="13">
        <f>IF(F248="","",IFERROR(IF(VLOOKUP(E248,'ALIM AYARLARI'!$A$4:$D$20,3,FALSE)="EVET",'GİDER AYARLARI'!$B$7,0),0))</f>
      </c>
      <c r="N248" s="3"/>
      <c r="O248" s="13">
        <f>IF(OR(F248="",I248=""),"",IFERROR(IF(VLOOKUP(E248,'ALIM AYARLARI'!$A$4:$D$20,2,FALSE)="EVET",F248*'GİDER AYARLARI'!$B$8*I248/30,0),0))</f>
      </c>
      <c r="P248" s="14">
        <f>IF(F248="","",SUM(J248:O248))</f>
      </c>
      <c r="Q248" s="14">
        <f>IF(F248="","",F248+P248)</f>
      </c>
      <c r="R248" s="2"/>
      <c r="S248" s="2"/>
      <c r="T248" s="3"/>
      <c r="U248" s="14">
        <f>IF(OR(F248="",T248=""),"",T248-F248)</f>
      </c>
      <c r="V248" s="14">
        <f>IF(T248="","",T248-Q248)</f>
      </c>
      <c r="W248" s="15">
        <f>IFERROR(V248/T248,"")</f>
      </c>
      <c r="X248" s="12">
        <f>IF(F248="","",IF(H248="","STOKTA","SATILDI"))</f>
      </c>
      <c r="Y248" s="2"/>
      <c r="Z248" s="3"/>
      <c r="AA248" s="3"/>
      <c r="AB248" s="3"/>
      <c r="AC248" s="14">
        <f>IF(F248="","",SUM(Z248:AB248))</f>
      </c>
      <c r="AD248" s="14">
        <f>IF(T248="","",V248+AC248)</f>
      </c>
    </row>
    <row r="249" spans="1:30">
      <c r="A249">
        <f>IF(D249="","",ROW()-3)</f>
      </c>
      <c r="B249" s="2"/>
      <c r="C249" s="18"/>
      <c r="D249" s="2"/>
      <c r="E249" s="2"/>
      <c r="F249" s="3"/>
      <c r="G249" s="16"/>
      <c r="H249" s="16"/>
      <c r="I249" s="17">
        <f>IF(G249="","",IF(H249="",TODAY()-G249,H249-G249))</f>
      </c>
      <c r="J249" s="13">
        <f>IF(F249="","",IFERROR(IF(VLOOKUP(E249,'ALIM AYARLARI'!$A$4:$D$20,3,FALSE)="EVET",'GİDER AYARLARI'!$B$4,0),0))</f>
      </c>
      <c r="K249" s="13">
        <f>IF(F249="","",'GİDER AYARLARI'!$B$5)</f>
      </c>
      <c r="L249" s="13">
        <f>IF(F249="","",'GİDER AYARLARI'!$B$6)</f>
      </c>
      <c r="M249" s="13">
        <f>IF(F249="","",IFERROR(IF(VLOOKUP(E249,'ALIM AYARLARI'!$A$4:$D$20,3,FALSE)="EVET",'GİDER AYARLARI'!$B$7,0),0))</f>
      </c>
      <c r="N249" s="3"/>
      <c r="O249" s="13">
        <f>IF(OR(F249="",I249=""),"",IFERROR(IF(VLOOKUP(E249,'ALIM AYARLARI'!$A$4:$D$20,2,FALSE)="EVET",F249*'GİDER AYARLARI'!$B$8*I249/30,0),0))</f>
      </c>
      <c r="P249" s="14">
        <f>IF(F249="","",SUM(J249:O249))</f>
      </c>
      <c r="Q249" s="14">
        <f>IF(F249="","",F249+P249)</f>
      </c>
      <c r="R249" s="2"/>
      <c r="S249" s="2"/>
      <c r="T249" s="3"/>
      <c r="U249" s="14">
        <f>IF(OR(F249="",T249=""),"",T249-F249)</f>
      </c>
      <c r="V249" s="14">
        <f>IF(T249="","",T249-Q249)</f>
      </c>
      <c r="W249" s="15">
        <f>IFERROR(V249/T249,"")</f>
      </c>
      <c r="X249" s="12">
        <f>IF(F249="","",IF(H249="","STOKTA","SATILDI"))</f>
      </c>
      <c r="Y249" s="2"/>
      <c r="Z249" s="3"/>
      <c r="AA249" s="3"/>
      <c r="AB249" s="3"/>
      <c r="AC249" s="14">
        <f>IF(F249="","",SUM(Z249:AB249))</f>
      </c>
      <c r="AD249" s="14">
        <f>IF(T249="","",V249+AC249)</f>
      </c>
    </row>
    <row r="250" spans="1:30">
      <c r="A250">
        <f>IF(D250="","",ROW()-3)</f>
      </c>
      <c r="B250" s="2"/>
      <c r="C250" s="18"/>
      <c r="D250" s="2"/>
      <c r="E250" s="2"/>
      <c r="F250" s="3"/>
      <c r="G250" s="16"/>
      <c r="H250" s="16"/>
      <c r="I250" s="17">
        <f>IF(G250="","",IF(H250="",TODAY()-G250,H250-G250))</f>
      </c>
      <c r="J250" s="13">
        <f>IF(F250="","",IFERROR(IF(VLOOKUP(E250,'ALIM AYARLARI'!$A$4:$D$20,3,FALSE)="EVET",'GİDER AYARLARI'!$B$4,0),0))</f>
      </c>
      <c r="K250" s="13">
        <f>IF(F250="","",'GİDER AYARLARI'!$B$5)</f>
      </c>
      <c r="L250" s="13">
        <f>IF(F250="","",'GİDER AYARLARI'!$B$6)</f>
      </c>
      <c r="M250" s="13">
        <f>IF(F250="","",IFERROR(IF(VLOOKUP(E250,'ALIM AYARLARI'!$A$4:$D$20,3,FALSE)="EVET",'GİDER AYARLARI'!$B$7,0),0))</f>
      </c>
      <c r="N250" s="3"/>
      <c r="O250" s="13">
        <f>IF(OR(F250="",I250=""),"",IFERROR(IF(VLOOKUP(E250,'ALIM AYARLARI'!$A$4:$D$20,2,FALSE)="EVET",F250*'GİDER AYARLARI'!$B$8*I250/30,0),0))</f>
      </c>
      <c r="P250" s="14">
        <f>IF(F250="","",SUM(J250:O250))</f>
      </c>
      <c r="Q250" s="14">
        <f>IF(F250="","",F250+P250)</f>
      </c>
      <c r="R250" s="2"/>
      <c r="S250" s="2"/>
      <c r="T250" s="3"/>
      <c r="U250" s="14">
        <f>IF(OR(F250="",T250=""),"",T250-F250)</f>
      </c>
      <c r="V250" s="14">
        <f>IF(T250="","",T250-Q250)</f>
      </c>
      <c r="W250" s="15">
        <f>IFERROR(V250/T250,"")</f>
      </c>
      <c r="X250" s="12">
        <f>IF(F250="","",IF(H250="","STOKTA","SATILDI"))</f>
      </c>
      <c r="Y250" s="2"/>
      <c r="Z250" s="3"/>
      <c r="AA250" s="3"/>
      <c r="AB250" s="3"/>
      <c r="AC250" s="14">
        <f>IF(F250="","",SUM(Z250:AB250))</f>
      </c>
      <c r="AD250" s="14">
        <f>IF(T250="","",V250+AC250)</f>
      </c>
    </row>
    <row r="251" spans="1:30">
      <c r="A251">
        <f>IF(D251="","",ROW()-3)</f>
      </c>
      <c r="B251" s="2"/>
      <c r="C251" s="18"/>
      <c r="D251" s="2"/>
      <c r="E251" s="2"/>
      <c r="F251" s="3"/>
      <c r="G251" s="16"/>
      <c r="H251" s="16"/>
      <c r="I251" s="17">
        <f>IF(G251="","",IF(H251="",TODAY()-G251,H251-G251))</f>
      </c>
      <c r="J251" s="13">
        <f>IF(F251="","",IFERROR(IF(VLOOKUP(E251,'ALIM AYARLARI'!$A$4:$D$20,3,FALSE)="EVET",'GİDER AYARLARI'!$B$4,0),0))</f>
      </c>
      <c r="K251" s="13">
        <f>IF(F251="","",'GİDER AYARLARI'!$B$5)</f>
      </c>
      <c r="L251" s="13">
        <f>IF(F251="","",'GİDER AYARLARI'!$B$6)</f>
      </c>
      <c r="M251" s="13">
        <f>IF(F251="","",IFERROR(IF(VLOOKUP(E251,'ALIM AYARLARI'!$A$4:$D$20,3,FALSE)="EVET",'GİDER AYARLARI'!$B$7,0),0))</f>
      </c>
      <c r="N251" s="3"/>
      <c r="O251" s="13">
        <f>IF(OR(F251="",I251=""),"",IFERROR(IF(VLOOKUP(E251,'ALIM AYARLARI'!$A$4:$D$20,2,FALSE)="EVET",F251*'GİDER AYARLARI'!$B$8*I251/30,0),0))</f>
      </c>
      <c r="P251" s="14">
        <f>IF(F251="","",SUM(J251:O251))</f>
      </c>
      <c r="Q251" s="14">
        <f>IF(F251="","",F251+P251)</f>
      </c>
      <c r="R251" s="2"/>
      <c r="S251" s="2"/>
      <c r="T251" s="3"/>
      <c r="U251" s="14">
        <f>IF(OR(F251="",T251=""),"",T251-F251)</f>
      </c>
      <c r="V251" s="14">
        <f>IF(T251="","",T251-Q251)</f>
      </c>
      <c r="W251" s="15">
        <f>IFERROR(V251/T251,"")</f>
      </c>
      <c r="X251" s="12">
        <f>IF(F251="","",IF(H251="","STOKTA","SATILDI"))</f>
      </c>
      <c r="Y251" s="2"/>
      <c r="Z251" s="3"/>
      <c r="AA251" s="3"/>
      <c r="AB251" s="3"/>
      <c r="AC251" s="14">
        <f>IF(F251="","",SUM(Z251:AB251))</f>
      </c>
      <c r="AD251" s="14">
        <f>IF(T251="","",V251+AC251)</f>
      </c>
    </row>
    <row r="252" spans="1:30">
      <c r="A252">
        <f>IF(D252="","",ROW()-3)</f>
      </c>
      <c r="B252" s="2"/>
      <c r="C252" s="18"/>
      <c r="D252" s="2"/>
      <c r="E252" s="2"/>
      <c r="F252" s="3"/>
      <c r="G252" s="16"/>
      <c r="H252" s="16"/>
      <c r="I252" s="17">
        <f>IF(G252="","",IF(H252="",TODAY()-G252,H252-G252))</f>
      </c>
      <c r="J252" s="13">
        <f>IF(F252="","",IFERROR(IF(VLOOKUP(E252,'ALIM AYARLARI'!$A$4:$D$20,3,FALSE)="EVET",'GİDER AYARLARI'!$B$4,0),0))</f>
      </c>
      <c r="K252" s="13">
        <f>IF(F252="","",'GİDER AYARLARI'!$B$5)</f>
      </c>
      <c r="L252" s="13">
        <f>IF(F252="","",'GİDER AYARLARI'!$B$6)</f>
      </c>
      <c r="M252" s="13">
        <f>IF(F252="","",IFERROR(IF(VLOOKUP(E252,'ALIM AYARLARI'!$A$4:$D$20,3,FALSE)="EVET",'GİDER AYARLARI'!$B$7,0),0))</f>
      </c>
      <c r="N252" s="3"/>
      <c r="O252" s="13">
        <f>IF(OR(F252="",I252=""),"",IFERROR(IF(VLOOKUP(E252,'ALIM AYARLARI'!$A$4:$D$20,2,FALSE)="EVET",F252*'GİDER AYARLARI'!$B$8*I252/30,0),0))</f>
      </c>
      <c r="P252" s="14">
        <f>IF(F252="","",SUM(J252:O252))</f>
      </c>
      <c r="Q252" s="14">
        <f>IF(F252="","",F252+P252)</f>
      </c>
      <c r="R252" s="2"/>
      <c r="S252" s="2"/>
      <c r="T252" s="3"/>
      <c r="U252" s="14">
        <f>IF(OR(F252="",T252=""),"",T252-F252)</f>
      </c>
      <c r="V252" s="14">
        <f>IF(T252="","",T252-Q252)</f>
      </c>
      <c r="W252" s="15">
        <f>IFERROR(V252/T252,"")</f>
      </c>
      <c r="X252" s="12">
        <f>IF(F252="","",IF(H252="","STOKTA","SATILDI"))</f>
      </c>
      <c r="Y252" s="2"/>
      <c r="Z252" s="3"/>
      <c r="AA252" s="3"/>
      <c r="AB252" s="3"/>
      <c r="AC252" s="14">
        <f>IF(F252="","",SUM(Z252:AB252))</f>
      </c>
      <c r="AD252" s="14">
        <f>IF(T252="","",V252+AC252)</f>
      </c>
    </row>
    <row r="253" spans="1:30">
      <c r="A253">
        <f>IF(D253="","",ROW()-3)</f>
      </c>
      <c r="B253" s="2"/>
      <c r="C253" s="18"/>
      <c r="D253" s="2"/>
      <c r="E253" s="2"/>
      <c r="F253" s="3"/>
      <c r="G253" s="16"/>
      <c r="H253" s="16"/>
      <c r="I253" s="17">
        <f>IF(G253="","",IF(H253="",TODAY()-G253,H253-G253))</f>
      </c>
      <c r="J253" s="13">
        <f>IF(F253="","",IFERROR(IF(VLOOKUP(E253,'ALIM AYARLARI'!$A$4:$D$20,3,FALSE)="EVET",'GİDER AYARLARI'!$B$4,0),0))</f>
      </c>
      <c r="K253" s="13">
        <f>IF(F253="","",'GİDER AYARLARI'!$B$5)</f>
      </c>
      <c r="L253" s="13">
        <f>IF(F253="","",'GİDER AYARLARI'!$B$6)</f>
      </c>
      <c r="M253" s="13">
        <f>IF(F253="","",IFERROR(IF(VLOOKUP(E253,'ALIM AYARLARI'!$A$4:$D$20,3,FALSE)="EVET",'GİDER AYARLARI'!$B$7,0),0))</f>
      </c>
      <c r="N253" s="3"/>
      <c r="O253" s="13">
        <f>IF(OR(F253="",I253=""),"",IFERROR(IF(VLOOKUP(E253,'ALIM AYARLARI'!$A$4:$D$20,2,FALSE)="EVET",F253*'GİDER AYARLARI'!$B$8*I253/30,0),0))</f>
      </c>
      <c r="P253" s="14">
        <f>IF(F253="","",SUM(J253:O253))</f>
      </c>
      <c r="Q253" s="14">
        <f>IF(F253="","",F253+P253)</f>
      </c>
      <c r="R253" s="2"/>
      <c r="S253" s="2"/>
      <c r="T253" s="3"/>
      <c r="U253" s="14">
        <f>IF(OR(F253="",T253=""),"",T253-F253)</f>
      </c>
      <c r="V253" s="14">
        <f>IF(T253="","",T253-Q253)</f>
      </c>
      <c r="W253" s="15">
        <f>IFERROR(V253/T253,"")</f>
      </c>
      <c r="X253" s="12">
        <f>IF(F253="","",IF(H253="","STOKTA","SATILDI"))</f>
      </c>
      <c r="Y253" s="2"/>
      <c r="Z253" s="3"/>
      <c r="AA253" s="3"/>
      <c r="AB253" s="3"/>
      <c r="AC253" s="14">
        <f>IF(F253="","",SUM(Z253:AB253))</f>
      </c>
      <c r="AD253" s="14">
        <f>IF(T253="","",V253+AC253)</f>
      </c>
    </row>
    <row r="254" spans="1:30">
      <c r="A254">
        <f>IF(D254="","",ROW()-3)</f>
      </c>
      <c r="B254" s="2"/>
      <c r="C254" s="18"/>
      <c r="D254" s="2"/>
      <c r="E254" s="2"/>
      <c r="F254" s="3"/>
      <c r="G254" s="16"/>
      <c r="H254" s="16"/>
      <c r="I254" s="17">
        <f>IF(G254="","",IF(H254="",TODAY()-G254,H254-G254))</f>
      </c>
      <c r="J254" s="13">
        <f>IF(F254="","",IFERROR(IF(VLOOKUP(E254,'ALIM AYARLARI'!$A$4:$D$20,3,FALSE)="EVET",'GİDER AYARLARI'!$B$4,0),0))</f>
      </c>
      <c r="K254" s="13">
        <f>IF(F254="","",'GİDER AYARLARI'!$B$5)</f>
      </c>
      <c r="L254" s="13">
        <f>IF(F254="","",'GİDER AYARLARI'!$B$6)</f>
      </c>
      <c r="M254" s="13">
        <f>IF(F254="","",IFERROR(IF(VLOOKUP(E254,'ALIM AYARLARI'!$A$4:$D$20,3,FALSE)="EVET",'GİDER AYARLARI'!$B$7,0),0))</f>
      </c>
      <c r="N254" s="3"/>
      <c r="O254" s="13">
        <f>IF(OR(F254="",I254=""),"",IFERROR(IF(VLOOKUP(E254,'ALIM AYARLARI'!$A$4:$D$20,2,FALSE)="EVET",F254*'GİDER AYARLARI'!$B$8*I254/30,0),0))</f>
      </c>
      <c r="P254" s="14">
        <f>IF(F254="","",SUM(J254:O254))</f>
      </c>
      <c r="Q254" s="14">
        <f>IF(F254="","",F254+P254)</f>
      </c>
      <c r="R254" s="2"/>
      <c r="S254" s="2"/>
      <c r="T254" s="3"/>
      <c r="U254" s="14">
        <f>IF(OR(F254="",T254=""),"",T254-F254)</f>
      </c>
      <c r="V254" s="14">
        <f>IF(T254="","",T254-Q254)</f>
      </c>
      <c r="W254" s="15">
        <f>IFERROR(V254/T254,"")</f>
      </c>
      <c r="X254" s="12">
        <f>IF(F254="","",IF(H254="","STOKTA","SATILDI"))</f>
      </c>
      <c r="Y254" s="2"/>
      <c r="Z254" s="3"/>
      <c r="AA254" s="3"/>
      <c r="AB254" s="3"/>
      <c r="AC254" s="14">
        <f>IF(F254="","",SUM(Z254:AB254))</f>
      </c>
      <c r="AD254" s="14">
        <f>IF(T254="","",V254+AC254)</f>
      </c>
    </row>
    <row r="255" spans="1:30">
      <c r="A255">
        <f>IF(D255="","",ROW()-3)</f>
      </c>
      <c r="B255" s="2"/>
      <c r="C255" s="18"/>
      <c r="D255" s="2"/>
      <c r="E255" s="2"/>
      <c r="F255" s="3"/>
      <c r="G255" s="16"/>
      <c r="H255" s="16"/>
      <c r="I255" s="17">
        <f>IF(G255="","",IF(H255="",TODAY()-G255,H255-G255))</f>
      </c>
      <c r="J255" s="13">
        <f>IF(F255="","",IFERROR(IF(VLOOKUP(E255,'ALIM AYARLARI'!$A$4:$D$20,3,FALSE)="EVET",'GİDER AYARLARI'!$B$4,0),0))</f>
      </c>
      <c r="K255" s="13">
        <f>IF(F255="","",'GİDER AYARLARI'!$B$5)</f>
      </c>
      <c r="L255" s="13">
        <f>IF(F255="","",'GİDER AYARLARI'!$B$6)</f>
      </c>
      <c r="M255" s="13">
        <f>IF(F255="","",IFERROR(IF(VLOOKUP(E255,'ALIM AYARLARI'!$A$4:$D$20,3,FALSE)="EVET",'GİDER AYARLARI'!$B$7,0),0))</f>
      </c>
      <c r="N255" s="3"/>
      <c r="O255" s="13">
        <f>IF(OR(F255="",I255=""),"",IFERROR(IF(VLOOKUP(E255,'ALIM AYARLARI'!$A$4:$D$20,2,FALSE)="EVET",F255*'GİDER AYARLARI'!$B$8*I255/30,0),0))</f>
      </c>
      <c r="P255" s="14">
        <f>IF(F255="","",SUM(J255:O255))</f>
      </c>
      <c r="Q255" s="14">
        <f>IF(F255="","",F255+P255)</f>
      </c>
      <c r="R255" s="2"/>
      <c r="S255" s="2"/>
      <c r="T255" s="3"/>
      <c r="U255" s="14">
        <f>IF(OR(F255="",T255=""),"",T255-F255)</f>
      </c>
      <c r="V255" s="14">
        <f>IF(T255="","",T255-Q255)</f>
      </c>
      <c r="W255" s="15">
        <f>IFERROR(V255/T255,"")</f>
      </c>
      <c r="X255" s="12">
        <f>IF(F255="","",IF(H255="","STOKTA","SATILDI"))</f>
      </c>
      <c r="Y255" s="2"/>
      <c r="Z255" s="3"/>
      <c r="AA255" s="3"/>
      <c r="AB255" s="3"/>
      <c r="AC255" s="14">
        <f>IF(F255="","",SUM(Z255:AB255))</f>
      </c>
      <c r="AD255" s="14">
        <f>IF(T255="","",V255+AC255)</f>
      </c>
    </row>
    <row r="256" spans="1:30">
      <c r="A256">
        <f>IF(D256="","",ROW()-3)</f>
      </c>
      <c r="B256" s="2"/>
      <c r="C256" s="18"/>
      <c r="D256" s="2"/>
      <c r="E256" s="2"/>
      <c r="F256" s="3"/>
      <c r="G256" s="16"/>
      <c r="H256" s="16"/>
      <c r="I256" s="17">
        <f>IF(G256="","",IF(H256="",TODAY()-G256,H256-G256))</f>
      </c>
      <c r="J256" s="13">
        <f>IF(F256="","",IFERROR(IF(VLOOKUP(E256,'ALIM AYARLARI'!$A$4:$D$20,3,FALSE)="EVET",'GİDER AYARLARI'!$B$4,0),0))</f>
      </c>
      <c r="K256" s="13">
        <f>IF(F256="","",'GİDER AYARLARI'!$B$5)</f>
      </c>
      <c r="L256" s="13">
        <f>IF(F256="","",'GİDER AYARLARI'!$B$6)</f>
      </c>
      <c r="M256" s="13">
        <f>IF(F256="","",IFERROR(IF(VLOOKUP(E256,'ALIM AYARLARI'!$A$4:$D$20,3,FALSE)="EVET",'GİDER AYARLARI'!$B$7,0),0))</f>
      </c>
      <c r="N256" s="3"/>
      <c r="O256" s="13">
        <f>IF(OR(F256="",I256=""),"",IFERROR(IF(VLOOKUP(E256,'ALIM AYARLARI'!$A$4:$D$20,2,FALSE)="EVET",F256*'GİDER AYARLARI'!$B$8*I256/30,0),0))</f>
      </c>
      <c r="P256" s="14">
        <f>IF(F256="","",SUM(J256:O256))</f>
      </c>
      <c r="Q256" s="14">
        <f>IF(F256="","",F256+P256)</f>
      </c>
      <c r="R256" s="2"/>
      <c r="S256" s="2"/>
      <c r="T256" s="3"/>
      <c r="U256" s="14">
        <f>IF(OR(F256="",T256=""),"",T256-F256)</f>
      </c>
      <c r="V256" s="14">
        <f>IF(T256="","",T256-Q256)</f>
      </c>
      <c r="W256" s="15">
        <f>IFERROR(V256/T256,"")</f>
      </c>
      <c r="X256" s="12">
        <f>IF(F256="","",IF(H256="","STOKTA","SATILDI"))</f>
      </c>
      <c r="Y256" s="2"/>
      <c r="Z256" s="3"/>
      <c r="AA256" s="3"/>
      <c r="AB256" s="3"/>
      <c r="AC256" s="14">
        <f>IF(F256="","",SUM(Z256:AB256))</f>
      </c>
      <c r="AD256" s="14">
        <f>IF(T256="","",V256+AC256)</f>
      </c>
    </row>
    <row r="257" spans="1:30">
      <c r="A257">
        <f>IF(D257="","",ROW()-3)</f>
      </c>
      <c r="B257" s="2"/>
      <c r="C257" s="18"/>
      <c r="D257" s="2"/>
      <c r="E257" s="2"/>
      <c r="F257" s="3"/>
      <c r="G257" s="16"/>
      <c r="H257" s="16"/>
      <c r="I257" s="17">
        <f>IF(G257="","",IF(H257="",TODAY()-G257,H257-G257))</f>
      </c>
      <c r="J257" s="13">
        <f>IF(F257="","",IFERROR(IF(VLOOKUP(E257,'ALIM AYARLARI'!$A$4:$D$20,3,FALSE)="EVET",'GİDER AYARLARI'!$B$4,0),0))</f>
      </c>
      <c r="K257" s="13">
        <f>IF(F257="","",'GİDER AYARLARI'!$B$5)</f>
      </c>
      <c r="L257" s="13">
        <f>IF(F257="","",'GİDER AYARLARI'!$B$6)</f>
      </c>
      <c r="M257" s="13">
        <f>IF(F257="","",IFERROR(IF(VLOOKUP(E257,'ALIM AYARLARI'!$A$4:$D$20,3,FALSE)="EVET",'GİDER AYARLARI'!$B$7,0),0))</f>
      </c>
      <c r="N257" s="3"/>
      <c r="O257" s="13">
        <f>IF(OR(F257="",I257=""),"",IFERROR(IF(VLOOKUP(E257,'ALIM AYARLARI'!$A$4:$D$20,2,FALSE)="EVET",F257*'GİDER AYARLARI'!$B$8*I257/30,0),0))</f>
      </c>
      <c r="P257" s="14">
        <f>IF(F257="","",SUM(J257:O257))</f>
      </c>
      <c r="Q257" s="14">
        <f>IF(F257="","",F257+P257)</f>
      </c>
      <c r="R257" s="2"/>
      <c r="S257" s="2"/>
      <c r="T257" s="3"/>
      <c r="U257" s="14">
        <f>IF(OR(F257="",T257=""),"",T257-F257)</f>
      </c>
      <c r="V257" s="14">
        <f>IF(T257="","",T257-Q257)</f>
      </c>
      <c r="W257" s="15">
        <f>IFERROR(V257/T257,"")</f>
      </c>
      <c r="X257" s="12">
        <f>IF(F257="","",IF(H257="","STOKTA","SATILDI"))</f>
      </c>
      <c r="Y257" s="2"/>
      <c r="Z257" s="3"/>
      <c r="AA257" s="3"/>
      <c r="AB257" s="3"/>
      <c r="AC257" s="14">
        <f>IF(F257="","",SUM(Z257:AB257))</f>
      </c>
      <c r="AD257" s="14">
        <f>IF(T257="","",V257+AC257)</f>
      </c>
    </row>
    <row r="258" spans="1:30">
      <c r="A258">
        <f>IF(D258="","",ROW()-3)</f>
      </c>
      <c r="B258" s="2"/>
      <c r="C258" s="18"/>
      <c r="D258" s="2"/>
      <c r="E258" s="2"/>
      <c r="F258" s="3"/>
      <c r="G258" s="16"/>
      <c r="H258" s="16"/>
      <c r="I258" s="17">
        <f>IF(G258="","",IF(H258="",TODAY()-G258,H258-G258))</f>
      </c>
      <c r="J258" s="13">
        <f>IF(F258="","",IFERROR(IF(VLOOKUP(E258,'ALIM AYARLARI'!$A$4:$D$20,3,FALSE)="EVET",'GİDER AYARLARI'!$B$4,0),0))</f>
      </c>
      <c r="K258" s="13">
        <f>IF(F258="","",'GİDER AYARLARI'!$B$5)</f>
      </c>
      <c r="L258" s="13">
        <f>IF(F258="","",'GİDER AYARLARI'!$B$6)</f>
      </c>
      <c r="M258" s="13">
        <f>IF(F258="","",IFERROR(IF(VLOOKUP(E258,'ALIM AYARLARI'!$A$4:$D$20,3,FALSE)="EVET",'GİDER AYARLARI'!$B$7,0),0))</f>
      </c>
      <c r="N258" s="3"/>
      <c r="O258" s="13">
        <f>IF(OR(F258="",I258=""),"",IFERROR(IF(VLOOKUP(E258,'ALIM AYARLARI'!$A$4:$D$20,2,FALSE)="EVET",F258*'GİDER AYARLARI'!$B$8*I258/30,0),0))</f>
      </c>
      <c r="P258" s="14">
        <f>IF(F258="","",SUM(J258:O258))</f>
      </c>
      <c r="Q258" s="14">
        <f>IF(F258="","",F258+P258)</f>
      </c>
      <c r="R258" s="2"/>
      <c r="S258" s="2"/>
      <c r="T258" s="3"/>
      <c r="U258" s="14">
        <f>IF(OR(F258="",T258=""),"",T258-F258)</f>
      </c>
      <c r="V258" s="14">
        <f>IF(T258="","",T258-Q258)</f>
      </c>
      <c r="W258" s="15">
        <f>IFERROR(V258/T258,"")</f>
      </c>
      <c r="X258" s="12">
        <f>IF(F258="","",IF(H258="","STOKTA","SATILDI"))</f>
      </c>
      <c r="Y258" s="2"/>
      <c r="Z258" s="3"/>
      <c r="AA258" s="3"/>
      <c r="AB258" s="3"/>
      <c r="AC258" s="14">
        <f>IF(F258="","",SUM(Z258:AB258))</f>
      </c>
      <c r="AD258" s="14">
        <f>IF(T258="","",V258+AC258)</f>
      </c>
    </row>
    <row r="259" spans="1:30">
      <c r="A259">
        <f>IF(D259="","",ROW()-3)</f>
      </c>
      <c r="B259" s="2"/>
      <c r="C259" s="18"/>
      <c r="D259" s="2"/>
      <c r="E259" s="2"/>
      <c r="F259" s="3"/>
      <c r="G259" s="16"/>
      <c r="H259" s="16"/>
      <c r="I259" s="17">
        <f>IF(G259="","",IF(H259="",TODAY()-G259,H259-G259))</f>
      </c>
      <c r="J259" s="13">
        <f>IF(F259="","",IFERROR(IF(VLOOKUP(E259,'ALIM AYARLARI'!$A$4:$D$20,3,FALSE)="EVET",'GİDER AYARLARI'!$B$4,0),0))</f>
      </c>
      <c r="K259" s="13">
        <f>IF(F259="","",'GİDER AYARLARI'!$B$5)</f>
      </c>
      <c r="L259" s="13">
        <f>IF(F259="","",'GİDER AYARLARI'!$B$6)</f>
      </c>
      <c r="M259" s="13">
        <f>IF(F259="","",IFERROR(IF(VLOOKUP(E259,'ALIM AYARLARI'!$A$4:$D$20,3,FALSE)="EVET",'GİDER AYARLARI'!$B$7,0),0))</f>
      </c>
      <c r="N259" s="3"/>
      <c r="O259" s="13">
        <f>IF(OR(F259="",I259=""),"",IFERROR(IF(VLOOKUP(E259,'ALIM AYARLARI'!$A$4:$D$20,2,FALSE)="EVET",F259*'GİDER AYARLARI'!$B$8*I259/30,0),0))</f>
      </c>
      <c r="P259" s="14">
        <f>IF(F259="","",SUM(J259:O259))</f>
      </c>
      <c r="Q259" s="14">
        <f>IF(F259="","",F259+P259)</f>
      </c>
      <c r="R259" s="2"/>
      <c r="S259" s="2"/>
      <c r="T259" s="3"/>
      <c r="U259" s="14">
        <f>IF(OR(F259="",T259=""),"",T259-F259)</f>
      </c>
      <c r="V259" s="14">
        <f>IF(T259="","",T259-Q259)</f>
      </c>
      <c r="W259" s="15">
        <f>IFERROR(V259/T259,"")</f>
      </c>
      <c r="X259" s="12">
        <f>IF(F259="","",IF(H259="","STOKTA","SATILDI"))</f>
      </c>
      <c r="Y259" s="2"/>
      <c r="Z259" s="3"/>
      <c r="AA259" s="3"/>
      <c r="AB259" s="3"/>
      <c r="AC259" s="14">
        <f>IF(F259="","",SUM(Z259:AB259))</f>
      </c>
      <c r="AD259" s="14">
        <f>IF(T259="","",V259+AC259)</f>
      </c>
    </row>
    <row r="260" spans="1:30">
      <c r="A260">
        <f>IF(D260="","",ROW()-3)</f>
      </c>
      <c r="B260" s="2"/>
      <c r="C260" s="18"/>
      <c r="D260" s="2"/>
      <c r="E260" s="2"/>
      <c r="F260" s="3"/>
      <c r="G260" s="16"/>
      <c r="H260" s="16"/>
      <c r="I260" s="17">
        <f>IF(G260="","",IF(H260="",TODAY()-G260,H260-G260))</f>
      </c>
      <c r="J260" s="13">
        <f>IF(F260="","",IFERROR(IF(VLOOKUP(E260,'ALIM AYARLARI'!$A$4:$D$20,3,FALSE)="EVET",'GİDER AYARLARI'!$B$4,0),0))</f>
      </c>
      <c r="K260" s="13">
        <f>IF(F260="","",'GİDER AYARLARI'!$B$5)</f>
      </c>
      <c r="L260" s="13">
        <f>IF(F260="","",'GİDER AYARLARI'!$B$6)</f>
      </c>
      <c r="M260" s="13">
        <f>IF(F260="","",IFERROR(IF(VLOOKUP(E260,'ALIM AYARLARI'!$A$4:$D$20,3,FALSE)="EVET",'GİDER AYARLARI'!$B$7,0),0))</f>
      </c>
      <c r="N260" s="3"/>
      <c r="O260" s="13">
        <f>IF(OR(F260="",I260=""),"",IFERROR(IF(VLOOKUP(E260,'ALIM AYARLARI'!$A$4:$D$20,2,FALSE)="EVET",F260*'GİDER AYARLARI'!$B$8*I260/30,0),0))</f>
      </c>
      <c r="P260" s="14">
        <f>IF(F260="","",SUM(J260:O260))</f>
      </c>
      <c r="Q260" s="14">
        <f>IF(F260="","",F260+P260)</f>
      </c>
      <c r="R260" s="2"/>
      <c r="S260" s="2"/>
      <c r="T260" s="3"/>
      <c r="U260" s="14">
        <f>IF(OR(F260="",T260=""),"",T260-F260)</f>
      </c>
      <c r="V260" s="14">
        <f>IF(T260="","",T260-Q260)</f>
      </c>
      <c r="W260" s="15">
        <f>IFERROR(V260/T260,"")</f>
      </c>
      <c r="X260" s="12">
        <f>IF(F260="","",IF(H260="","STOKTA","SATILDI"))</f>
      </c>
      <c r="Y260" s="2"/>
      <c r="Z260" s="3"/>
      <c r="AA260" s="3"/>
      <c r="AB260" s="3"/>
      <c r="AC260" s="14">
        <f>IF(F260="","",SUM(Z260:AB260))</f>
      </c>
      <c r="AD260" s="14">
        <f>IF(T260="","",V260+AC260)</f>
      </c>
    </row>
    <row r="261" spans="1:30">
      <c r="A261">
        <f>IF(D261="","",ROW()-3)</f>
      </c>
      <c r="B261" s="2"/>
      <c r="C261" s="18"/>
      <c r="D261" s="2"/>
      <c r="E261" s="2"/>
      <c r="F261" s="3"/>
      <c r="G261" s="16"/>
      <c r="H261" s="16"/>
      <c r="I261" s="17">
        <f>IF(G261="","",IF(H261="",TODAY()-G261,H261-G261))</f>
      </c>
      <c r="J261" s="13">
        <f>IF(F261="","",IFERROR(IF(VLOOKUP(E261,'ALIM AYARLARI'!$A$4:$D$20,3,FALSE)="EVET",'GİDER AYARLARI'!$B$4,0),0))</f>
      </c>
      <c r="K261" s="13">
        <f>IF(F261="","",'GİDER AYARLARI'!$B$5)</f>
      </c>
      <c r="L261" s="13">
        <f>IF(F261="","",'GİDER AYARLARI'!$B$6)</f>
      </c>
      <c r="M261" s="13">
        <f>IF(F261="","",IFERROR(IF(VLOOKUP(E261,'ALIM AYARLARI'!$A$4:$D$20,3,FALSE)="EVET",'GİDER AYARLARI'!$B$7,0),0))</f>
      </c>
      <c r="N261" s="3"/>
      <c r="O261" s="13">
        <f>IF(OR(F261="",I261=""),"",IFERROR(IF(VLOOKUP(E261,'ALIM AYARLARI'!$A$4:$D$20,2,FALSE)="EVET",F261*'GİDER AYARLARI'!$B$8*I261/30,0),0))</f>
      </c>
      <c r="P261" s="14">
        <f>IF(F261="","",SUM(J261:O261))</f>
      </c>
      <c r="Q261" s="14">
        <f>IF(F261="","",F261+P261)</f>
      </c>
      <c r="R261" s="2"/>
      <c r="S261" s="2"/>
      <c r="T261" s="3"/>
      <c r="U261" s="14">
        <f>IF(OR(F261="",T261=""),"",T261-F261)</f>
      </c>
      <c r="V261" s="14">
        <f>IF(T261="","",T261-Q261)</f>
      </c>
      <c r="W261" s="15">
        <f>IFERROR(V261/T261,"")</f>
      </c>
      <c r="X261" s="12">
        <f>IF(F261="","",IF(H261="","STOKTA","SATILDI"))</f>
      </c>
      <c r="Y261" s="2"/>
      <c r="Z261" s="3"/>
      <c r="AA261" s="3"/>
      <c r="AB261" s="3"/>
      <c r="AC261" s="14">
        <f>IF(F261="","",SUM(Z261:AB261))</f>
      </c>
      <c r="AD261" s="14">
        <f>IF(T261="","",V261+AC261)</f>
      </c>
    </row>
    <row r="262" spans="1:30">
      <c r="A262">
        <f>IF(D262="","",ROW()-3)</f>
      </c>
      <c r="B262" s="2"/>
      <c r="C262" s="18"/>
      <c r="D262" s="2"/>
      <c r="E262" s="2"/>
      <c r="F262" s="3"/>
      <c r="G262" s="16"/>
      <c r="H262" s="16"/>
      <c r="I262" s="17">
        <f>IF(G262="","",IF(H262="",TODAY()-G262,H262-G262))</f>
      </c>
      <c r="J262" s="13">
        <f>IF(F262="","",IFERROR(IF(VLOOKUP(E262,'ALIM AYARLARI'!$A$4:$D$20,3,FALSE)="EVET",'GİDER AYARLARI'!$B$4,0),0))</f>
      </c>
      <c r="K262" s="13">
        <f>IF(F262="","",'GİDER AYARLARI'!$B$5)</f>
      </c>
      <c r="L262" s="13">
        <f>IF(F262="","",'GİDER AYARLARI'!$B$6)</f>
      </c>
      <c r="M262" s="13">
        <f>IF(F262="","",IFERROR(IF(VLOOKUP(E262,'ALIM AYARLARI'!$A$4:$D$20,3,FALSE)="EVET",'GİDER AYARLARI'!$B$7,0),0))</f>
      </c>
      <c r="N262" s="3"/>
      <c r="O262" s="13">
        <f>IF(OR(F262="",I262=""),"",IFERROR(IF(VLOOKUP(E262,'ALIM AYARLARI'!$A$4:$D$20,2,FALSE)="EVET",F262*'GİDER AYARLARI'!$B$8*I262/30,0),0))</f>
      </c>
      <c r="P262" s="14">
        <f>IF(F262="","",SUM(J262:O262))</f>
      </c>
      <c r="Q262" s="14">
        <f>IF(F262="","",F262+P262)</f>
      </c>
      <c r="R262" s="2"/>
      <c r="S262" s="2"/>
      <c r="T262" s="3"/>
      <c r="U262" s="14">
        <f>IF(OR(F262="",T262=""),"",T262-F262)</f>
      </c>
      <c r="V262" s="14">
        <f>IF(T262="","",T262-Q262)</f>
      </c>
      <c r="W262" s="15">
        <f>IFERROR(V262/T262,"")</f>
      </c>
      <c r="X262" s="12">
        <f>IF(F262="","",IF(H262="","STOKTA","SATILDI"))</f>
      </c>
      <c r="Y262" s="2"/>
      <c r="Z262" s="3"/>
      <c r="AA262" s="3"/>
      <c r="AB262" s="3"/>
      <c r="AC262" s="14">
        <f>IF(F262="","",SUM(Z262:AB262))</f>
      </c>
      <c r="AD262" s="14">
        <f>IF(T262="","",V262+AC262)</f>
      </c>
    </row>
    <row r="263" spans="1:30">
      <c r="A263">
        <f>IF(D263="","",ROW()-3)</f>
      </c>
      <c r="B263" s="2"/>
      <c r="C263" s="18"/>
      <c r="D263" s="2"/>
      <c r="E263" s="2"/>
      <c r="F263" s="3"/>
      <c r="G263" s="16"/>
      <c r="H263" s="16"/>
      <c r="I263" s="17">
        <f>IF(G263="","",IF(H263="",TODAY()-G263,H263-G263))</f>
      </c>
      <c r="J263" s="13">
        <f>IF(F263="","",IFERROR(IF(VLOOKUP(E263,'ALIM AYARLARI'!$A$4:$D$20,3,FALSE)="EVET",'GİDER AYARLARI'!$B$4,0),0))</f>
      </c>
      <c r="K263" s="13">
        <f>IF(F263="","",'GİDER AYARLARI'!$B$5)</f>
      </c>
      <c r="L263" s="13">
        <f>IF(F263="","",'GİDER AYARLARI'!$B$6)</f>
      </c>
      <c r="M263" s="13">
        <f>IF(F263="","",IFERROR(IF(VLOOKUP(E263,'ALIM AYARLARI'!$A$4:$D$20,3,FALSE)="EVET",'GİDER AYARLARI'!$B$7,0),0))</f>
      </c>
      <c r="N263" s="3"/>
      <c r="O263" s="13">
        <f>IF(OR(F263="",I263=""),"",IFERROR(IF(VLOOKUP(E263,'ALIM AYARLARI'!$A$4:$D$20,2,FALSE)="EVET",F263*'GİDER AYARLARI'!$B$8*I263/30,0),0))</f>
      </c>
      <c r="P263" s="14">
        <f>IF(F263="","",SUM(J263:O263))</f>
      </c>
      <c r="Q263" s="14">
        <f>IF(F263="","",F263+P263)</f>
      </c>
      <c r="R263" s="2"/>
      <c r="S263" s="2"/>
      <c r="T263" s="3"/>
      <c r="U263" s="14">
        <f>IF(OR(F263="",T263=""),"",T263-F263)</f>
      </c>
      <c r="V263" s="14">
        <f>IF(T263="","",T263-Q263)</f>
      </c>
      <c r="W263" s="15">
        <f>IFERROR(V263/T263,"")</f>
      </c>
      <c r="X263" s="12">
        <f>IF(F263="","",IF(H263="","STOKTA","SATILDI"))</f>
      </c>
      <c r="Y263" s="2"/>
      <c r="Z263" s="3"/>
      <c r="AA263" s="3"/>
      <c r="AB263" s="3"/>
      <c r="AC263" s="14">
        <f>IF(F263="","",SUM(Z263:AB263))</f>
      </c>
      <c r="AD263" s="14">
        <f>IF(T263="","",V263+AC263)</f>
      </c>
    </row>
    <row r="264" spans="1:30">
      <c r="A264">
        <f>IF(D264="","",ROW()-3)</f>
      </c>
      <c r="B264" s="2"/>
      <c r="C264" s="18"/>
      <c r="D264" s="2"/>
      <c r="E264" s="2"/>
      <c r="F264" s="3"/>
      <c r="G264" s="16"/>
      <c r="H264" s="16"/>
      <c r="I264" s="17">
        <f>IF(G264="","",IF(H264="",TODAY()-G264,H264-G264))</f>
      </c>
      <c r="J264" s="13">
        <f>IF(F264="","",IFERROR(IF(VLOOKUP(E264,'ALIM AYARLARI'!$A$4:$D$20,3,FALSE)="EVET",'GİDER AYARLARI'!$B$4,0),0))</f>
      </c>
      <c r="K264" s="13">
        <f>IF(F264="","",'GİDER AYARLARI'!$B$5)</f>
      </c>
      <c r="L264" s="13">
        <f>IF(F264="","",'GİDER AYARLARI'!$B$6)</f>
      </c>
      <c r="M264" s="13">
        <f>IF(F264="","",IFERROR(IF(VLOOKUP(E264,'ALIM AYARLARI'!$A$4:$D$20,3,FALSE)="EVET",'GİDER AYARLARI'!$B$7,0),0))</f>
      </c>
      <c r="N264" s="3"/>
      <c r="O264" s="13">
        <f>IF(OR(F264="",I264=""),"",IFERROR(IF(VLOOKUP(E264,'ALIM AYARLARI'!$A$4:$D$20,2,FALSE)="EVET",F264*'GİDER AYARLARI'!$B$8*I264/30,0),0))</f>
      </c>
      <c r="P264" s="14">
        <f>IF(F264="","",SUM(J264:O264))</f>
      </c>
      <c r="Q264" s="14">
        <f>IF(F264="","",F264+P264)</f>
      </c>
      <c r="R264" s="2"/>
      <c r="S264" s="2"/>
      <c r="T264" s="3"/>
      <c r="U264" s="14">
        <f>IF(OR(F264="",T264=""),"",T264-F264)</f>
      </c>
      <c r="V264" s="14">
        <f>IF(T264="","",T264-Q264)</f>
      </c>
      <c r="W264" s="15">
        <f>IFERROR(V264/T264,"")</f>
      </c>
      <c r="X264" s="12">
        <f>IF(F264="","",IF(H264="","STOKTA","SATILDI"))</f>
      </c>
      <c r="Y264" s="2"/>
      <c r="Z264" s="3"/>
      <c r="AA264" s="3"/>
      <c r="AB264" s="3"/>
      <c r="AC264" s="14">
        <f>IF(F264="","",SUM(Z264:AB264))</f>
      </c>
      <c r="AD264" s="14">
        <f>IF(T264="","",V264+AC264)</f>
      </c>
    </row>
    <row r="265" spans="1:30">
      <c r="A265">
        <f>IF(D265="","",ROW()-3)</f>
      </c>
      <c r="B265" s="2"/>
      <c r="C265" s="18"/>
      <c r="D265" s="2"/>
      <c r="E265" s="2"/>
      <c r="F265" s="3"/>
      <c r="G265" s="16"/>
      <c r="H265" s="16"/>
      <c r="I265" s="17">
        <f>IF(G265="","",IF(H265="",TODAY()-G265,H265-G265))</f>
      </c>
      <c r="J265" s="13">
        <f>IF(F265="","",IFERROR(IF(VLOOKUP(E265,'ALIM AYARLARI'!$A$4:$D$20,3,FALSE)="EVET",'GİDER AYARLARI'!$B$4,0),0))</f>
      </c>
      <c r="K265" s="13">
        <f>IF(F265="","",'GİDER AYARLARI'!$B$5)</f>
      </c>
      <c r="L265" s="13">
        <f>IF(F265="","",'GİDER AYARLARI'!$B$6)</f>
      </c>
      <c r="M265" s="13">
        <f>IF(F265="","",IFERROR(IF(VLOOKUP(E265,'ALIM AYARLARI'!$A$4:$D$20,3,FALSE)="EVET",'GİDER AYARLARI'!$B$7,0),0))</f>
      </c>
      <c r="N265" s="3"/>
      <c r="O265" s="13">
        <f>IF(OR(F265="",I265=""),"",IFERROR(IF(VLOOKUP(E265,'ALIM AYARLARI'!$A$4:$D$20,2,FALSE)="EVET",F265*'GİDER AYARLARI'!$B$8*I265/30,0),0))</f>
      </c>
      <c r="P265" s="14">
        <f>IF(F265="","",SUM(J265:O265))</f>
      </c>
      <c r="Q265" s="14">
        <f>IF(F265="","",F265+P265)</f>
      </c>
      <c r="R265" s="2"/>
      <c r="S265" s="2"/>
      <c r="T265" s="3"/>
      <c r="U265" s="14">
        <f>IF(OR(F265="",T265=""),"",T265-F265)</f>
      </c>
      <c r="V265" s="14">
        <f>IF(T265="","",T265-Q265)</f>
      </c>
      <c r="W265" s="15">
        <f>IFERROR(V265/T265,"")</f>
      </c>
      <c r="X265" s="12">
        <f>IF(F265="","",IF(H265="","STOKTA","SATILDI"))</f>
      </c>
      <c r="Y265" s="2"/>
      <c r="Z265" s="3"/>
      <c r="AA265" s="3"/>
      <c r="AB265" s="3"/>
      <c r="AC265" s="14">
        <f>IF(F265="","",SUM(Z265:AB265))</f>
      </c>
      <c r="AD265" s="14">
        <f>IF(T265="","",V265+AC265)</f>
      </c>
    </row>
    <row r="266" spans="1:30">
      <c r="A266">
        <f>IF(D266="","",ROW()-3)</f>
      </c>
      <c r="B266" s="2"/>
      <c r="C266" s="18"/>
      <c r="D266" s="2"/>
      <c r="E266" s="2"/>
      <c r="F266" s="3"/>
      <c r="G266" s="16"/>
      <c r="H266" s="16"/>
      <c r="I266" s="17">
        <f>IF(G266="","",IF(H266="",TODAY()-G266,H266-G266))</f>
      </c>
      <c r="J266" s="13">
        <f>IF(F266="","",IFERROR(IF(VLOOKUP(E266,'ALIM AYARLARI'!$A$4:$D$20,3,FALSE)="EVET",'GİDER AYARLARI'!$B$4,0),0))</f>
      </c>
      <c r="K266" s="13">
        <f>IF(F266="","",'GİDER AYARLARI'!$B$5)</f>
      </c>
      <c r="L266" s="13">
        <f>IF(F266="","",'GİDER AYARLARI'!$B$6)</f>
      </c>
      <c r="M266" s="13">
        <f>IF(F266="","",IFERROR(IF(VLOOKUP(E266,'ALIM AYARLARI'!$A$4:$D$20,3,FALSE)="EVET",'GİDER AYARLARI'!$B$7,0),0))</f>
      </c>
      <c r="N266" s="3"/>
      <c r="O266" s="13">
        <f>IF(OR(F266="",I266=""),"",IFERROR(IF(VLOOKUP(E266,'ALIM AYARLARI'!$A$4:$D$20,2,FALSE)="EVET",F266*'GİDER AYARLARI'!$B$8*I266/30,0),0))</f>
      </c>
      <c r="P266" s="14">
        <f>IF(F266="","",SUM(J266:O266))</f>
      </c>
      <c r="Q266" s="14">
        <f>IF(F266="","",F266+P266)</f>
      </c>
      <c r="R266" s="2"/>
      <c r="S266" s="2"/>
      <c r="T266" s="3"/>
      <c r="U266" s="14">
        <f>IF(OR(F266="",T266=""),"",T266-F266)</f>
      </c>
      <c r="V266" s="14">
        <f>IF(T266="","",T266-Q266)</f>
      </c>
      <c r="W266" s="15">
        <f>IFERROR(V266/T266,"")</f>
      </c>
      <c r="X266" s="12">
        <f>IF(F266="","",IF(H266="","STOKTA","SATILDI"))</f>
      </c>
      <c r="Y266" s="2"/>
      <c r="Z266" s="3"/>
      <c r="AA266" s="3"/>
      <c r="AB266" s="3"/>
      <c r="AC266" s="14">
        <f>IF(F266="","",SUM(Z266:AB266))</f>
      </c>
      <c r="AD266" s="14">
        <f>IF(T266="","",V266+AC266)</f>
      </c>
    </row>
    <row r="267" spans="1:30">
      <c r="A267">
        <f>IF(D267="","",ROW()-3)</f>
      </c>
      <c r="B267" s="2"/>
      <c r="C267" s="18"/>
      <c r="D267" s="2"/>
      <c r="E267" s="2"/>
      <c r="F267" s="3"/>
      <c r="G267" s="16"/>
      <c r="H267" s="16"/>
      <c r="I267" s="17">
        <f>IF(G267="","",IF(H267="",TODAY()-G267,H267-G267))</f>
      </c>
      <c r="J267" s="13">
        <f>IF(F267="","",IFERROR(IF(VLOOKUP(E267,'ALIM AYARLARI'!$A$4:$D$20,3,FALSE)="EVET",'GİDER AYARLARI'!$B$4,0),0))</f>
      </c>
      <c r="K267" s="13">
        <f>IF(F267="","",'GİDER AYARLARI'!$B$5)</f>
      </c>
      <c r="L267" s="13">
        <f>IF(F267="","",'GİDER AYARLARI'!$B$6)</f>
      </c>
      <c r="M267" s="13">
        <f>IF(F267="","",IFERROR(IF(VLOOKUP(E267,'ALIM AYARLARI'!$A$4:$D$20,3,FALSE)="EVET",'GİDER AYARLARI'!$B$7,0),0))</f>
      </c>
      <c r="N267" s="3"/>
      <c r="O267" s="13">
        <f>IF(OR(F267="",I267=""),"",IFERROR(IF(VLOOKUP(E267,'ALIM AYARLARI'!$A$4:$D$20,2,FALSE)="EVET",F267*'GİDER AYARLARI'!$B$8*I267/30,0),0))</f>
      </c>
      <c r="P267" s="14">
        <f>IF(F267="","",SUM(J267:O267))</f>
      </c>
      <c r="Q267" s="14">
        <f>IF(F267="","",F267+P267)</f>
      </c>
      <c r="R267" s="2"/>
      <c r="S267" s="2"/>
      <c r="T267" s="3"/>
      <c r="U267" s="14">
        <f>IF(OR(F267="",T267=""),"",T267-F267)</f>
      </c>
      <c r="V267" s="14">
        <f>IF(T267="","",T267-Q267)</f>
      </c>
      <c r="W267" s="15">
        <f>IFERROR(V267/T267,"")</f>
      </c>
      <c r="X267" s="12">
        <f>IF(F267="","",IF(H267="","STOKTA","SATILDI"))</f>
      </c>
      <c r="Y267" s="2"/>
      <c r="Z267" s="3"/>
      <c r="AA267" s="3"/>
      <c r="AB267" s="3"/>
      <c r="AC267" s="14">
        <f>IF(F267="","",SUM(Z267:AB267))</f>
      </c>
      <c r="AD267" s="14">
        <f>IF(T267="","",V267+AC267)</f>
      </c>
    </row>
    <row r="268" spans="1:30">
      <c r="A268">
        <f>IF(D268="","",ROW()-3)</f>
      </c>
      <c r="B268" s="2"/>
      <c r="C268" s="18"/>
      <c r="D268" s="2"/>
      <c r="E268" s="2"/>
      <c r="F268" s="3"/>
      <c r="G268" s="16"/>
      <c r="H268" s="16"/>
      <c r="I268" s="17">
        <f>IF(G268="","",IF(H268="",TODAY()-G268,H268-G268))</f>
      </c>
      <c r="J268" s="13">
        <f>IF(F268="","",IFERROR(IF(VLOOKUP(E268,'ALIM AYARLARI'!$A$4:$D$20,3,FALSE)="EVET",'GİDER AYARLARI'!$B$4,0),0))</f>
      </c>
      <c r="K268" s="13">
        <f>IF(F268="","",'GİDER AYARLARI'!$B$5)</f>
      </c>
      <c r="L268" s="13">
        <f>IF(F268="","",'GİDER AYARLARI'!$B$6)</f>
      </c>
      <c r="M268" s="13">
        <f>IF(F268="","",IFERROR(IF(VLOOKUP(E268,'ALIM AYARLARI'!$A$4:$D$20,3,FALSE)="EVET",'GİDER AYARLARI'!$B$7,0),0))</f>
      </c>
      <c r="N268" s="3"/>
      <c r="O268" s="13">
        <f>IF(OR(F268="",I268=""),"",IFERROR(IF(VLOOKUP(E268,'ALIM AYARLARI'!$A$4:$D$20,2,FALSE)="EVET",F268*'GİDER AYARLARI'!$B$8*I268/30,0),0))</f>
      </c>
      <c r="P268" s="14">
        <f>IF(F268="","",SUM(J268:O268))</f>
      </c>
      <c r="Q268" s="14">
        <f>IF(F268="","",F268+P268)</f>
      </c>
      <c r="R268" s="2"/>
      <c r="S268" s="2"/>
      <c r="T268" s="3"/>
      <c r="U268" s="14">
        <f>IF(OR(F268="",T268=""),"",T268-F268)</f>
      </c>
      <c r="V268" s="14">
        <f>IF(T268="","",T268-Q268)</f>
      </c>
      <c r="W268" s="15">
        <f>IFERROR(V268/T268,"")</f>
      </c>
      <c r="X268" s="12">
        <f>IF(F268="","",IF(H268="","STOKTA","SATILDI"))</f>
      </c>
      <c r="Y268" s="2"/>
      <c r="Z268" s="3"/>
      <c r="AA268" s="3"/>
      <c r="AB268" s="3"/>
      <c r="AC268" s="14">
        <f>IF(F268="","",SUM(Z268:AB268))</f>
      </c>
      <c r="AD268" s="14">
        <f>IF(T268="","",V268+AC268)</f>
      </c>
    </row>
    <row r="269" spans="1:30">
      <c r="A269">
        <f>IF(D269="","",ROW()-3)</f>
      </c>
      <c r="B269" s="2"/>
      <c r="C269" s="18"/>
      <c r="D269" s="2"/>
      <c r="E269" s="2"/>
      <c r="F269" s="3"/>
      <c r="G269" s="16"/>
      <c r="H269" s="16"/>
      <c r="I269" s="17">
        <f>IF(G269="","",IF(H269="",TODAY()-G269,H269-G269))</f>
      </c>
      <c r="J269" s="13">
        <f>IF(F269="","",IFERROR(IF(VLOOKUP(E269,'ALIM AYARLARI'!$A$4:$D$20,3,FALSE)="EVET",'GİDER AYARLARI'!$B$4,0),0))</f>
      </c>
      <c r="K269" s="13">
        <f>IF(F269="","",'GİDER AYARLARI'!$B$5)</f>
      </c>
      <c r="L269" s="13">
        <f>IF(F269="","",'GİDER AYARLARI'!$B$6)</f>
      </c>
      <c r="M269" s="13">
        <f>IF(F269="","",IFERROR(IF(VLOOKUP(E269,'ALIM AYARLARI'!$A$4:$D$20,3,FALSE)="EVET",'GİDER AYARLARI'!$B$7,0),0))</f>
      </c>
      <c r="N269" s="3"/>
      <c r="O269" s="13">
        <f>IF(OR(F269="",I269=""),"",IFERROR(IF(VLOOKUP(E269,'ALIM AYARLARI'!$A$4:$D$20,2,FALSE)="EVET",F269*'GİDER AYARLARI'!$B$8*I269/30,0),0))</f>
      </c>
      <c r="P269" s="14">
        <f>IF(F269="","",SUM(J269:O269))</f>
      </c>
      <c r="Q269" s="14">
        <f>IF(F269="","",F269+P269)</f>
      </c>
      <c r="R269" s="2"/>
      <c r="S269" s="2"/>
      <c r="T269" s="3"/>
      <c r="U269" s="14">
        <f>IF(OR(F269="",T269=""),"",T269-F269)</f>
      </c>
      <c r="V269" s="14">
        <f>IF(T269="","",T269-Q269)</f>
      </c>
      <c r="W269" s="15">
        <f>IFERROR(V269/T269,"")</f>
      </c>
      <c r="X269" s="12">
        <f>IF(F269="","",IF(H269="","STOKTA","SATILDI"))</f>
      </c>
      <c r="Y269" s="2"/>
      <c r="Z269" s="3"/>
      <c r="AA269" s="3"/>
      <c r="AB269" s="3"/>
      <c r="AC269" s="14">
        <f>IF(F269="","",SUM(Z269:AB269))</f>
      </c>
      <c r="AD269" s="14">
        <f>IF(T269="","",V269+AC269)</f>
      </c>
    </row>
    <row r="270" spans="1:30">
      <c r="A270">
        <f>IF(D270="","",ROW()-3)</f>
      </c>
      <c r="B270" s="2"/>
      <c r="C270" s="18"/>
      <c r="D270" s="2"/>
      <c r="E270" s="2"/>
      <c r="F270" s="3"/>
      <c r="G270" s="16"/>
      <c r="H270" s="16"/>
      <c r="I270" s="17">
        <f>IF(G270="","",IF(H270="",TODAY()-G270,H270-G270))</f>
      </c>
      <c r="J270" s="13">
        <f>IF(F270="","",IFERROR(IF(VLOOKUP(E270,'ALIM AYARLARI'!$A$4:$D$20,3,FALSE)="EVET",'GİDER AYARLARI'!$B$4,0),0))</f>
      </c>
      <c r="K270" s="13">
        <f>IF(F270="","",'GİDER AYARLARI'!$B$5)</f>
      </c>
      <c r="L270" s="13">
        <f>IF(F270="","",'GİDER AYARLARI'!$B$6)</f>
      </c>
      <c r="M270" s="13">
        <f>IF(F270="","",IFERROR(IF(VLOOKUP(E270,'ALIM AYARLARI'!$A$4:$D$20,3,FALSE)="EVET",'GİDER AYARLARI'!$B$7,0),0))</f>
      </c>
      <c r="N270" s="3"/>
      <c r="O270" s="13">
        <f>IF(OR(F270="",I270=""),"",IFERROR(IF(VLOOKUP(E270,'ALIM AYARLARI'!$A$4:$D$20,2,FALSE)="EVET",F270*'GİDER AYARLARI'!$B$8*I270/30,0),0))</f>
      </c>
      <c r="P270" s="14">
        <f>IF(F270="","",SUM(J270:O270))</f>
      </c>
      <c r="Q270" s="14">
        <f>IF(F270="","",F270+P270)</f>
      </c>
      <c r="R270" s="2"/>
      <c r="S270" s="2"/>
      <c r="T270" s="3"/>
      <c r="U270" s="14">
        <f>IF(OR(F270="",T270=""),"",T270-F270)</f>
      </c>
      <c r="V270" s="14">
        <f>IF(T270="","",T270-Q270)</f>
      </c>
      <c r="W270" s="15">
        <f>IFERROR(V270/T270,"")</f>
      </c>
      <c r="X270" s="12">
        <f>IF(F270="","",IF(H270="","STOKTA","SATILDI"))</f>
      </c>
      <c r="Y270" s="2"/>
      <c r="Z270" s="3"/>
      <c r="AA270" s="3"/>
      <c r="AB270" s="3"/>
      <c r="AC270" s="14">
        <f>IF(F270="","",SUM(Z270:AB270))</f>
      </c>
      <c r="AD270" s="14">
        <f>IF(T270="","",V270+AC270)</f>
      </c>
    </row>
    <row r="271" spans="1:30">
      <c r="A271">
        <f>IF(D271="","",ROW()-3)</f>
      </c>
      <c r="B271" s="2"/>
      <c r="C271" s="18"/>
      <c r="D271" s="2"/>
      <c r="E271" s="2"/>
      <c r="F271" s="3"/>
      <c r="G271" s="16"/>
      <c r="H271" s="16"/>
      <c r="I271" s="17">
        <f>IF(G271="","",IF(H271="",TODAY()-G271,H271-G271))</f>
      </c>
      <c r="J271" s="13">
        <f>IF(F271="","",IFERROR(IF(VLOOKUP(E271,'ALIM AYARLARI'!$A$4:$D$20,3,FALSE)="EVET",'GİDER AYARLARI'!$B$4,0),0))</f>
      </c>
      <c r="K271" s="13">
        <f>IF(F271="","",'GİDER AYARLARI'!$B$5)</f>
      </c>
      <c r="L271" s="13">
        <f>IF(F271="","",'GİDER AYARLARI'!$B$6)</f>
      </c>
      <c r="M271" s="13">
        <f>IF(F271="","",IFERROR(IF(VLOOKUP(E271,'ALIM AYARLARI'!$A$4:$D$20,3,FALSE)="EVET",'GİDER AYARLARI'!$B$7,0),0))</f>
      </c>
      <c r="N271" s="3"/>
      <c r="O271" s="13">
        <f>IF(OR(F271="",I271=""),"",IFERROR(IF(VLOOKUP(E271,'ALIM AYARLARI'!$A$4:$D$20,2,FALSE)="EVET",F271*'GİDER AYARLARI'!$B$8*I271/30,0),0))</f>
      </c>
      <c r="P271" s="14">
        <f>IF(F271="","",SUM(J271:O271))</f>
      </c>
      <c r="Q271" s="14">
        <f>IF(F271="","",F271+P271)</f>
      </c>
      <c r="R271" s="2"/>
      <c r="S271" s="2"/>
      <c r="T271" s="3"/>
      <c r="U271" s="14">
        <f>IF(OR(F271="",T271=""),"",T271-F271)</f>
      </c>
      <c r="V271" s="14">
        <f>IF(T271="","",T271-Q271)</f>
      </c>
      <c r="W271" s="15">
        <f>IFERROR(V271/T271,"")</f>
      </c>
      <c r="X271" s="12">
        <f>IF(F271="","",IF(H271="","STOKTA","SATILDI"))</f>
      </c>
      <c r="Y271" s="2"/>
      <c r="Z271" s="3"/>
      <c r="AA271" s="3"/>
      <c r="AB271" s="3"/>
      <c r="AC271" s="14">
        <f>IF(F271="","",SUM(Z271:AB271))</f>
      </c>
      <c r="AD271" s="14">
        <f>IF(T271="","",V271+AC271)</f>
      </c>
    </row>
    <row r="272" spans="1:30">
      <c r="A272">
        <f>IF(D272="","",ROW()-3)</f>
      </c>
      <c r="B272" s="2"/>
      <c r="C272" s="18"/>
      <c r="D272" s="2"/>
      <c r="E272" s="2"/>
      <c r="F272" s="3"/>
      <c r="G272" s="16"/>
      <c r="H272" s="16"/>
      <c r="I272" s="17">
        <f>IF(G272="","",IF(H272="",TODAY()-G272,H272-G272))</f>
      </c>
      <c r="J272" s="13">
        <f>IF(F272="","",IFERROR(IF(VLOOKUP(E272,'ALIM AYARLARI'!$A$4:$D$20,3,FALSE)="EVET",'GİDER AYARLARI'!$B$4,0),0))</f>
      </c>
      <c r="K272" s="13">
        <f>IF(F272="","",'GİDER AYARLARI'!$B$5)</f>
      </c>
      <c r="L272" s="13">
        <f>IF(F272="","",'GİDER AYARLARI'!$B$6)</f>
      </c>
      <c r="M272" s="13">
        <f>IF(F272="","",IFERROR(IF(VLOOKUP(E272,'ALIM AYARLARI'!$A$4:$D$20,3,FALSE)="EVET",'GİDER AYARLARI'!$B$7,0),0))</f>
      </c>
      <c r="N272" s="3"/>
      <c r="O272" s="13">
        <f>IF(OR(F272="",I272=""),"",IFERROR(IF(VLOOKUP(E272,'ALIM AYARLARI'!$A$4:$D$20,2,FALSE)="EVET",F272*'GİDER AYARLARI'!$B$8*I272/30,0),0))</f>
      </c>
      <c r="P272" s="14">
        <f>IF(F272="","",SUM(J272:O272))</f>
      </c>
      <c r="Q272" s="14">
        <f>IF(F272="","",F272+P272)</f>
      </c>
      <c r="R272" s="2"/>
      <c r="S272" s="2"/>
      <c r="T272" s="3"/>
      <c r="U272" s="14">
        <f>IF(OR(F272="",T272=""),"",T272-F272)</f>
      </c>
      <c r="V272" s="14">
        <f>IF(T272="","",T272-Q272)</f>
      </c>
      <c r="W272" s="15">
        <f>IFERROR(V272/T272,"")</f>
      </c>
      <c r="X272" s="12">
        <f>IF(F272="","",IF(H272="","STOKTA","SATILDI"))</f>
      </c>
      <c r="Y272" s="2"/>
      <c r="Z272" s="3"/>
      <c r="AA272" s="3"/>
      <c r="AB272" s="3"/>
      <c r="AC272" s="14">
        <f>IF(F272="","",SUM(Z272:AB272))</f>
      </c>
      <c r="AD272" s="14">
        <f>IF(T272="","",V272+AC272)</f>
      </c>
    </row>
    <row r="273" spans="1:30">
      <c r="A273">
        <f>IF(D273="","",ROW()-3)</f>
      </c>
      <c r="B273" s="2"/>
      <c r="C273" s="18"/>
      <c r="D273" s="2"/>
      <c r="E273" s="2"/>
      <c r="F273" s="3"/>
      <c r="G273" s="16"/>
      <c r="H273" s="16"/>
      <c r="I273" s="17">
        <f>IF(G273="","",IF(H273="",TODAY()-G273,H273-G273))</f>
      </c>
      <c r="J273" s="13">
        <f>IF(F273="","",IFERROR(IF(VLOOKUP(E273,'ALIM AYARLARI'!$A$4:$D$20,3,FALSE)="EVET",'GİDER AYARLARI'!$B$4,0),0))</f>
      </c>
      <c r="K273" s="13">
        <f>IF(F273="","",'GİDER AYARLARI'!$B$5)</f>
      </c>
      <c r="L273" s="13">
        <f>IF(F273="","",'GİDER AYARLARI'!$B$6)</f>
      </c>
      <c r="M273" s="13">
        <f>IF(F273="","",IFERROR(IF(VLOOKUP(E273,'ALIM AYARLARI'!$A$4:$D$20,3,FALSE)="EVET",'GİDER AYARLARI'!$B$7,0),0))</f>
      </c>
      <c r="N273" s="3"/>
      <c r="O273" s="13">
        <f>IF(OR(F273="",I273=""),"",IFERROR(IF(VLOOKUP(E273,'ALIM AYARLARI'!$A$4:$D$20,2,FALSE)="EVET",F273*'GİDER AYARLARI'!$B$8*I273/30,0),0))</f>
      </c>
      <c r="P273" s="14">
        <f>IF(F273="","",SUM(J273:O273))</f>
      </c>
      <c r="Q273" s="14">
        <f>IF(F273="","",F273+P273)</f>
      </c>
      <c r="R273" s="2"/>
      <c r="S273" s="2"/>
      <c r="T273" s="3"/>
      <c r="U273" s="14">
        <f>IF(OR(F273="",T273=""),"",T273-F273)</f>
      </c>
      <c r="V273" s="14">
        <f>IF(T273="","",T273-Q273)</f>
      </c>
      <c r="W273" s="15">
        <f>IFERROR(V273/T273,"")</f>
      </c>
      <c r="X273" s="12">
        <f>IF(F273="","",IF(H273="","STOKTA","SATILDI"))</f>
      </c>
      <c r="Y273" s="2"/>
      <c r="Z273" s="3"/>
      <c r="AA273" s="3"/>
      <c r="AB273" s="3"/>
      <c r="AC273" s="14">
        <f>IF(F273="","",SUM(Z273:AB273))</f>
      </c>
      <c r="AD273" s="14">
        <f>IF(T273="","",V273+AC273)</f>
      </c>
    </row>
    <row r="274" spans="1:30">
      <c r="A274">
        <f>IF(D274="","",ROW()-3)</f>
      </c>
      <c r="B274" s="2"/>
      <c r="C274" s="18"/>
      <c r="D274" s="2"/>
      <c r="E274" s="2"/>
      <c r="F274" s="3"/>
      <c r="G274" s="16"/>
      <c r="H274" s="16"/>
      <c r="I274" s="17">
        <f>IF(G274="","",IF(H274="",TODAY()-G274,H274-G274))</f>
      </c>
      <c r="J274" s="13">
        <f>IF(F274="","",IFERROR(IF(VLOOKUP(E274,'ALIM AYARLARI'!$A$4:$D$20,3,FALSE)="EVET",'GİDER AYARLARI'!$B$4,0),0))</f>
      </c>
      <c r="K274" s="13">
        <f>IF(F274="","",'GİDER AYARLARI'!$B$5)</f>
      </c>
      <c r="L274" s="13">
        <f>IF(F274="","",'GİDER AYARLARI'!$B$6)</f>
      </c>
      <c r="M274" s="13">
        <f>IF(F274="","",IFERROR(IF(VLOOKUP(E274,'ALIM AYARLARI'!$A$4:$D$20,3,FALSE)="EVET",'GİDER AYARLARI'!$B$7,0),0))</f>
      </c>
      <c r="N274" s="3"/>
      <c r="O274" s="13">
        <f>IF(OR(F274="",I274=""),"",IFERROR(IF(VLOOKUP(E274,'ALIM AYARLARI'!$A$4:$D$20,2,FALSE)="EVET",F274*'GİDER AYARLARI'!$B$8*I274/30,0),0))</f>
      </c>
      <c r="P274" s="14">
        <f>IF(F274="","",SUM(J274:O274))</f>
      </c>
      <c r="Q274" s="14">
        <f>IF(F274="","",F274+P274)</f>
      </c>
      <c r="R274" s="2"/>
      <c r="S274" s="2"/>
      <c r="T274" s="3"/>
      <c r="U274" s="14">
        <f>IF(OR(F274="",T274=""),"",T274-F274)</f>
      </c>
      <c r="V274" s="14">
        <f>IF(T274="","",T274-Q274)</f>
      </c>
      <c r="W274" s="15">
        <f>IFERROR(V274/T274,"")</f>
      </c>
      <c r="X274" s="12">
        <f>IF(F274="","",IF(H274="","STOKTA","SATILDI"))</f>
      </c>
      <c r="Y274" s="2"/>
      <c r="Z274" s="3"/>
      <c r="AA274" s="3"/>
      <c r="AB274" s="3"/>
      <c r="AC274" s="14">
        <f>IF(F274="","",SUM(Z274:AB274))</f>
      </c>
      <c r="AD274" s="14">
        <f>IF(T274="","",V274+AC274)</f>
      </c>
    </row>
    <row r="275" spans="1:30">
      <c r="A275">
        <f>IF(D275="","",ROW()-3)</f>
      </c>
      <c r="B275" s="2"/>
      <c r="C275" s="18"/>
      <c r="D275" s="2"/>
      <c r="E275" s="2"/>
      <c r="F275" s="3"/>
      <c r="G275" s="16"/>
      <c r="H275" s="16"/>
      <c r="I275" s="17">
        <f>IF(G275="","",IF(H275="",TODAY()-G275,H275-G275))</f>
      </c>
      <c r="J275" s="13">
        <f>IF(F275="","",IFERROR(IF(VLOOKUP(E275,'ALIM AYARLARI'!$A$4:$D$20,3,FALSE)="EVET",'GİDER AYARLARI'!$B$4,0),0))</f>
      </c>
      <c r="K275" s="13">
        <f>IF(F275="","",'GİDER AYARLARI'!$B$5)</f>
      </c>
      <c r="L275" s="13">
        <f>IF(F275="","",'GİDER AYARLARI'!$B$6)</f>
      </c>
      <c r="M275" s="13">
        <f>IF(F275="","",IFERROR(IF(VLOOKUP(E275,'ALIM AYARLARI'!$A$4:$D$20,3,FALSE)="EVET",'GİDER AYARLARI'!$B$7,0),0))</f>
      </c>
      <c r="N275" s="3"/>
      <c r="O275" s="13">
        <f>IF(OR(F275="",I275=""),"",IFERROR(IF(VLOOKUP(E275,'ALIM AYARLARI'!$A$4:$D$20,2,FALSE)="EVET",F275*'GİDER AYARLARI'!$B$8*I275/30,0),0))</f>
      </c>
      <c r="P275" s="14">
        <f>IF(F275="","",SUM(J275:O275))</f>
      </c>
      <c r="Q275" s="14">
        <f>IF(F275="","",F275+P275)</f>
      </c>
      <c r="R275" s="2"/>
      <c r="S275" s="2"/>
      <c r="T275" s="3"/>
      <c r="U275" s="14">
        <f>IF(OR(F275="",T275=""),"",T275-F275)</f>
      </c>
      <c r="V275" s="14">
        <f>IF(T275="","",T275-Q275)</f>
      </c>
      <c r="W275" s="15">
        <f>IFERROR(V275/T275,"")</f>
      </c>
      <c r="X275" s="12">
        <f>IF(F275="","",IF(H275="","STOKTA","SATILDI"))</f>
      </c>
      <c r="Y275" s="2"/>
      <c r="Z275" s="3"/>
      <c r="AA275" s="3"/>
      <c r="AB275" s="3"/>
      <c r="AC275" s="14">
        <f>IF(F275="","",SUM(Z275:AB275))</f>
      </c>
      <c r="AD275" s="14">
        <f>IF(T275="","",V275+AC275)</f>
      </c>
    </row>
    <row r="276" spans="1:30">
      <c r="A276">
        <f>IF(D276="","",ROW()-3)</f>
      </c>
      <c r="B276" s="2"/>
      <c r="C276" s="18"/>
      <c r="D276" s="2"/>
      <c r="E276" s="2"/>
      <c r="F276" s="3"/>
      <c r="G276" s="16"/>
      <c r="H276" s="16"/>
      <c r="I276" s="17">
        <f>IF(G276="","",IF(H276="",TODAY()-G276,H276-G276))</f>
      </c>
      <c r="J276" s="13">
        <f>IF(F276="","",IFERROR(IF(VLOOKUP(E276,'ALIM AYARLARI'!$A$4:$D$20,3,FALSE)="EVET",'GİDER AYARLARI'!$B$4,0),0))</f>
      </c>
      <c r="K276" s="13">
        <f>IF(F276="","",'GİDER AYARLARI'!$B$5)</f>
      </c>
      <c r="L276" s="13">
        <f>IF(F276="","",'GİDER AYARLARI'!$B$6)</f>
      </c>
      <c r="M276" s="13">
        <f>IF(F276="","",IFERROR(IF(VLOOKUP(E276,'ALIM AYARLARI'!$A$4:$D$20,3,FALSE)="EVET",'GİDER AYARLARI'!$B$7,0),0))</f>
      </c>
      <c r="N276" s="3"/>
      <c r="O276" s="13">
        <f>IF(OR(F276="",I276=""),"",IFERROR(IF(VLOOKUP(E276,'ALIM AYARLARI'!$A$4:$D$20,2,FALSE)="EVET",F276*'GİDER AYARLARI'!$B$8*I276/30,0),0))</f>
      </c>
      <c r="P276" s="14">
        <f>IF(F276="","",SUM(J276:O276))</f>
      </c>
      <c r="Q276" s="14">
        <f>IF(F276="","",F276+P276)</f>
      </c>
      <c r="R276" s="2"/>
      <c r="S276" s="2"/>
      <c r="T276" s="3"/>
      <c r="U276" s="14">
        <f>IF(OR(F276="",T276=""),"",T276-F276)</f>
      </c>
      <c r="V276" s="14">
        <f>IF(T276="","",T276-Q276)</f>
      </c>
      <c r="W276" s="15">
        <f>IFERROR(V276/T276,"")</f>
      </c>
      <c r="X276" s="12">
        <f>IF(F276="","",IF(H276="","STOKTA","SATILDI"))</f>
      </c>
      <c r="Y276" s="2"/>
      <c r="Z276" s="3"/>
      <c r="AA276" s="3"/>
      <c r="AB276" s="3"/>
      <c r="AC276" s="14">
        <f>IF(F276="","",SUM(Z276:AB276))</f>
      </c>
      <c r="AD276" s="14">
        <f>IF(T276="","",V276+AC276)</f>
      </c>
    </row>
    <row r="277" spans="1:30">
      <c r="A277">
        <f>IF(D277="","",ROW()-3)</f>
      </c>
      <c r="B277" s="2"/>
      <c r="C277" s="18"/>
      <c r="D277" s="2"/>
      <c r="E277" s="2"/>
      <c r="F277" s="3"/>
      <c r="G277" s="16"/>
      <c r="H277" s="16"/>
      <c r="I277" s="17">
        <f>IF(G277="","",IF(H277="",TODAY()-G277,H277-G277))</f>
      </c>
      <c r="J277" s="13">
        <f>IF(F277="","",IFERROR(IF(VLOOKUP(E277,'ALIM AYARLARI'!$A$4:$D$20,3,FALSE)="EVET",'GİDER AYARLARI'!$B$4,0),0))</f>
      </c>
      <c r="K277" s="13">
        <f>IF(F277="","",'GİDER AYARLARI'!$B$5)</f>
      </c>
      <c r="L277" s="13">
        <f>IF(F277="","",'GİDER AYARLARI'!$B$6)</f>
      </c>
      <c r="M277" s="13">
        <f>IF(F277="","",IFERROR(IF(VLOOKUP(E277,'ALIM AYARLARI'!$A$4:$D$20,3,FALSE)="EVET",'GİDER AYARLARI'!$B$7,0),0))</f>
      </c>
      <c r="N277" s="3"/>
      <c r="O277" s="13">
        <f>IF(OR(F277="",I277=""),"",IFERROR(IF(VLOOKUP(E277,'ALIM AYARLARI'!$A$4:$D$20,2,FALSE)="EVET",F277*'GİDER AYARLARI'!$B$8*I277/30,0),0))</f>
      </c>
      <c r="P277" s="14">
        <f>IF(F277="","",SUM(J277:O277))</f>
      </c>
      <c r="Q277" s="14">
        <f>IF(F277="","",F277+P277)</f>
      </c>
      <c r="R277" s="2"/>
      <c r="S277" s="2"/>
      <c r="T277" s="3"/>
      <c r="U277" s="14">
        <f>IF(OR(F277="",T277=""),"",T277-F277)</f>
      </c>
      <c r="V277" s="14">
        <f>IF(T277="","",T277-Q277)</f>
      </c>
      <c r="W277" s="15">
        <f>IFERROR(V277/T277,"")</f>
      </c>
      <c r="X277" s="12">
        <f>IF(F277="","",IF(H277="","STOKTA","SATILDI"))</f>
      </c>
      <c r="Y277" s="2"/>
      <c r="Z277" s="3"/>
      <c r="AA277" s="3"/>
      <c r="AB277" s="3"/>
      <c r="AC277" s="14">
        <f>IF(F277="","",SUM(Z277:AB277))</f>
      </c>
      <c r="AD277" s="14">
        <f>IF(T277="","",V277+AC277)</f>
      </c>
    </row>
    <row r="278" spans="1:30">
      <c r="A278">
        <f>IF(D278="","",ROW()-3)</f>
      </c>
      <c r="B278" s="2"/>
      <c r="C278" s="18"/>
      <c r="D278" s="2"/>
      <c r="E278" s="2"/>
      <c r="F278" s="3"/>
      <c r="G278" s="16"/>
      <c r="H278" s="16"/>
      <c r="I278" s="17">
        <f>IF(G278="","",IF(H278="",TODAY()-G278,H278-G278))</f>
      </c>
      <c r="J278" s="13">
        <f>IF(F278="","",IFERROR(IF(VLOOKUP(E278,'ALIM AYARLARI'!$A$4:$D$20,3,FALSE)="EVET",'GİDER AYARLARI'!$B$4,0),0))</f>
      </c>
      <c r="K278" s="13">
        <f>IF(F278="","",'GİDER AYARLARI'!$B$5)</f>
      </c>
      <c r="L278" s="13">
        <f>IF(F278="","",'GİDER AYARLARI'!$B$6)</f>
      </c>
      <c r="M278" s="13">
        <f>IF(F278="","",IFERROR(IF(VLOOKUP(E278,'ALIM AYARLARI'!$A$4:$D$20,3,FALSE)="EVET",'GİDER AYARLARI'!$B$7,0),0))</f>
      </c>
      <c r="N278" s="3"/>
      <c r="O278" s="13">
        <f>IF(OR(F278="",I278=""),"",IFERROR(IF(VLOOKUP(E278,'ALIM AYARLARI'!$A$4:$D$20,2,FALSE)="EVET",F278*'GİDER AYARLARI'!$B$8*I278/30,0),0))</f>
      </c>
      <c r="P278" s="14">
        <f>IF(F278="","",SUM(J278:O278))</f>
      </c>
      <c r="Q278" s="14">
        <f>IF(F278="","",F278+P278)</f>
      </c>
      <c r="R278" s="2"/>
      <c r="S278" s="2"/>
      <c r="T278" s="3"/>
      <c r="U278" s="14">
        <f>IF(OR(F278="",T278=""),"",T278-F278)</f>
      </c>
      <c r="V278" s="14">
        <f>IF(T278="","",T278-Q278)</f>
      </c>
      <c r="W278" s="15">
        <f>IFERROR(V278/T278,"")</f>
      </c>
      <c r="X278" s="12">
        <f>IF(F278="","",IF(H278="","STOKTA","SATILDI"))</f>
      </c>
      <c r="Y278" s="2"/>
      <c r="Z278" s="3"/>
      <c r="AA278" s="3"/>
      <c r="AB278" s="3"/>
      <c r="AC278" s="14">
        <f>IF(F278="","",SUM(Z278:AB278))</f>
      </c>
      <c r="AD278" s="14">
        <f>IF(T278="","",V278+AC278)</f>
      </c>
    </row>
    <row r="279" spans="1:30">
      <c r="A279">
        <f>IF(D279="","",ROW()-3)</f>
      </c>
      <c r="B279" s="2"/>
      <c r="C279" s="18"/>
      <c r="D279" s="2"/>
      <c r="E279" s="2"/>
      <c r="F279" s="3"/>
      <c r="G279" s="16"/>
      <c r="H279" s="16"/>
      <c r="I279" s="17">
        <f>IF(G279="","",IF(H279="",TODAY()-G279,H279-G279))</f>
      </c>
      <c r="J279" s="13">
        <f>IF(F279="","",IFERROR(IF(VLOOKUP(E279,'ALIM AYARLARI'!$A$4:$D$20,3,FALSE)="EVET",'GİDER AYARLARI'!$B$4,0),0))</f>
      </c>
      <c r="K279" s="13">
        <f>IF(F279="","",'GİDER AYARLARI'!$B$5)</f>
      </c>
      <c r="L279" s="13">
        <f>IF(F279="","",'GİDER AYARLARI'!$B$6)</f>
      </c>
      <c r="M279" s="13">
        <f>IF(F279="","",IFERROR(IF(VLOOKUP(E279,'ALIM AYARLARI'!$A$4:$D$20,3,FALSE)="EVET",'GİDER AYARLARI'!$B$7,0),0))</f>
      </c>
      <c r="N279" s="3"/>
      <c r="O279" s="13">
        <f>IF(OR(F279="",I279=""),"",IFERROR(IF(VLOOKUP(E279,'ALIM AYARLARI'!$A$4:$D$20,2,FALSE)="EVET",F279*'GİDER AYARLARI'!$B$8*I279/30,0),0))</f>
      </c>
      <c r="P279" s="14">
        <f>IF(F279="","",SUM(J279:O279))</f>
      </c>
      <c r="Q279" s="14">
        <f>IF(F279="","",F279+P279)</f>
      </c>
      <c r="R279" s="2"/>
      <c r="S279" s="2"/>
      <c r="T279" s="3"/>
      <c r="U279" s="14">
        <f>IF(OR(F279="",T279=""),"",T279-F279)</f>
      </c>
      <c r="V279" s="14">
        <f>IF(T279="","",T279-Q279)</f>
      </c>
      <c r="W279" s="15">
        <f>IFERROR(V279/T279,"")</f>
      </c>
      <c r="X279" s="12">
        <f>IF(F279="","",IF(H279="","STOKTA","SATILDI"))</f>
      </c>
      <c r="Y279" s="2"/>
      <c r="Z279" s="3"/>
      <c r="AA279" s="3"/>
      <c r="AB279" s="3"/>
      <c r="AC279" s="14">
        <f>IF(F279="","",SUM(Z279:AB279))</f>
      </c>
      <c r="AD279" s="14">
        <f>IF(T279="","",V279+AC279)</f>
      </c>
    </row>
    <row r="280" spans="1:30">
      <c r="A280">
        <f>IF(D280="","",ROW()-3)</f>
      </c>
      <c r="B280" s="2"/>
      <c r="C280" s="18"/>
      <c r="D280" s="2"/>
      <c r="E280" s="2"/>
      <c r="F280" s="3"/>
      <c r="G280" s="16"/>
      <c r="H280" s="16"/>
      <c r="I280" s="17">
        <f>IF(G280="","",IF(H280="",TODAY()-G280,H280-G280))</f>
      </c>
      <c r="J280" s="13">
        <f>IF(F280="","",IFERROR(IF(VLOOKUP(E280,'ALIM AYARLARI'!$A$4:$D$20,3,FALSE)="EVET",'GİDER AYARLARI'!$B$4,0),0))</f>
      </c>
      <c r="K280" s="13">
        <f>IF(F280="","",'GİDER AYARLARI'!$B$5)</f>
      </c>
      <c r="L280" s="13">
        <f>IF(F280="","",'GİDER AYARLARI'!$B$6)</f>
      </c>
      <c r="M280" s="13">
        <f>IF(F280="","",IFERROR(IF(VLOOKUP(E280,'ALIM AYARLARI'!$A$4:$D$20,3,FALSE)="EVET",'GİDER AYARLARI'!$B$7,0),0))</f>
      </c>
      <c r="N280" s="3"/>
      <c r="O280" s="13">
        <f>IF(OR(F280="",I280=""),"",IFERROR(IF(VLOOKUP(E280,'ALIM AYARLARI'!$A$4:$D$20,2,FALSE)="EVET",F280*'GİDER AYARLARI'!$B$8*I280/30,0),0))</f>
      </c>
      <c r="P280" s="14">
        <f>IF(F280="","",SUM(J280:O280))</f>
      </c>
      <c r="Q280" s="14">
        <f>IF(F280="","",F280+P280)</f>
      </c>
      <c r="R280" s="2"/>
      <c r="S280" s="2"/>
      <c r="T280" s="3"/>
      <c r="U280" s="14">
        <f>IF(OR(F280="",T280=""),"",T280-F280)</f>
      </c>
      <c r="V280" s="14">
        <f>IF(T280="","",T280-Q280)</f>
      </c>
      <c r="W280" s="15">
        <f>IFERROR(V280/T280,"")</f>
      </c>
      <c r="X280" s="12">
        <f>IF(F280="","",IF(H280="","STOKTA","SATILDI"))</f>
      </c>
      <c r="Y280" s="2"/>
      <c r="Z280" s="3"/>
      <c r="AA280" s="3"/>
      <c r="AB280" s="3"/>
      <c r="AC280" s="14">
        <f>IF(F280="","",SUM(Z280:AB280))</f>
      </c>
      <c r="AD280" s="14">
        <f>IF(T280="","",V280+AC280)</f>
      </c>
    </row>
    <row r="281" spans="1:30">
      <c r="A281">
        <f>IF(D281="","",ROW()-3)</f>
      </c>
      <c r="B281" s="2"/>
      <c r="C281" s="18"/>
      <c r="D281" s="2"/>
      <c r="E281" s="2"/>
      <c r="F281" s="3"/>
      <c r="G281" s="16"/>
      <c r="H281" s="16"/>
      <c r="I281" s="17">
        <f>IF(G281="","",IF(H281="",TODAY()-G281,H281-G281))</f>
      </c>
      <c r="J281" s="13">
        <f>IF(F281="","",IFERROR(IF(VLOOKUP(E281,'ALIM AYARLARI'!$A$4:$D$20,3,FALSE)="EVET",'GİDER AYARLARI'!$B$4,0),0))</f>
      </c>
      <c r="K281" s="13">
        <f>IF(F281="","",'GİDER AYARLARI'!$B$5)</f>
      </c>
      <c r="L281" s="13">
        <f>IF(F281="","",'GİDER AYARLARI'!$B$6)</f>
      </c>
      <c r="M281" s="13">
        <f>IF(F281="","",IFERROR(IF(VLOOKUP(E281,'ALIM AYARLARI'!$A$4:$D$20,3,FALSE)="EVET",'GİDER AYARLARI'!$B$7,0),0))</f>
      </c>
      <c r="N281" s="3"/>
      <c r="O281" s="13">
        <f>IF(OR(F281="",I281=""),"",IFERROR(IF(VLOOKUP(E281,'ALIM AYARLARI'!$A$4:$D$20,2,FALSE)="EVET",F281*'GİDER AYARLARI'!$B$8*I281/30,0),0))</f>
      </c>
      <c r="P281" s="14">
        <f>IF(F281="","",SUM(J281:O281))</f>
      </c>
      <c r="Q281" s="14">
        <f>IF(F281="","",F281+P281)</f>
      </c>
      <c r="R281" s="2"/>
      <c r="S281" s="2"/>
      <c r="T281" s="3"/>
      <c r="U281" s="14">
        <f>IF(OR(F281="",T281=""),"",T281-F281)</f>
      </c>
      <c r="V281" s="14">
        <f>IF(T281="","",T281-Q281)</f>
      </c>
      <c r="W281" s="15">
        <f>IFERROR(V281/T281,"")</f>
      </c>
      <c r="X281" s="12">
        <f>IF(F281="","",IF(H281="","STOKTA","SATILDI"))</f>
      </c>
      <c r="Y281" s="2"/>
      <c r="Z281" s="3"/>
      <c r="AA281" s="3"/>
      <c r="AB281" s="3"/>
      <c r="AC281" s="14">
        <f>IF(F281="","",SUM(Z281:AB281))</f>
      </c>
      <c r="AD281" s="14">
        <f>IF(T281="","",V281+AC281)</f>
      </c>
    </row>
    <row r="282" spans="1:30">
      <c r="A282">
        <f>IF(D282="","",ROW()-3)</f>
      </c>
      <c r="B282" s="2"/>
      <c r="C282" s="18"/>
      <c r="D282" s="2"/>
      <c r="E282" s="2"/>
      <c r="F282" s="3"/>
      <c r="G282" s="16"/>
      <c r="H282" s="16"/>
      <c r="I282" s="17">
        <f>IF(G282="","",IF(H282="",TODAY()-G282,H282-G282))</f>
      </c>
      <c r="J282" s="13">
        <f>IF(F282="","",IFERROR(IF(VLOOKUP(E282,'ALIM AYARLARI'!$A$4:$D$20,3,FALSE)="EVET",'GİDER AYARLARI'!$B$4,0),0))</f>
      </c>
      <c r="K282" s="13">
        <f>IF(F282="","",'GİDER AYARLARI'!$B$5)</f>
      </c>
      <c r="L282" s="13">
        <f>IF(F282="","",'GİDER AYARLARI'!$B$6)</f>
      </c>
      <c r="M282" s="13">
        <f>IF(F282="","",IFERROR(IF(VLOOKUP(E282,'ALIM AYARLARI'!$A$4:$D$20,3,FALSE)="EVET",'GİDER AYARLARI'!$B$7,0),0))</f>
      </c>
      <c r="N282" s="3"/>
      <c r="O282" s="13">
        <f>IF(OR(F282="",I282=""),"",IFERROR(IF(VLOOKUP(E282,'ALIM AYARLARI'!$A$4:$D$20,2,FALSE)="EVET",F282*'GİDER AYARLARI'!$B$8*I282/30,0),0))</f>
      </c>
      <c r="P282" s="14">
        <f>IF(F282="","",SUM(J282:O282))</f>
      </c>
      <c r="Q282" s="14">
        <f>IF(F282="","",F282+P282)</f>
      </c>
      <c r="R282" s="2"/>
      <c r="S282" s="2"/>
      <c r="T282" s="3"/>
      <c r="U282" s="14">
        <f>IF(OR(F282="",T282=""),"",T282-F282)</f>
      </c>
      <c r="V282" s="14">
        <f>IF(T282="","",T282-Q282)</f>
      </c>
      <c r="W282" s="15">
        <f>IFERROR(V282/T282,"")</f>
      </c>
      <c r="X282" s="12">
        <f>IF(F282="","",IF(H282="","STOKTA","SATILDI"))</f>
      </c>
      <c r="Y282" s="2"/>
      <c r="Z282" s="3"/>
      <c r="AA282" s="3"/>
      <c r="AB282" s="3"/>
      <c r="AC282" s="14">
        <f>IF(F282="","",SUM(Z282:AB282))</f>
      </c>
      <c r="AD282" s="14">
        <f>IF(T282="","",V282+AC282)</f>
      </c>
    </row>
    <row r="283" spans="1:30">
      <c r="A283">
        <f>IF(D283="","",ROW()-3)</f>
      </c>
      <c r="B283" s="2"/>
      <c r="C283" s="18"/>
      <c r="D283" s="2"/>
      <c r="E283" s="2"/>
      <c r="F283" s="3"/>
      <c r="G283" s="16"/>
      <c r="H283" s="16"/>
      <c r="I283" s="17">
        <f>IF(G283="","",IF(H283="",TODAY()-G283,H283-G283))</f>
      </c>
      <c r="J283" s="13">
        <f>IF(F283="","",IFERROR(IF(VLOOKUP(E283,'ALIM AYARLARI'!$A$4:$D$20,3,FALSE)="EVET",'GİDER AYARLARI'!$B$4,0),0))</f>
      </c>
      <c r="K283" s="13">
        <f>IF(F283="","",'GİDER AYARLARI'!$B$5)</f>
      </c>
      <c r="L283" s="13">
        <f>IF(F283="","",'GİDER AYARLARI'!$B$6)</f>
      </c>
      <c r="M283" s="13">
        <f>IF(F283="","",IFERROR(IF(VLOOKUP(E283,'ALIM AYARLARI'!$A$4:$D$20,3,FALSE)="EVET",'GİDER AYARLARI'!$B$7,0),0))</f>
      </c>
      <c r="N283" s="3"/>
      <c r="O283" s="13">
        <f>IF(OR(F283="",I283=""),"",IFERROR(IF(VLOOKUP(E283,'ALIM AYARLARI'!$A$4:$D$20,2,FALSE)="EVET",F283*'GİDER AYARLARI'!$B$8*I283/30,0),0))</f>
      </c>
      <c r="P283" s="14">
        <f>IF(F283="","",SUM(J283:O283))</f>
      </c>
      <c r="Q283" s="14">
        <f>IF(F283="","",F283+P283)</f>
      </c>
      <c r="R283" s="2"/>
      <c r="S283" s="2"/>
      <c r="T283" s="3"/>
      <c r="U283" s="14">
        <f>IF(OR(F283="",T283=""),"",T283-F283)</f>
      </c>
      <c r="V283" s="14">
        <f>IF(T283="","",T283-Q283)</f>
      </c>
      <c r="W283" s="15">
        <f>IFERROR(V283/T283,"")</f>
      </c>
      <c r="X283" s="12">
        <f>IF(F283="","",IF(H283="","STOKTA","SATILDI"))</f>
      </c>
      <c r="Y283" s="2"/>
      <c r="Z283" s="3"/>
      <c r="AA283" s="3"/>
      <c r="AB283" s="3"/>
      <c r="AC283" s="14">
        <f>IF(F283="","",SUM(Z283:AB283))</f>
      </c>
      <c r="AD283" s="14">
        <f>IF(T283="","",V283+AC283)</f>
      </c>
    </row>
    <row r="284" spans="1:30">
      <c r="A284">
        <f>IF(D284="","",ROW()-3)</f>
      </c>
      <c r="B284" s="2"/>
      <c r="C284" s="18"/>
      <c r="D284" s="2"/>
      <c r="E284" s="2"/>
      <c r="F284" s="3"/>
      <c r="G284" s="16"/>
      <c r="H284" s="16"/>
      <c r="I284" s="17">
        <f>IF(G284="","",IF(H284="",TODAY()-G284,H284-G284))</f>
      </c>
      <c r="J284" s="13">
        <f>IF(F284="","",IFERROR(IF(VLOOKUP(E284,'ALIM AYARLARI'!$A$4:$D$20,3,FALSE)="EVET",'GİDER AYARLARI'!$B$4,0),0))</f>
      </c>
      <c r="K284" s="13">
        <f>IF(F284="","",'GİDER AYARLARI'!$B$5)</f>
      </c>
      <c r="L284" s="13">
        <f>IF(F284="","",'GİDER AYARLARI'!$B$6)</f>
      </c>
      <c r="M284" s="13">
        <f>IF(F284="","",IFERROR(IF(VLOOKUP(E284,'ALIM AYARLARI'!$A$4:$D$20,3,FALSE)="EVET",'GİDER AYARLARI'!$B$7,0),0))</f>
      </c>
      <c r="N284" s="3"/>
      <c r="O284" s="13">
        <f>IF(OR(F284="",I284=""),"",IFERROR(IF(VLOOKUP(E284,'ALIM AYARLARI'!$A$4:$D$20,2,FALSE)="EVET",F284*'GİDER AYARLARI'!$B$8*I284/30,0),0))</f>
      </c>
      <c r="P284" s="14">
        <f>IF(F284="","",SUM(J284:O284))</f>
      </c>
      <c r="Q284" s="14">
        <f>IF(F284="","",F284+P284)</f>
      </c>
      <c r="R284" s="2"/>
      <c r="S284" s="2"/>
      <c r="T284" s="3"/>
      <c r="U284" s="14">
        <f>IF(OR(F284="",T284=""),"",T284-F284)</f>
      </c>
      <c r="V284" s="14">
        <f>IF(T284="","",T284-Q284)</f>
      </c>
      <c r="W284" s="15">
        <f>IFERROR(V284/T284,"")</f>
      </c>
      <c r="X284" s="12">
        <f>IF(F284="","",IF(H284="","STOKTA","SATILDI"))</f>
      </c>
      <c r="Y284" s="2"/>
      <c r="Z284" s="3"/>
      <c r="AA284" s="3"/>
      <c r="AB284" s="3"/>
      <c r="AC284" s="14">
        <f>IF(F284="","",SUM(Z284:AB284))</f>
      </c>
      <c r="AD284" s="14">
        <f>IF(T284="","",V284+AC284)</f>
      </c>
    </row>
    <row r="285" spans="1:30">
      <c r="A285">
        <f>IF(D285="","",ROW()-3)</f>
      </c>
      <c r="B285" s="2"/>
      <c r="C285" s="18"/>
      <c r="D285" s="2"/>
      <c r="E285" s="2"/>
      <c r="F285" s="3"/>
      <c r="G285" s="16"/>
      <c r="H285" s="16"/>
      <c r="I285" s="17">
        <f>IF(G285="","",IF(H285="",TODAY()-G285,H285-G285))</f>
      </c>
      <c r="J285" s="13">
        <f>IF(F285="","",IFERROR(IF(VLOOKUP(E285,'ALIM AYARLARI'!$A$4:$D$20,3,FALSE)="EVET",'GİDER AYARLARI'!$B$4,0),0))</f>
      </c>
      <c r="K285" s="13">
        <f>IF(F285="","",'GİDER AYARLARI'!$B$5)</f>
      </c>
      <c r="L285" s="13">
        <f>IF(F285="","",'GİDER AYARLARI'!$B$6)</f>
      </c>
      <c r="M285" s="13">
        <f>IF(F285="","",IFERROR(IF(VLOOKUP(E285,'ALIM AYARLARI'!$A$4:$D$20,3,FALSE)="EVET",'GİDER AYARLARI'!$B$7,0),0))</f>
      </c>
      <c r="N285" s="3"/>
      <c r="O285" s="13">
        <f>IF(OR(F285="",I285=""),"",IFERROR(IF(VLOOKUP(E285,'ALIM AYARLARI'!$A$4:$D$20,2,FALSE)="EVET",F285*'GİDER AYARLARI'!$B$8*I285/30,0),0))</f>
      </c>
      <c r="P285" s="14">
        <f>IF(F285="","",SUM(J285:O285))</f>
      </c>
      <c r="Q285" s="14">
        <f>IF(F285="","",F285+P285)</f>
      </c>
      <c r="R285" s="2"/>
      <c r="S285" s="2"/>
      <c r="T285" s="3"/>
      <c r="U285" s="14">
        <f>IF(OR(F285="",T285=""),"",T285-F285)</f>
      </c>
      <c r="V285" s="14">
        <f>IF(T285="","",T285-Q285)</f>
      </c>
      <c r="W285" s="15">
        <f>IFERROR(V285/T285,"")</f>
      </c>
      <c r="X285" s="12">
        <f>IF(F285="","",IF(H285="","STOKTA","SATILDI"))</f>
      </c>
      <c r="Y285" s="2"/>
      <c r="Z285" s="3"/>
      <c r="AA285" s="3"/>
      <c r="AB285" s="3"/>
      <c r="AC285" s="14">
        <f>IF(F285="","",SUM(Z285:AB285))</f>
      </c>
      <c r="AD285" s="14">
        <f>IF(T285="","",V285+AC285)</f>
      </c>
    </row>
    <row r="286" spans="1:30">
      <c r="A286">
        <f>IF(D286="","",ROW()-3)</f>
      </c>
      <c r="B286" s="2"/>
      <c r="C286" s="18"/>
      <c r="D286" s="2"/>
      <c r="E286" s="2"/>
      <c r="F286" s="3"/>
      <c r="G286" s="16"/>
      <c r="H286" s="16"/>
      <c r="I286" s="17">
        <f>IF(G286="","",IF(H286="",TODAY()-G286,H286-G286))</f>
      </c>
      <c r="J286" s="13">
        <f>IF(F286="","",IFERROR(IF(VLOOKUP(E286,'ALIM AYARLARI'!$A$4:$D$20,3,FALSE)="EVET",'GİDER AYARLARI'!$B$4,0),0))</f>
      </c>
      <c r="K286" s="13">
        <f>IF(F286="","",'GİDER AYARLARI'!$B$5)</f>
      </c>
      <c r="L286" s="13">
        <f>IF(F286="","",'GİDER AYARLARI'!$B$6)</f>
      </c>
      <c r="M286" s="13">
        <f>IF(F286="","",IFERROR(IF(VLOOKUP(E286,'ALIM AYARLARI'!$A$4:$D$20,3,FALSE)="EVET",'GİDER AYARLARI'!$B$7,0),0))</f>
      </c>
      <c r="N286" s="3"/>
      <c r="O286" s="13">
        <f>IF(OR(F286="",I286=""),"",IFERROR(IF(VLOOKUP(E286,'ALIM AYARLARI'!$A$4:$D$20,2,FALSE)="EVET",F286*'GİDER AYARLARI'!$B$8*I286/30,0),0))</f>
      </c>
      <c r="P286" s="14">
        <f>IF(F286="","",SUM(J286:O286))</f>
      </c>
      <c r="Q286" s="14">
        <f>IF(F286="","",F286+P286)</f>
      </c>
      <c r="R286" s="2"/>
      <c r="S286" s="2"/>
      <c r="T286" s="3"/>
      <c r="U286" s="14">
        <f>IF(OR(F286="",T286=""),"",T286-F286)</f>
      </c>
      <c r="V286" s="14">
        <f>IF(T286="","",T286-Q286)</f>
      </c>
      <c r="W286" s="15">
        <f>IFERROR(V286/T286,"")</f>
      </c>
      <c r="X286" s="12">
        <f>IF(F286="","",IF(H286="","STOKTA","SATILDI"))</f>
      </c>
      <c r="Y286" s="2"/>
      <c r="Z286" s="3"/>
      <c r="AA286" s="3"/>
      <c r="AB286" s="3"/>
      <c r="AC286" s="14">
        <f>IF(F286="","",SUM(Z286:AB286))</f>
      </c>
      <c r="AD286" s="14">
        <f>IF(T286="","",V286+AC286)</f>
      </c>
    </row>
    <row r="287" spans="1:30">
      <c r="A287">
        <f>IF(D287="","",ROW()-3)</f>
      </c>
      <c r="B287" s="2"/>
      <c r="C287" s="18"/>
      <c r="D287" s="2"/>
      <c r="E287" s="2"/>
      <c r="F287" s="3"/>
      <c r="G287" s="16"/>
      <c r="H287" s="16"/>
      <c r="I287" s="17">
        <f>IF(G287="","",IF(H287="",TODAY()-G287,H287-G287))</f>
      </c>
      <c r="J287" s="13">
        <f>IF(F287="","",IFERROR(IF(VLOOKUP(E287,'ALIM AYARLARI'!$A$4:$D$20,3,FALSE)="EVET",'GİDER AYARLARI'!$B$4,0),0))</f>
      </c>
      <c r="K287" s="13">
        <f>IF(F287="","",'GİDER AYARLARI'!$B$5)</f>
      </c>
      <c r="L287" s="13">
        <f>IF(F287="","",'GİDER AYARLARI'!$B$6)</f>
      </c>
      <c r="M287" s="13">
        <f>IF(F287="","",IFERROR(IF(VLOOKUP(E287,'ALIM AYARLARI'!$A$4:$D$20,3,FALSE)="EVET",'GİDER AYARLARI'!$B$7,0),0))</f>
      </c>
      <c r="N287" s="3"/>
      <c r="O287" s="13">
        <f>IF(OR(F287="",I287=""),"",IFERROR(IF(VLOOKUP(E287,'ALIM AYARLARI'!$A$4:$D$20,2,FALSE)="EVET",F287*'GİDER AYARLARI'!$B$8*I287/30,0),0))</f>
      </c>
      <c r="P287" s="14">
        <f>IF(F287="","",SUM(J287:O287))</f>
      </c>
      <c r="Q287" s="14">
        <f>IF(F287="","",F287+P287)</f>
      </c>
      <c r="R287" s="2"/>
      <c r="S287" s="2"/>
      <c r="T287" s="3"/>
      <c r="U287" s="14">
        <f>IF(OR(F287="",T287=""),"",T287-F287)</f>
      </c>
      <c r="V287" s="14">
        <f>IF(T287="","",T287-Q287)</f>
      </c>
      <c r="W287" s="15">
        <f>IFERROR(V287/T287,"")</f>
      </c>
      <c r="X287" s="12">
        <f>IF(F287="","",IF(H287="","STOKTA","SATILDI"))</f>
      </c>
      <c r="Y287" s="2"/>
      <c r="Z287" s="3"/>
      <c r="AA287" s="3"/>
      <c r="AB287" s="3"/>
      <c r="AC287" s="14">
        <f>IF(F287="","",SUM(Z287:AB287))</f>
      </c>
      <c r="AD287" s="14">
        <f>IF(T287="","",V287+AC287)</f>
      </c>
    </row>
    <row r="288" spans="1:30">
      <c r="A288">
        <f>IF(D288="","",ROW()-3)</f>
      </c>
      <c r="B288" s="2"/>
      <c r="C288" s="18"/>
      <c r="D288" s="2"/>
      <c r="E288" s="2"/>
      <c r="F288" s="3"/>
      <c r="G288" s="16"/>
      <c r="H288" s="16"/>
      <c r="I288" s="17">
        <f>IF(G288="","",IF(H288="",TODAY()-G288,H288-G288))</f>
      </c>
      <c r="J288" s="13">
        <f>IF(F288="","",IFERROR(IF(VLOOKUP(E288,'ALIM AYARLARI'!$A$4:$D$20,3,FALSE)="EVET",'GİDER AYARLARI'!$B$4,0),0))</f>
      </c>
      <c r="K288" s="13">
        <f>IF(F288="","",'GİDER AYARLARI'!$B$5)</f>
      </c>
      <c r="L288" s="13">
        <f>IF(F288="","",'GİDER AYARLARI'!$B$6)</f>
      </c>
      <c r="M288" s="13">
        <f>IF(F288="","",IFERROR(IF(VLOOKUP(E288,'ALIM AYARLARI'!$A$4:$D$20,3,FALSE)="EVET",'GİDER AYARLARI'!$B$7,0),0))</f>
      </c>
      <c r="N288" s="3"/>
      <c r="O288" s="13">
        <f>IF(OR(F288="",I288=""),"",IFERROR(IF(VLOOKUP(E288,'ALIM AYARLARI'!$A$4:$D$20,2,FALSE)="EVET",F288*'GİDER AYARLARI'!$B$8*I288/30,0),0))</f>
      </c>
      <c r="P288" s="14">
        <f>IF(F288="","",SUM(J288:O288))</f>
      </c>
      <c r="Q288" s="14">
        <f>IF(F288="","",F288+P288)</f>
      </c>
      <c r="R288" s="2"/>
      <c r="S288" s="2"/>
      <c r="T288" s="3"/>
      <c r="U288" s="14">
        <f>IF(OR(F288="",T288=""),"",T288-F288)</f>
      </c>
      <c r="V288" s="14">
        <f>IF(T288="","",T288-Q288)</f>
      </c>
      <c r="W288" s="15">
        <f>IFERROR(V288/T288,"")</f>
      </c>
      <c r="X288" s="12">
        <f>IF(F288="","",IF(H288="","STOKTA","SATILDI"))</f>
      </c>
      <c r="Y288" s="2"/>
      <c r="Z288" s="3"/>
      <c r="AA288" s="3"/>
      <c r="AB288" s="3"/>
      <c r="AC288" s="14">
        <f>IF(F288="","",SUM(Z288:AB288))</f>
      </c>
      <c r="AD288" s="14">
        <f>IF(T288="","",V288+AC288)</f>
      </c>
    </row>
    <row r="289" spans="1:30">
      <c r="A289">
        <f>IF(D289="","",ROW()-3)</f>
      </c>
      <c r="B289" s="2"/>
      <c r="C289" s="18"/>
      <c r="D289" s="2"/>
      <c r="E289" s="2"/>
      <c r="F289" s="3"/>
      <c r="G289" s="16"/>
      <c r="H289" s="16"/>
      <c r="I289" s="17">
        <f>IF(G289="","",IF(H289="",TODAY()-G289,H289-G289))</f>
      </c>
      <c r="J289" s="13">
        <f>IF(F289="","",IFERROR(IF(VLOOKUP(E289,'ALIM AYARLARI'!$A$4:$D$20,3,FALSE)="EVET",'GİDER AYARLARI'!$B$4,0),0))</f>
      </c>
      <c r="K289" s="13">
        <f>IF(F289="","",'GİDER AYARLARI'!$B$5)</f>
      </c>
      <c r="L289" s="13">
        <f>IF(F289="","",'GİDER AYARLARI'!$B$6)</f>
      </c>
      <c r="M289" s="13">
        <f>IF(F289="","",IFERROR(IF(VLOOKUP(E289,'ALIM AYARLARI'!$A$4:$D$20,3,FALSE)="EVET",'GİDER AYARLARI'!$B$7,0),0))</f>
      </c>
      <c r="N289" s="3"/>
      <c r="O289" s="13">
        <f>IF(OR(F289="",I289=""),"",IFERROR(IF(VLOOKUP(E289,'ALIM AYARLARI'!$A$4:$D$20,2,FALSE)="EVET",F289*'GİDER AYARLARI'!$B$8*I289/30,0),0))</f>
      </c>
      <c r="P289" s="14">
        <f>IF(F289="","",SUM(J289:O289))</f>
      </c>
      <c r="Q289" s="14">
        <f>IF(F289="","",F289+P289)</f>
      </c>
      <c r="R289" s="2"/>
      <c r="S289" s="2"/>
      <c r="T289" s="3"/>
      <c r="U289" s="14">
        <f>IF(OR(F289="",T289=""),"",T289-F289)</f>
      </c>
      <c r="V289" s="14">
        <f>IF(T289="","",T289-Q289)</f>
      </c>
      <c r="W289" s="15">
        <f>IFERROR(V289/T289,"")</f>
      </c>
      <c r="X289" s="12">
        <f>IF(F289="","",IF(H289="","STOKTA","SATILDI"))</f>
      </c>
      <c r="Y289" s="2"/>
      <c r="Z289" s="3"/>
      <c r="AA289" s="3"/>
      <c r="AB289" s="3"/>
      <c r="AC289" s="14">
        <f>IF(F289="","",SUM(Z289:AB289))</f>
      </c>
      <c r="AD289" s="14">
        <f>IF(T289="","",V289+AC289)</f>
      </c>
    </row>
    <row r="290" spans="1:30">
      <c r="A290">
        <f>IF(D290="","",ROW()-3)</f>
      </c>
      <c r="B290" s="2"/>
      <c r="C290" s="18"/>
      <c r="D290" s="2"/>
      <c r="E290" s="2"/>
      <c r="F290" s="3"/>
      <c r="G290" s="16"/>
      <c r="H290" s="16"/>
      <c r="I290" s="17">
        <f>IF(G290="","",IF(H290="",TODAY()-G290,H290-G290))</f>
      </c>
      <c r="J290" s="13">
        <f>IF(F290="","",IFERROR(IF(VLOOKUP(E290,'ALIM AYARLARI'!$A$4:$D$20,3,FALSE)="EVET",'GİDER AYARLARI'!$B$4,0),0))</f>
      </c>
      <c r="K290" s="13">
        <f>IF(F290="","",'GİDER AYARLARI'!$B$5)</f>
      </c>
      <c r="L290" s="13">
        <f>IF(F290="","",'GİDER AYARLARI'!$B$6)</f>
      </c>
      <c r="M290" s="13">
        <f>IF(F290="","",IFERROR(IF(VLOOKUP(E290,'ALIM AYARLARI'!$A$4:$D$20,3,FALSE)="EVET",'GİDER AYARLARI'!$B$7,0),0))</f>
      </c>
      <c r="N290" s="3"/>
      <c r="O290" s="13">
        <f>IF(OR(F290="",I290=""),"",IFERROR(IF(VLOOKUP(E290,'ALIM AYARLARI'!$A$4:$D$20,2,FALSE)="EVET",F290*'GİDER AYARLARI'!$B$8*I290/30,0),0))</f>
      </c>
      <c r="P290" s="14">
        <f>IF(F290="","",SUM(J290:O290))</f>
      </c>
      <c r="Q290" s="14">
        <f>IF(F290="","",F290+P290)</f>
      </c>
      <c r="R290" s="2"/>
      <c r="S290" s="2"/>
      <c r="T290" s="3"/>
      <c r="U290" s="14">
        <f>IF(OR(F290="",T290=""),"",T290-F290)</f>
      </c>
      <c r="V290" s="14">
        <f>IF(T290="","",T290-Q290)</f>
      </c>
      <c r="W290" s="15">
        <f>IFERROR(V290/T290,"")</f>
      </c>
      <c r="X290" s="12">
        <f>IF(F290="","",IF(H290="","STOKTA","SATILDI"))</f>
      </c>
      <c r="Y290" s="2"/>
      <c r="Z290" s="3"/>
      <c r="AA290" s="3"/>
      <c r="AB290" s="3"/>
      <c r="AC290" s="14">
        <f>IF(F290="","",SUM(Z290:AB290))</f>
      </c>
      <c r="AD290" s="14">
        <f>IF(T290="","",V290+AC290)</f>
      </c>
    </row>
    <row r="291" spans="1:30">
      <c r="A291">
        <f>IF(D291="","",ROW()-3)</f>
      </c>
      <c r="B291" s="2"/>
      <c r="C291" s="18"/>
      <c r="D291" s="2"/>
      <c r="E291" s="2"/>
      <c r="F291" s="3"/>
      <c r="G291" s="16"/>
      <c r="H291" s="16"/>
      <c r="I291" s="17">
        <f>IF(G291="","",IF(H291="",TODAY()-G291,H291-G291))</f>
      </c>
      <c r="J291" s="13">
        <f>IF(F291="","",IFERROR(IF(VLOOKUP(E291,'ALIM AYARLARI'!$A$4:$D$20,3,FALSE)="EVET",'GİDER AYARLARI'!$B$4,0),0))</f>
      </c>
      <c r="K291" s="13">
        <f>IF(F291="","",'GİDER AYARLARI'!$B$5)</f>
      </c>
      <c r="L291" s="13">
        <f>IF(F291="","",'GİDER AYARLARI'!$B$6)</f>
      </c>
      <c r="M291" s="13">
        <f>IF(F291="","",IFERROR(IF(VLOOKUP(E291,'ALIM AYARLARI'!$A$4:$D$20,3,FALSE)="EVET",'GİDER AYARLARI'!$B$7,0),0))</f>
      </c>
      <c r="N291" s="3"/>
      <c r="O291" s="13">
        <f>IF(OR(F291="",I291=""),"",IFERROR(IF(VLOOKUP(E291,'ALIM AYARLARI'!$A$4:$D$20,2,FALSE)="EVET",F291*'GİDER AYARLARI'!$B$8*I291/30,0),0))</f>
      </c>
      <c r="P291" s="14">
        <f>IF(F291="","",SUM(J291:O291))</f>
      </c>
      <c r="Q291" s="14">
        <f>IF(F291="","",F291+P291)</f>
      </c>
      <c r="R291" s="2"/>
      <c r="S291" s="2"/>
      <c r="T291" s="3"/>
      <c r="U291" s="14">
        <f>IF(OR(F291="",T291=""),"",T291-F291)</f>
      </c>
      <c r="V291" s="14">
        <f>IF(T291="","",T291-Q291)</f>
      </c>
      <c r="W291" s="15">
        <f>IFERROR(V291/T291,"")</f>
      </c>
      <c r="X291" s="12">
        <f>IF(F291="","",IF(H291="","STOKTA","SATILDI"))</f>
      </c>
      <c r="Y291" s="2"/>
      <c r="Z291" s="3"/>
      <c r="AA291" s="3"/>
      <c r="AB291" s="3"/>
      <c r="AC291" s="14">
        <f>IF(F291="","",SUM(Z291:AB291))</f>
      </c>
      <c r="AD291" s="14">
        <f>IF(T291="","",V291+AC291)</f>
      </c>
    </row>
    <row r="292" spans="1:30">
      <c r="A292">
        <f>IF(D292="","",ROW()-3)</f>
      </c>
      <c r="B292" s="2"/>
      <c r="C292" s="18"/>
      <c r="D292" s="2"/>
      <c r="E292" s="2"/>
      <c r="F292" s="3"/>
      <c r="G292" s="16"/>
      <c r="H292" s="16"/>
      <c r="I292" s="17">
        <f>IF(G292="","",IF(H292="",TODAY()-G292,H292-G292))</f>
      </c>
      <c r="J292" s="13">
        <f>IF(F292="","",IFERROR(IF(VLOOKUP(E292,'ALIM AYARLARI'!$A$4:$D$20,3,FALSE)="EVET",'GİDER AYARLARI'!$B$4,0),0))</f>
      </c>
      <c r="K292" s="13">
        <f>IF(F292="","",'GİDER AYARLARI'!$B$5)</f>
      </c>
      <c r="L292" s="13">
        <f>IF(F292="","",'GİDER AYARLARI'!$B$6)</f>
      </c>
      <c r="M292" s="13">
        <f>IF(F292="","",IFERROR(IF(VLOOKUP(E292,'ALIM AYARLARI'!$A$4:$D$20,3,FALSE)="EVET",'GİDER AYARLARI'!$B$7,0),0))</f>
      </c>
      <c r="N292" s="3"/>
      <c r="O292" s="13">
        <f>IF(OR(F292="",I292=""),"",IFERROR(IF(VLOOKUP(E292,'ALIM AYARLARI'!$A$4:$D$20,2,FALSE)="EVET",F292*'GİDER AYARLARI'!$B$8*I292/30,0),0))</f>
      </c>
      <c r="P292" s="14">
        <f>IF(F292="","",SUM(J292:O292))</f>
      </c>
      <c r="Q292" s="14">
        <f>IF(F292="","",F292+P292)</f>
      </c>
      <c r="R292" s="2"/>
      <c r="S292" s="2"/>
      <c r="T292" s="3"/>
      <c r="U292" s="14">
        <f>IF(OR(F292="",T292=""),"",T292-F292)</f>
      </c>
      <c r="V292" s="14">
        <f>IF(T292="","",T292-Q292)</f>
      </c>
      <c r="W292" s="15">
        <f>IFERROR(V292/T292,"")</f>
      </c>
      <c r="X292" s="12">
        <f>IF(F292="","",IF(H292="","STOKTA","SATILDI"))</f>
      </c>
      <c r="Y292" s="2"/>
      <c r="Z292" s="3"/>
      <c r="AA292" s="3"/>
      <c r="AB292" s="3"/>
      <c r="AC292" s="14">
        <f>IF(F292="","",SUM(Z292:AB292))</f>
      </c>
      <c r="AD292" s="14">
        <f>IF(T292="","",V292+AC292)</f>
      </c>
    </row>
    <row r="293" spans="1:30">
      <c r="A293">
        <f>IF(D293="","",ROW()-3)</f>
      </c>
      <c r="B293" s="2"/>
      <c r="C293" s="18"/>
      <c r="D293" s="2"/>
      <c r="E293" s="2"/>
      <c r="F293" s="3"/>
      <c r="G293" s="16"/>
      <c r="H293" s="16"/>
      <c r="I293" s="17">
        <f>IF(G293="","",IF(H293="",TODAY()-G293,H293-G293))</f>
      </c>
      <c r="J293" s="13">
        <f>IF(F293="","",IFERROR(IF(VLOOKUP(E293,'ALIM AYARLARI'!$A$4:$D$20,3,FALSE)="EVET",'GİDER AYARLARI'!$B$4,0),0))</f>
      </c>
      <c r="K293" s="13">
        <f>IF(F293="","",'GİDER AYARLARI'!$B$5)</f>
      </c>
      <c r="L293" s="13">
        <f>IF(F293="","",'GİDER AYARLARI'!$B$6)</f>
      </c>
      <c r="M293" s="13">
        <f>IF(F293="","",IFERROR(IF(VLOOKUP(E293,'ALIM AYARLARI'!$A$4:$D$20,3,FALSE)="EVET",'GİDER AYARLARI'!$B$7,0),0))</f>
      </c>
      <c r="N293" s="3"/>
      <c r="O293" s="13">
        <f>IF(OR(F293="",I293=""),"",IFERROR(IF(VLOOKUP(E293,'ALIM AYARLARI'!$A$4:$D$20,2,FALSE)="EVET",F293*'GİDER AYARLARI'!$B$8*I293/30,0),0))</f>
      </c>
      <c r="P293" s="14">
        <f>IF(F293="","",SUM(J293:O293))</f>
      </c>
      <c r="Q293" s="14">
        <f>IF(F293="","",F293+P293)</f>
      </c>
      <c r="R293" s="2"/>
      <c r="S293" s="2"/>
      <c r="T293" s="3"/>
      <c r="U293" s="14">
        <f>IF(OR(F293="",T293=""),"",T293-F293)</f>
      </c>
      <c r="V293" s="14">
        <f>IF(T293="","",T293-Q293)</f>
      </c>
      <c r="W293" s="15">
        <f>IFERROR(V293/T293,"")</f>
      </c>
      <c r="X293" s="12">
        <f>IF(F293="","",IF(H293="","STOKTA","SATILDI"))</f>
      </c>
      <c r="Y293" s="2"/>
      <c r="Z293" s="3"/>
      <c r="AA293" s="3"/>
      <c r="AB293" s="3"/>
      <c r="AC293" s="14">
        <f>IF(F293="","",SUM(Z293:AB293))</f>
      </c>
      <c r="AD293" s="14">
        <f>IF(T293="","",V293+AC293)</f>
      </c>
    </row>
    <row r="294" spans="1:30">
      <c r="A294">
        <f>IF(D294="","",ROW()-3)</f>
      </c>
      <c r="B294" s="2"/>
      <c r="C294" s="18"/>
      <c r="D294" s="2"/>
      <c r="E294" s="2"/>
      <c r="F294" s="3"/>
      <c r="G294" s="16"/>
      <c r="H294" s="16"/>
      <c r="I294" s="17">
        <f>IF(G294="","",IF(H294="",TODAY()-G294,H294-G294))</f>
      </c>
      <c r="J294" s="13">
        <f>IF(F294="","",IFERROR(IF(VLOOKUP(E294,'ALIM AYARLARI'!$A$4:$D$20,3,FALSE)="EVET",'GİDER AYARLARI'!$B$4,0),0))</f>
      </c>
      <c r="K294" s="13">
        <f>IF(F294="","",'GİDER AYARLARI'!$B$5)</f>
      </c>
      <c r="L294" s="13">
        <f>IF(F294="","",'GİDER AYARLARI'!$B$6)</f>
      </c>
      <c r="M294" s="13">
        <f>IF(F294="","",IFERROR(IF(VLOOKUP(E294,'ALIM AYARLARI'!$A$4:$D$20,3,FALSE)="EVET",'GİDER AYARLARI'!$B$7,0),0))</f>
      </c>
      <c r="N294" s="3"/>
      <c r="O294" s="13">
        <f>IF(OR(F294="",I294=""),"",IFERROR(IF(VLOOKUP(E294,'ALIM AYARLARI'!$A$4:$D$20,2,FALSE)="EVET",F294*'GİDER AYARLARI'!$B$8*I294/30,0),0))</f>
      </c>
      <c r="P294" s="14">
        <f>IF(F294="","",SUM(J294:O294))</f>
      </c>
      <c r="Q294" s="14">
        <f>IF(F294="","",F294+P294)</f>
      </c>
      <c r="R294" s="2"/>
      <c r="S294" s="2"/>
      <c r="T294" s="3"/>
      <c r="U294" s="14">
        <f>IF(OR(F294="",T294=""),"",T294-F294)</f>
      </c>
      <c r="V294" s="14">
        <f>IF(T294="","",T294-Q294)</f>
      </c>
      <c r="W294" s="15">
        <f>IFERROR(V294/T294,"")</f>
      </c>
      <c r="X294" s="12">
        <f>IF(F294="","",IF(H294="","STOKTA","SATILDI"))</f>
      </c>
      <c r="Y294" s="2"/>
      <c r="Z294" s="3"/>
      <c r="AA294" s="3"/>
      <c r="AB294" s="3"/>
      <c r="AC294" s="14">
        <f>IF(F294="","",SUM(Z294:AB294))</f>
      </c>
      <c r="AD294" s="14">
        <f>IF(T294="","",V294+AC294)</f>
      </c>
    </row>
    <row r="295" spans="1:30">
      <c r="A295">
        <f>IF(D295="","",ROW()-3)</f>
      </c>
      <c r="B295" s="2"/>
      <c r="C295" s="18"/>
      <c r="D295" s="2"/>
      <c r="E295" s="2"/>
      <c r="F295" s="3"/>
      <c r="G295" s="16"/>
      <c r="H295" s="16"/>
      <c r="I295" s="17">
        <f>IF(G295="","",IF(H295="",TODAY()-G295,H295-G295))</f>
      </c>
      <c r="J295" s="13">
        <f>IF(F295="","",IFERROR(IF(VLOOKUP(E295,'ALIM AYARLARI'!$A$4:$D$20,3,FALSE)="EVET",'GİDER AYARLARI'!$B$4,0),0))</f>
      </c>
      <c r="K295" s="13">
        <f>IF(F295="","",'GİDER AYARLARI'!$B$5)</f>
      </c>
      <c r="L295" s="13">
        <f>IF(F295="","",'GİDER AYARLARI'!$B$6)</f>
      </c>
      <c r="M295" s="13">
        <f>IF(F295="","",IFERROR(IF(VLOOKUP(E295,'ALIM AYARLARI'!$A$4:$D$20,3,FALSE)="EVET",'GİDER AYARLARI'!$B$7,0),0))</f>
      </c>
      <c r="N295" s="3"/>
      <c r="O295" s="13">
        <f>IF(OR(F295="",I295=""),"",IFERROR(IF(VLOOKUP(E295,'ALIM AYARLARI'!$A$4:$D$20,2,FALSE)="EVET",F295*'GİDER AYARLARI'!$B$8*I295/30,0),0))</f>
      </c>
      <c r="P295" s="14">
        <f>IF(F295="","",SUM(J295:O295))</f>
      </c>
      <c r="Q295" s="14">
        <f>IF(F295="","",F295+P295)</f>
      </c>
      <c r="R295" s="2"/>
      <c r="S295" s="2"/>
      <c r="T295" s="3"/>
      <c r="U295" s="14">
        <f>IF(OR(F295="",T295=""),"",T295-F295)</f>
      </c>
      <c r="V295" s="14">
        <f>IF(T295="","",T295-Q295)</f>
      </c>
      <c r="W295" s="15">
        <f>IFERROR(V295/T295,"")</f>
      </c>
      <c r="X295" s="12">
        <f>IF(F295="","",IF(H295="","STOKTA","SATILDI"))</f>
      </c>
      <c r="Y295" s="2"/>
      <c r="Z295" s="3"/>
      <c r="AA295" s="3"/>
      <c r="AB295" s="3"/>
      <c r="AC295" s="14">
        <f>IF(F295="","",SUM(Z295:AB295))</f>
      </c>
      <c r="AD295" s="14">
        <f>IF(T295="","",V295+AC295)</f>
      </c>
    </row>
    <row r="296" spans="1:30">
      <c r="A296">
        <f>IF(D296="","",ROW()-3)</f>
      </c>
      <c r="B296" s="2"/>
      <c r="C296" s="18"/>
      <c r="D296" s="2"/>
      <c r="E296" s="2"/>
      <c r="F296" s="3"/>
      <c r="G296" s="16"/>
      <c r="H296" s="16"/>
      <c r="I296" s="17">
        <f>IF(G296="","",IF(H296="",TODAY()-G296,H296-G296))</f>
      </c>
      <c r="J296" s="13">
        <f>IF(F296="","",IFERROR(IF(VLOOKUP(E296,'ALIM AYARLARI'!$A$4:$D$20,3,FALSE)="EVET",'GİDER AYARLARI'!$B$4,0),0))</f>
      </c>
      <c r="K296" s="13">
        <f>IF(F296="","",'GİDER AYARLARI'!$B$5)</f>
      </c>
      <c r="L296" s="13">
        <f>IF(F296="","",'GİDER AYARLARI'!$B$6)</f>
      </c>
      <c r="M296" s="13">
        <f>IF(F296="","",IFERROR(IF(VLOOKUP(E296,'ALIM AYARLARI'!$A$4:$D$20,3,FALSE)="EVET",'GİDER AYARLARI'!$B$7,0),0))</f>
      </c>
      <c r="N296" s="3"/>
      <c r="O296" s="13">
        <f>IF(OR(F296="",I296=""),"",IFERROR(IF(VLOOKUP(E296,'ALIM AYARLARI'!$A$4:$D$20,2,FALSE)="EVET",F296*'GİDER AYARLARI'!$B$8*I296/30,0),0))</f>
      </c>
      <c r="P296" s="14">
        <f>IF(F296="","",SUM(J296:O296))</f>
      </c>
      <c r="Q296" s="14">
        <f>IF(F296="","",F296+P296)</f>
      </c>
      <c r="R296" s="2"/>
      <c r="S296" s="2"/>
      <c r="T296" s="3"/>
      <c r="U296" s="14">
        <f>IF(OR(F296="",T296=""),"",T296-F296)</f>
      </c>
      <c r="V296" s="14">
        <f>IF(T296="","",T296-Q296)</f>
      </c>
      <c r="W296" s="15">
        <f>IFERROR(V296/T296,"")</f>
      </c>
      <c r="X296" s="12">
        <f>IF(F296="","",IF(H296="","STOKTA","SATILDI"))</f>
      </c>
      <c r="Y296" s="2"/>
      <c r="Z296" s="3"/>
      <c r="AA296" s="3"/>
      <c r="AB296" s="3"/>
      <c r="AC296" s="14">
        <f>IF(F296="","",SUM(Z296:AB296))</f>
      </c>
      <c r="AD296" s="14">
        <f>IF(T296="","",V296+AC296)</f>
      </c>
    </row>
    <row r="297" spans="1:30">
      <c r="A297">
        <f>IF(D297="","",ROW()-3)</f>
      </c>
      <c r="B297" s="2"/>
      <c r="C297" s="18"/>
      <c r="D297" s="2"/>
      <c r="E297" s="2"/>
      <c r="F297" s="3"/>
      <c r="G297" s="16"/>
      <c r="H297" s="16"/>
      <c r="I297" s="17">
        <f>IF(G297="","",IF(H297="",TODAY()-G297,H297-G297))</f>
      </c>
      <c r="J297" s="13">
        <f>IF(F297="","",IFERROR(IF(VLOOKUP(E297,'ALIM AYARLARI'!$A$4:$D$20,3,FALSE)="EVET",'GİDER AYARLARI'!$B$4,0),0))</f>
      </c>
      <c r="K297" s="13">
        <f>IF(F297="","",'GİDER AYARLARI'!$B$5)</f>
      </c>
      <c r="L297" s="13">
        <f>IF(F297="","",'GİDER AYARLARI'!$B$6)</f>
      </c>
      <c r="M297" s="13">
        <f>IF(F297="","",IFERROR(IF(VLOOKUP(E297,'ALIM AYARLARI'!$A$4:$D$20,3,FALSE)="EVET",'GİDER AYARLARI'!$B$7,0),0))</f>
      </c>
      <c r="N297" s="3"/>
      <c r="O297" s="13">
        <f>IF(OR(F297="",I297=""),"",IFERROR(IF(VLOOKUP(E297,'ALIM AYARLARI'!$A$4:$D$20,2,FALSE)="EVET",F297*'GİDER AYARLARI'!$B$8*I297/30,0),0))</f>
      </c>
      <c r="P297" s="14">
        <f>IF(F297="","",SUM(J297:O297))</f>
      </c>
      <c r="Q297" s="14">
        <f>IF(F297="","",F297+P297)</f>
      </c>
      <c r="R297" s="2"/>
      <c r="S297" s="2"/>
      <c r="T297" s="3"/>
      <c r="U297" s="14">
        <f>IF(OR(F297="",T297=""),"",T297-F297)</f>
      </c>
      <c r="V297" s="14">
        <f>IF(T297="","",T297-Q297)</f>
      </c>
      <c r="W297" s="15">
        <f>IFERROR(V297/T297,"")</f>
      </c>
      <c r="X297" s="12">
        <f>IF(F297="","",IF(H297="","STOKTA","SATILDI"))</f>
      </c>
      <c r="Y297" s="2"/>
      <c r="Z297" s="3"/>
      <c r="AA297" s="3"/>
      <c r="AB297" s="3"/>
      <c r="AC297" s="14">
        <f>IF(F297="","",SUM(Z297:AB297))</f>
      </c>
      <c r="AD297" s="14">
        <f>IF(T297="","",V297+AC297)</f>
      </c>
    </row>
    <row r="298" spans="1:30">
      <c r="A298">
        <f>IF(D298="","",ROW()-3)</f>
      </c>
      <c r="B298" s="2"/>
      <c r="C298" s="18"/>
      <c r="D298" s="2"/>
      <c r="E298" s="2"/>
      <c r="F298" s="3"/>
      <c r="G298" s="16"/>
      <c r="H298" s="16"/>
      <c r="I298" s="17">
        <f>IF(G298="","",IF(H298="",TODAY()-G298,H298-G298))</f>
      </c>
      <c r="J298" s="13">
        <f>IF(F298="","",IFERROR(IF(VLOOKUP(E298,'ALIM AYARLARI'!$A$4:$D$20,3,FALSE)="EVET",'GİDER AYARLARI'!$B$4,0),0))</f>
      </c>
      <c r="K298" s="13">
        <f>IF(F298="","",'GİDER AYARLARI'!$B$5)</f>
      </c>
      <c r="L298" s="13">
        <f>IF(F298="","",'GİDER AYARLARI'!$B$6)</f>
      </c>
      <c r="M298" s="13">
        <f>IF(F298="","",IFERROR(IF(VLOOKUP(E298,'ALIM AYARLARI'!$A$4:$D$20,3,FALSE)="EVET",'GİDER AYARLARI'!$B$7,0),0))</f>
      </c>
      <c r="N298" s="3"/>
      <c r="O298" s="13">
        <f>IF(OR(F298="",I298=""),"",IFERROR(IF(VLOOKUP(E298,'ALIM AYARLARI'!$A$4:$D$20,2,FALSE)="EVET",F298*'GİDER AYARLARI'!$B$8*I298/30,0),0))</f>
      </c>
      <c r="P298" s="14">
        <f>IF(F298="","",SUM(J298:O298))</f>
      </c>
      <c r="Q298" s="14">
        <f>IF(F298="","",F298+P298)</f>
      </c>
      <c r="R298" s="2"/>
      <c r="S298" s="2"/>
      <c r="T298" s="3"/>
      <c r="U298" s="14">
        <f>IF(OR(F298="",T298=""),"",T298-F298)</f>
      </c>
      <c r="V298" s="14">
        <f>IF(T298="","",T298-Q298)</f>
      </c>
      <c r="W298" s="15">
        <f>IFERROR(V298/T298,"")</f>
      </c>
      <c r="X298" s="12">
        <f>IF(F298="","",IF(H298="","STOKTA","SATILDI"))</f>
      </c>
      <c r="Y298" s="2"/>
      <c r="Z298" s="3"/>
      <c r="AA298" s="3"/>
      <c r="AB298" s="3"/>
      <c r="AC298" s="14">
        <f>IF(F298="","",SUM(Z298:AB298))</f>
      </c>
      <c r="AD298" s="14">
        <f>IF(T298="","",V298+AC298)</f>
      </c>
    </row>
    <row r="299" spans="1:30">
      <c r="A299">
        <f>IF(D299="","",ROW()-3)</f>
      </c>
      <c r="B299" s="2"/>
      <c r="C299" s="18"/>
      <c r="D299" s="2"/>
      <c r="E299" s="2"/>
      <c r="F299" s="3"/>
      <c r="G299" s="16"/>
      <c r="H299" s="16"/>
      <c r="I299" s="17">
        <f>IF(G299="","",IF(H299="",TODAY()-G299,H299-G299))</f>
      </c>
      <c r="J299" s="13">
        <f>IF(F299="","",IFERROR(IF(VLOOKUP(E299,'ALIM AYARLARI'!$A$4:$D$20,3,FALSE)="EVET",'GİDER AYARLARI'!$B$4,0),0))</f>
      </c>
      <c r="K299" s="13">
        <f>IF(F299="","",'GİDER AYARLARI'!$B$5)</f>
      </c>
      <c r="L299" s="13">
        <f>IF(F299="","",'GİDER AYARLARI'!$B$6)</f>
      </c>
      <c r="M299" s="13">
        <f>IF(F299="","",IFERROR(IF(VLOOKUP(E299,'ALIM AYARLARI'!$A$4:$D$20,3,FALSE)="EVET",'GİDER AYARLARI'!$B$7,0),0))</f>
      </c>
      <c r="N299" s="3"/>
      <c r="O299" s="13">
        <f>IF(OR(F299="",I299=""),"",IFERROR(IF(VLOOKUP(E299,'ALIM AYARLARI'!$A$4:$D$20,2,FALSE)="EVET",F299*'GİDER AYARLARI'!$B$8*I299/30,0),0))</f>
      </c>
      <c r="P299" s="14">
        <f>IF(F299="","",SUM(J299:O299))</f>
      </c>
      <c r="Q299" s="14">
        <f>IF(F299="","",F299+P299)</f>
      </c>
      <c r="R299" s="2"/>
      <c r="S299" s="2"/>
      <c r="T299" s="3"/>
      <c r="U299" s="14">
        <f>IF(OR(F299="",T299=""),"",T299-F299)</f>
      </c>
      <c r="V299" s="14">
        <f>IF(T299="","",T299-Q299)</f>
      </c>
      <c r="W299" s="15">
        <f>IFERROR(V299/T299,"")</f>
      </c>
      <c r="X299" s="12">
        <f>IF(F299="","",IF(H299="","STOKTA","SATILDI"))</f>
      </c>
      <c r="Y299" s="2"/>
      <c r="Z299" s="3"/>
      <c r="AA299" s="3"/>
      <c r="AB299" s="3"/>
      <c r="AC299" s="14">
        <f>IF(F299="","",SUM(Z299:AB299))</f>
      </c>
      <c r="AD299" s="14">
        <f>IF(T299="","",V299+AC299)</f>
      </c>
    </row>
    <row r="300" spans="1:30">
      <c r="A300">
        <f>IF(D300="","",ROW()-3)</f>
      </c>
      <c r="B300" s="2"/>
      <c r="C300" s="18"/>
      <c r="D300" s="2"/>
      <c r="E300" s="2"/>
      <c r="F300" s="3"/>
      <c r="G300" s="16"/>
      <c r="H300" s="16"/>
      <c r="I300" s="17">
        <f>IF(G300="","",IF(H300="",TODAY()-G300,H300-G300))</f>
      </c>
      <c r="J300" s="13">
        <f>IF(F300="","",IFERROR(IF(VLOOKUP(E300,'ALIM AYARLARI'!$A$4:$D$20,3,FALSE)="EVET",'GİDER AYARLARI'!$B$4,0),0))</f>
      </c>
      <c r="K300" s="13">
        <f>IF(F300="","",'GİDER AYARLARI'!$B$5)</f>
      </c>
      <c r="L300" s="13">
        <f>IF(F300="","",'GİDER AYARLARI'!$B$6)</f>
      </c>
      <c r="M300" s="13">
        <f>IF(F300="","",IFERROR(IF(VLOOKUP(E300,'ALIM AYARLARI'!$A$4:$D$20,3,FALSE)="EVET",'GİDER AYARLARI'!$B$7,0),0))</f>
      </c>
      <c r="N300" s="3"/>
      <c r="O300" s="13">
        <f>IF(OR(F300="",I300=""),"",IFERROR(IF(VLOOKUP(E300,'ALIM AYARLARI'!$A$4:$D$20,2,FALSE)="EVET",F300*'GİDER AYARLARI'!$B$8*I300/30,0),0))</f>
      </c>
      <c r="P300" s="14">
        <f>IF(F300="","",SUM(J300:O300))</f>
      </c>
      <c r="Q300" s="14">
        <f>IF(F300="","",F300+P300)</f>
      </c>
      <c r="R300" s="2"/>
      <c r="S300" s="2"/>
      <c r="T300" s="3"/>
      <c r="U300" s="14">
        <f>IF(OR(F300="",T300=""),"",T300-F300)</f>
      </c>
      <c r="V300" s="14">
        <f>IF(T300="","",T300-Q300)</f>
      </c>
      <c r="W300" s="15">
        <f>IFERROR(V300/T300,"")</f>
      </c>
      <c r="X300" s="12">
        <f>IF(F300="","",IF(H300="","STOKTA","SATILDI"))</f>
      </c>
      <c r="Y300" s="2"/>
      <c r="Z300" s="3"/>
      <c r="AA300" s="3"/>
      <c r="AB300" s="3"/>
      <c r="AC300" s="14">
        <f>IF(F300="","",SUM(Z300:AB300))</f>
      </c>
      <c r="AD300" s="14">
        <f>IF(T300="","",V300+AC300)</f>
      </c>
    </row>
    <row r="301" spans="1:30">
      <c r="A301">
        <f>IF(D301="","",ROW()-3)</f>
      </c>
      <c r="B301" s="2"/>
      <c r="C301" s="18"/>
      <c r="D301" s="2"/>
      <c r="E301" s="2"/>
      <c r="F301" s="3"/>
      <c r="G301" s="16"/>
      <c r="H301" s="16"/>
      <c r="I301" s="17">
        <f>IF(G301="","",IF(H301="",TODAY()-G301,H301-G301))</f>
      </c>
      <c r="J301" s="13">
        <f>IF(F301="","",IFERROR(IF(VLOOKUP(E301,'ALIM AYARLARI'!$A$4:$D$20,3,FALSE)="EVET",'GİDER AYARLARI'!$B$4,0),0))</f>
      </c>
      <c r="K301" s="13">
        <f>IF(F301="","",'GİDER AYARLARI'!$B$5)</f>
      </c>
      <c r="L301" s="13">
        <f>IF(F301="","",'GİDER AYARLARI'!$B$6)</f>
      </c>
      <c r="M301" s="13">
        <f>IF(F301="","",IFERROR(IF(VLOOKUP(E301,'ALIM AYARLARI'!$A$4:$D$20,3,FALSE)="EVET",'GİDER AYARLARI'!$B$7,0),0))</f>
      </c>
      <c r="N301" s="3"/>
      <c r="O301" s="13">
        <f>IF(OR(F301="",I301=""),"",IFERROR(IF(VLOOKUP(E301,'ALIM AYARLARI'!$A$4:$D$20,2,FALSE)="EVET",F301*'GİDER AYARLARI'!$B$8*I301/30,0),0))</f>
      </c>
      <c r="P301" s="14">
        <f>IF(F301="","",SUM(J301:O301))</f>
      </c>
      <c r="Q301" s="14">
        <f>IF(F301="","",F301+P301)</f>
      </c>
      <c r="R301" s="2"/>
      <c r="S301" s="2"/>
      <c r="T301" s="3"/>
      <c r="U301" s="14">
        <f>IF(OR(F301="",T301=""),"",T301-F301)</f>
      </c>
      <c r="V301" s="14">
        <f>IF(T301="","",T301-Q301)</f>
      </c>
      <c r="W301" s="15">
        <f>IFERROR(V301/T301,"")</f>
      </c>
      <c r="X301" s="12">
        <f>IF(F301="","",IF(H301="","STOKTA","SATILDI"))</f>
      </c>
      <c r="Y301" s="2"/>
      <c r="Z301" s="3"/>
      <c r="AA301" s="3"/>
      <c r="AB301" s="3"/>
      <c r="AC301" s="14">
        <f>IF(F301="","",SUM(Z301:AB301))</f>
      </c>
      <c r="AD301" s="14">
        <f>IF(T301="","",V301+AC301)</f>
      </c>
    </row>
    <row r="302" spans="1:30">
      <c r="A302">
        <f>IF(D302="","",ROW()-3)</f>
      </c>
      <c r="B302" s="2"/>
      <c r="C302" s="18"/>
      <c r="D302" s="2"/>
      <c r="E302" s="2"/>
      <c r="F302" s="3"/>
      <c r="G302" s="16"/>
      <c r="H302" s="16"/>
      <c r="I302" s="17">
        <f>IF(G302="","",IF(H302="",TODAY()-G302,H302-G302))</f>
      </c>
      <c r="J302" s="13">
        <f>IF(F302="","",IFERROR(IF(VLOOKUP(E302,'ALIM AYARLARI'!$A$4:$D$20,3,FALSE)="EVET",'GİDER AYARLARI'!$B$4,0),0))</f>
      </c>
      <c r="K302" s="13">
        <f>IF(F302="","",'GİDER AYARLARI'!$B$5)</f>
      </c>
      <c r="L302" s="13">
        <f>IF(F302="","",'GİDER AYARLARI'!$B$6)</f>
      </c>
      <c r="M302" s="13">
        <f>IF(F302="","",IFERROR(IF(VLOOKUP(E302,'ALIM AYARLARI'!$A$4:$D$20,3,FALSE)="EVET",'GİDER AYARLARI'!$B$7,0),0))</f>
      </c>
      <c r="N302" s="3"/>
      <c r="O302" s="13">
        <f>IF(OR(F302="",I302=""),"",IFERROR(IF(VLOOKUP(E302,'ALIM AYARLARI'!$A$4:$D$20,2,FALSE)="EVET",F302*'GİDER AYARLARI'!$B$8*I302/30,0),0))</f>
      </c>
      <c r="P302" s="14">
        <f>IF(F302="","",SUM(J302:O302))</f>
      </c>
      <c r="Q302" s="14">
        <f>IF(F302="","",F302+P302)</f>
      </c>
      <c r="R302" s="2"/>
      <c r="S302" s="2"/>
      <c r="T302" s="3"/>
      <c r="U302" s="14">
        <f>IF(OR(F302="",T302=""),"",T302-F302)</f>
      </c>
      <c r="V302" s="14">
        <f>IF(T302="","",T302-Q302)</f>
      </c>
      <c r="W302" s="15">
        <f>IFERROR(V302/T302,"")</f>
      </c>
      <c r="X302" s="12">
        <f>IF(F302="","",IF(H302="","STOKTA","SATILDI"))</f>
      </c>
      <c r="Y302" s="2"/>
      <c r="Z302" s="3"/>
      <c r="AA302" s="3"/>
      <c r="AB302" s="3"/>
      <c r="AC302" s="14">
        <f>IF(F302="","",SUM(Z302:AB302))</f>
      </c>
      <c r="AD302" s="14">
        <f>IF(T302="","",V302+AC302)</f>
      </c>
    </row>
    <row r="303" spans="1:30">
      <c r="A303">
        <f>IF(D303="","",ROW()-3)</f>
      </c>
      <c r="B303" s="2"/>
      <c r="C303" s="18"/>
      <c r="D303" s="2"/>
      <c r="E303" s="2"/>
      <c r="F303" s="3"/>
      <c r="G303" s="16"/>
      <c r="H303" s="16"/>
      <c r="I303" s="17">
        <f>IF(G303="","",IF(H303="",TODAY()-G303,H303-G303))</f>
      </c>
      <c r="J303" s="13">
        <f>IF(F303="","",IFERROR(IF(VLOOKUP(E303,'ALIM AYARLARI'!$A$4:$D$20,3,FALSE)="EVET",'GİDER AYARLARI'!$B$4,0),0))</f>
      </c>
      <c r="K303" s="13">
        <f>IF(F303="","",'GİDER AYARLARI'!$B$5)</f>
      </c>
      <c r="L303" s="13">
        <f>IF(F303="","",'GİDER AYARLARI'!$B$6)</f>
      </c>
      <c r="M303" s="13">
        <f>IF(F303="","",IFERROR(IF(VLOOKUP(E303,'ALIM AYARLARI'!$A$4:$D$20,3,FALSE)="EVET",'GİDER AYARLARI'!$B$7,0),0))</f>
      </c>
      <c r="N303" s="3"/>
      <c r="O303" s="13">
        <f>IF(OR(F303="",I303=""),"",IFERROR(IF(VLOOKUP(E303,'ALIM AYARLARI'!$A$4:$D$20,2,FALSE)="EVET",F303*'GİDER AYARLARI'!$B$8*I303/30,0),0))</f>
      </c>
      <c r="P303" s="14">
        <f>IF(F303="","",SUM(J303:O303))</f>
      </c>
      <c r="Q303" s="14">
        <f>IF(F303="","",F303+P303)</f>
      </c>
      <c r="R303" s="2"/>
      <c r="S303" s="2"/>
      <c r="T303" s="3"/>
      <c r="U303" s="14">
        <f>IF(OR(F303="",T303=""),"",T303-F303)</f>
      </c>
      <c r="V303" s="14">
        <f>IF(T303="","",T303-Q303)</f>
      </c>
      <c r="W303" s="15">
        <f>IFERROR(V303/T303,"")</f>
      </c>
      <c r="X303" s="12">
        <f>IF(F303="","",IF(H303="","STOKTA","SATILDI"))</f>
      </c>
      <c r="Y303" s="2"/>
      <c r="Z303" s="3"/>
      <c r="AA303" s="3"/>
      <c r="AB303" s="3"/>
      <c r="AC303" s="14">
        <f>IF(F303="","",SUM(Z303:AB303))</f>
      </c>
      <c r="AD303" s="14">
        <f>IF(T303="","",V303+AC303)</f>
      </c>
    </row>
  </sheetData>
  <mergeCells count="1">
    <mergeCell ref="A1:AD1"/>
  </mergeCells>
  <conditionalFormatting sqref="V4:V303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I4:I303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ns1:Ignorable="x14ac">
  <dimension ref="A1:F21"/>
  <sheetViews>
    <sheetView workbookViewId="0">
      <selection activeCell="F20" sqref="F20"/>
    </sheetView>
  </sheetViews>
  <sheetFormatPr defaultRowHeight="13.8"/>
  <cols>
    <col min="1" max="1" width="27" customWidth="1"/>
    <col min="2" max="3" width="16" customWidth="1"/>
    <col min="4" max="4" width="14" customWidth="1"/>
    <col min="5" max="6" width="21" customWidth="1"/>
  </cols>
  <sheetData>
    <row r="1" spans="1:6" ht="19.2" customHeight="1">
      <c r="A1" s="101" t="s">
        <v>88</v>
      </c>
      <c r="B1" s="101"/>
      <c r="C1" s="101"/>
      <c r="D1" s="101"/>
      <c r="E1" s="101"/>
      <c r="F1" s="101"/>
    </row>
    <row r="3" spans="1:6" ht="21.75" customHeight="1">
      <c r="A3" s="45" t="s">
        <v>89</v>
      </c>
      <c r="B3" s="46" t="s">
        <v>90</v>
      </c>
      <c r="C3" s="46" t="s">
        <v>91</v>
      </c>
      <c r="D3" s="46" t="s">
        <v>92</v>
      </c>
      <c r="E3" s="46" t="s">
        <v>93</v>
      </c>
      <c r="F3" s="47" t="s">
        <v>94</v>
      </c>
    </row>
    <row r="4" spans="1:6">
      <c r="A4" s="48" t="inlineStr">
        <is>
          <t>EMRE URBAYAR</t>
        </is>
      </c>
      <c r="B4" s="49">
        <v>0.0</v>
      </c>
      <c r="C4" s="49">
        <v>0.0</v>
      </c>
      <c r="D4" s="50">
        <f t="shared" ref="D4:D13" si="0">IFERROR(C4/B4,0)</f>
        <v>0</v>
      </c>
      <c r="E4" s="51">
        <f>B4*'GİDER AYARLARI'!$B$5</f>
        <v>0</v>
      </c>
      <c r="F4" s="52">
        <f t="shared" ref="F4:F13" si="1">IFERROR(E4/C4,0)</f>
        <v>0</v>
      </c>
    </row>
    <row r="5" spans="1:6">
      <c r="A5" s="48" t="inlineStr">
        <is>
          <t>GÖKMEN GENÇCELEP</t>
        </is>
      </c>
      <c r="B5" s="49">
        <v>0.0</v>
      </c>
      <c r="C5" s="49">
        <v>0.0</v>
      </c>
      <c r="D5" s="50">
        <f t="shared" si="0"/>
        <v>0</v>
      </c>
      <c r="E5" s="51">
        <f>B5*'GİDER AYARLARI'!$B$5</f>
        <v>3900</v>
      </c>
      <c r="F5" s="52">
        <f t="shared" si="1"/>
        <v>0</v>
      </c>
    </row>
    <row r="6" spans="1:6">
      <c r="A6" s="48" t="inlineStr">
        <is>
          <t>HASAN SÜRMELİ</t>
        </is>
      </c>
      <c r="B6" s="49">
        <v>0.0</v>
      </c>
      <c r="C6" s="49">
        <v>0.0</v>
      </c>
      <c r="D6" s="50">
        <f t="shared" si="0"/>
        <v>0</v>
      </c>
      <c r="E6" s="51">
        <f>B6*'GİDER AYARLARI'!$B$5</f>
        <v>0</v>
      </c>
      <c r="F6" s="52">
        <f t="shared" si="1"/>
        <v>0</v>
      </c>
    </row>
    <row r="7" spans="1:6">
      <c r="A7" s="53" t="inlineStr">
        <is>
          <t>HATİCE DOĞAN</t>
        </is>
      </c>
      <c r="B7" s="54">
        <v>1.0</v>
      </c>
      <c r="C7" s="54">
        <v>0.0</v>
      </c>
      <c r="D7" s="55">
        <f t="shared" si="0"/>
        <v>0</v>
      </c>
      <c r="E7" s="56">
        <f>B7*'GİDER AYARLARI'!$B$5</f>
        <v>0</v>
      </c>
      <c r="F7" s="57">
        <f t="shared" si="1"/>
        <v>0</v>
      </c>
    </row>
    <row r="8" spans="1:6">
      <c r="A8" s="48" t="inlineStr">
        <is>
          <t>MUSTAFA BALKAN</t>
        </is>
      </c>
      <c r="B8" s="49">
        <v>1.0</v>
      </c>
      <c r="C8" s="49">
        <v>0.0</v>
      </c>
      <c r="D8" s="50">
        <f t="shared" si="0"/>
        <v>0</v>
      </c>
      <c r="E8" s="51">
        <f>B8*'GİDER AYARLARI'!$B$5</f>
        <v>11700</v>
      </c>
      <c r="F8" s="52">
        <f t="shared" si="1"/>
        <v>0</v>
      </c>
    </row>
    <row r="9" spans="1:6">
      <c r="A9" s="48" t="inlineStr">
        <is>
          <t>MUSTAFA TEKİN</t>
        </is>
      </c>
      <c r="B9" s="49">
        <v>0.0</v>
      </c>
      <c r="C9" s="49">
        <v>0.0</v>
      </c>
      <c r="D9" s="50">
        <f t="shared" si="0"/>
        <v>0</v>
      </c>
      <c r="E9" s="51">
        <f>B9*'GİDER AYARLARI'!$B$5</f>
        <v>0</v>
      </c>
      <c r="F9" s="52">
        <f t="shared" si="1"/>
        <v>0</v>
      </c>
    </row>
    <row r="10" spans="1:6">
      <c r="A10" s="48" t="inlineStr">
        <is>
          <t>MÜGE KENARLI</t>
        </is>
      </c>
      <c r="B10" s="49">
        <v>0.0</v>
      </c>
      <c r="C10" s="49">
        <v>0.0</v>
      </c>
      <c r="D10" s="50">
        <f t="shared" si="0"/>
        <v>0</v>
      </c>
      <c r="E10" s="51">
        <f>B10*'GİDER AYARLARI'!$B$5</f>
        <v>3900</v>
      </c>
      <c r="F10" s="52">
        <f t="shared" si="1"/>
        <v>0</v>
      </c>
    </row>
    <row r="11" spans="1:6">
      <c r="A11" s="48" t="inlineStr">
        <is>
          <t>ONUR İPEK</t>
        </is>
      </c>
      <c r="B11" s="49">
        <v>1.0</v>
      </c>
      <c r="C11" s="49">
        <v>2.0</v>
      </c>
      <c r="D11" s="50">
        <f t="shared" si="0"/>
        <v>0</v>
      </c>
      <c r="E11" s="51">
        <f>B11*'GİDER AYARLARI'!$B$5</f>
        <v>0</v>
      </c>
      <c r="F11" s="52">
        <f t="shared" si="1"/>
        <v>0</v>
      </c>
    </row>
    <row r="12" spans="1:6">
      <c r="A12" s="48" t="inlineStr">
        <is>
          <t>SEVDA GENÇ</t>
        </is>
      </c>
      <c r="B12" s="49">
        <v>0.0</v>
      </c>
      <c r="C12" s="49">
        <v>0.0</v>
      </c>
      <c r="D12" s="50">
        <f t="shared" si="0"/>
        <v>0</v>
      </c>
      <c r="E12" s="51">
        <f>B12*'GİDER AYARLARI'!$B$5</f>
        <v>3900</v>
      </c>
      <c r="F12" s="52">
        <f t="shared" si="1"/>
        <v>0</v>
      </c>
    </row>
    <row r="13" spans="1:6">
      <c r="A13" s="48" t="inlineStr">
        <is>
          <t>ÇAĞRI ÇİDEM</t>
        </is>
      </c>
      <c r="B13" s="49">
        <v>3.0</v>
      </c>
      <c r="C13" s="49">
        <v>0.0</v>
      </c>
      <c r="D13" s="50">
        <f t="shared" si="0"/>
        <v>0</v>
      </c>
      <c r="E13" s="51">
        <f>B13*'GİDER AYARLARI'!$B$5</f>
        <v>0</v>
      </c>
      <c r="F13" s="52">
        <f t="shared" si="1"/>
        <v>0</v>
      </c>
    </row>
    <row r="14" spans="1:6">
      <c r="A14" s="48"/>
      <c r="B14" s="58"/>
      <c r="C14" s="58"/>
      <c r="D14" s="50"/>
      <c r="E14" s="51"/>
      <c r="F14" s="52"/>
    </row>
    <row r="15" spans="1:6">
      <c r="A15" s="59" t="s">
        <v>104</v>
      </c>
      <c r="B15" s="60">
        <f>SUM(B4:B13)</f>
        <v>6</v>
      </c>
      <c r="C15" s="60">
        <f>SUM(C4:C13)</f>
        <v>0</v>
      </c>
      <c r="D15" s="61">
        <f>IFERROR(C15/B15,0)</f>
        <v>0</v>
      </c>
      <c r="E15" s="62">
        <f>SUM(E4:E13)</f>
        <v>23400</v>
      </c>
      <c r="F15" s="63">
        <f>IFERROR(E15/C15,0)</f>
        <v>0</v>
      </c>
    </row>
    <row r="18" spans="1:6">
      <c r="A18" s="102" t="s">
        <v>105</v>
      </c>
      <c r="B18" s="102"/>
      <c r="C18" s="102"/>
      <c r="D18" s="102"/>
      <c r="E18" s="102"/>
      <c r="F18" s="102"/>
    </row>
    <row r="20" spans="1:6" ht="27.6">
      <c r="A20" s="64" t="s">
        <v>106</v>
      </c>
      <c r="B20" s="65" t="s">
        <v>107</v>
      </c>
      <c r="C20" s="65" t="s">
        <v>108</v>
      </c>
      <c r="D20" s="66" t="s">
        <v>109</v>
      </c>
    </row>
    <row r="21" spans="1:6">
      <c r="A21" s="67">
        <f>B15</f>
        <v>6</v>
      </c>
      <c r="B21" s="68">
        <f>C15</f>
        <v>0</v>
      </c>
      <c r="C21" s="69">
        <f>D15</f>
        <v>0</v>
      </c>
      <c r="D21" s="70">
        <f>E15</f>
        <v>23400</v>
      </c>
    </row>
  </sheetData>
  <mergeCells count="2">
    <mergeCell ref="A1:F1"/>
    <mergeCell ref="A18:F18"/>
  </mergeCells>
  <conditionalFormatting sqref="D4:D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F10" sqref="F10"/>
    </sheetView>
  </sheetViews>
  <sheetFormatPr defaultRowHeight="13.8"/>
  <cols>
    <col min="1" max="1" width="25" customWidth="1"/>
    <col min="2" max="14" width="15" customWidth="1"/>
    <col min="15" max="17" width="16" customWidth="1"/>
  </cols>
  <sheetData>
    <row r="1" spans="1:17" ht="17.850000000000001" customHeight="1">
      <c r="A1" s="103" t="s">
        <v>110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3" spans="1:17" ht="27.6">
      <c r="A3" s="6" t="s">
        <v>89</v>
      </c>
      <c r="B3" s="6" t="s">
        <v>111</v>
      </c>
      <c r="C3" s="6" t="s">
        <v>112</v>
      </c>
      <c r="D3" s="6" t="s">
        <v>57</v>
      </c>
      <c r="E3" s="6" t="s">
        <v>113</v>
      </c>
      <c r="F3" s="6" t="s">
        <v>65</v>
      </c>
      <c r="G3" s="6" t="s">
        <v>114</v>
      </c>
      <c r="H3" s="6" t="s">
        <v>58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37" t="s">
        <v>121</v>
      </c>
      <c r="P3" s="37" t="s">
        <v>122</v>
      </c>
      <c r="Q3" s="37" t="s">
        <v>123</v>
      </c>
    </row>
    <row r="4" spans="1:17">
      <c r="A4" t="s">
        <v>71</v>
      </c>
      <c r="B4">
        <f>COUNTIFS('ARAÇ VERİ GİRİŞİ'!$Y$4:$Y$303,$A4,'ARAÇ VERİ GİRİŞİ'!$X$4:$X$303,"SATILDI")</f>
        <v>9</v>
      </c>
      <c r="C4" s="22">
        <f>SUMIFS('ARAÇ VERİ GİRİŞİ'!$T$4:$T$303,'ARAÇ VERİ GİRİŞİ'!$Y$4:$Y$303,$A4)</f>
        <v>12675000</v>
      </c>
      <c r="D4" s="22">
        <f ca="1">SUMIFS('ARAÇ VERİ GİRİŞİ'!$V$4:$V$303,'ARAÇ VERİ GİRİŞİ'!$Y$4:$Y$303,$A4)</f>
        <v>471590</v>
      </c>
      <c r="E4" s="22">
        <f>SUMIFS('ARAÇ VERİ GİRİŞİ'!$AC$4:$AC$303,'ARAÇ VERİ GİRİŞİ'!$Y$4:$Y$303,$A4)</f>
        <v>0</v>
      </c>
      <c r="F4" s="22">
        <f ca="1">SUMIFS('ARAÇ VERİ GİRİŞİ'!$AD$4:$AD$303,'ARAÇ VERİ GİRİŞİ'!$Y$4:$Y$303,$A4)</f>
        <v>471590</v>
      </c>
      <c r="G4" s="22">
        <f ca="1">IFERROR(F4/B4,0)</f>
        <v>52398.888888888891</v>
      </c>
      <c r="H4" s="20">
        <f ca="1">IFERROR(F4/C4,0)</f>
        <v>3.7206311637080866E-2</v>
      </c>
      <c r="I4" s="24">
        <f ca="1">IFERROR(SUMIFS('ARAÇ VERİ GİRİŞİ'!$I$4:$I$303,'ARAÇ VERİ GİRİŞİ'!$Y$4:$Y$303,$A4,'ARAÇ VERİ GİRİŞİ'!$X$4:$X$303,"SATILDI")/B4,0)</f>
        <v>13.222222222222221</v>
      </c>
      <c r="J4">
        <f>COUNTIFS('ARAÇ VERİ GİRİŞİ'!$Y$4:$Y$303,$A4,'ARAÇ VERİ GİRİŞİ'!$Z$4:$Z$303,"&gt;0")</f>
        <v>0</v>
      </c>
      <c r="K4" s="20">
        <f>IFERROR(J4/B4,0)</f>
        <v>0</v>
      </c>
      <c r="L4">
        <f>COUNTIFS('ARAÇ VERİ GİRİŞİ'!$Y$4:$Y$303,$A4,'ARAÇ VERİ GİRİŞİ'!$AA$4:$AA$303,"&gt;0")</f>
        <v>0</v>
      </c>
      <c r="M4" s="20">
        <f>IFERROR(L4/B4,0)</f>
        <v>0</v>
      </c>
      <c r="N4" s="20">
        <f>IFERROR(COUNTIFS('ARAÇ VERİ GİRİŞİ'!$Y$4:$Y$303,$A4,'ARAÇ VERİ GİRİŞİ'!$AB$4:$AB$303,"&gt;0")/B4,0)</f>
        <v>0</v>
      </c>
      <c r="O4">
        <f>'DANIŞMAN AYARLARI'!C4</f>
        <v>0</v>
      </c>
      <c r="P4" s="22">
        <f>'DANIŞMAN AYARLARI'!D4</f>
        <v>0</v>
      </c>
      <c r="Q4" s="20">
        <f ca="1">IFERROR(F4/P4,0)</f>
        <v>0</v>
      </c>
    </row>
    <row r="5" spans="1:17">
      <c r="A5" t="s">
        <v>77</v>
      </c>
      <c r="B5">
        <f>COUNTIFS('ARAÇ VERİ GİRİŞİ'!$Y$4:$Y$303,$A5,'ARAÇ VERİ GİRİŞİ'!$X$4:$X$303,"SATILDI")</f>
        <v>2</v>
      </c>
      <c r="C5" s="22">
        <f>SUMIFS('ARAÇ VERİ GİRİŞİ'!$T$4:$T$303,'ARAÇ VERİ GİRİŞİ'!$Y$4:$Y$303,$A5)</f>
        <v>2640000</v>
      </c>
      <c r="D5" s="22">
        <f ca="1">SUMIFS('ARAÇ VERİ GİRİŞİ'!$V$4:$V$303,'ARAÇ VERİ GİRİŞİ'!$Y$4:$Y$303,$A5)</f>
        <v>188196</v>
      </c>
      <c r="E5" s="22">
        <f>SUMIFS('ARAÇ VERİ GİRİŞİ'!$AC$4:$AC$303,'ARAÇ VERİ GİRİŞİ'!$Y$4:$Y$303,$A5)</f>
        <v>0</v>
      </c>
      <c r="F5" s="22">
        <f ca="1">SUMIFS('ARAÇ VERİ GİRİŞİ'!$AD$4:$AD$303,'ARAÇ VERİ GİRİŞİ'!$Y$4:$Y$303,$A5)</f>
        <v>188196</v>
      </c>
      <c r="G5" s="22">
        <f ca="1">IFERROR(F5/B5,0)</f>
        <v>94098</v>
      </c>
      <c r="H5" s="20">
        <f ca="1">IFERROR(F5/C5,0)</f>
        <v>7.1286363636363634E-2</v>
      </c>
      <c r="I5" s="24">
        <f ca="1">IFERROR(SUMIFS('ARAÇ VERİ GİRİŞİ'!$I$4:$I$303,'ARAÇ VERİ GİRİŞİ'!$Y$4:$Y$303,$A5,'ARAÇ VERİ GİRİŞİ'!$X$4:$X$303,"SATILDI")/B5,0)</f>
        <v>32.5</v>
      </c>
      <c r="J5">
        <f>COUNTIFS('ARAÇ VERİ GİRİŞİ'!$Y$4:$Y$303,$A5,'ARAÇ VERİ GİRİŞİ'!$Z$4:$Z$303,"&gt;0")</f>
        <v>0</v>
      </c>
      <c r="K5" s="20">
        <f>IFERROR(J5/B5,0)</f>
        <v>0</v>
      </c>
      <c r="L5">
        <f>COUNTIFS('ARAÇ VERİ GİRİŞİ'!$Y$4:$Y$303,$A5,'ARAÇ VERİ GİRİŞİ'!$AA$4:$AA$303,"&gt;0")</f>
        <v>0</v>
      </c>
      <c r="M5" s="20">
        <f>IFERROR(L5/B5,0)</f>
        <v>0</v>
      </c>
      <c r="N5" s="20">
        <f>IFERROR(COUNTIFS('ARAÇ VERİ GİRİŞİ'!$Y$4:$Y$303,$A5,'ARAÇ VERİ GİRİŞİ'!$AB$4:$AB$303,"&gt;0")/B5,0)</f>
        <v>0</v>
      </c>
      <c r="O5">
        <f>'DANIŞMAN AYARLARI'!C5</f>
        <v>0</v>
      </c>
      <c r="P5" s="22">
        <f>'DANIŞMAN AYARLARI'!D5</f>
        <v>0</v>
      </c>
      <c r="Q5" s="20">
        <f ca="1">IFERROR(F5/P5,0)</f>
        <v>0</v>
      </c>
    </row>
    <row r="6" spans="1:17">
      <c r="C6" s="22"/>
      <c r="D6" s="22"/>
      <c r="E6" s="22"/>
      <c r="F6" s="22"/>
      <c r="G6" s="22"/>
      <c r="H6" s="20"/>
      <c r="I6" s="24"/>
      <c r="K6" s="20"/>
      <c r="M6" s="20"/>
      <c r="N6" s="20"/>
      <c r="P6" s="22"/>
      <c r="Q6" s="20"/>
    </row>
    <row r="7" spans="1:17">
      <c r="A7" s="19" t="s">
        <v>124</v>
      </c>
      <c r="B7" s="19">
        <f>SUM(B4:B5)</f>
        <v>11</v>
      </c>
      <c r="C7" s="23">
        <f>SUM(C4:C5)</f>
        <v>15315000</v>
      </c>
      <c r="D7" s="23">
        <f ca="1">SUM(D4:D5)</f>
        <v>659786</v>
      </c>
      <c r="E7" s="23">
        <f>SUM(E4:E5)</f>
        <v>0</v>
      </c>
      <c r="F7" s="23">
        <f ca="1">SUM(F4:F5)</f>
        <v>659786</v>
      </c>
      <c r="G7" s="23">
        <f ca="1">IFERROR(F7/B7,0)</f>
        <v>59980.545454545456</v>
      </c>
      <c r="H7" s="21">
        <f ca="1">IFERROR(F7/C7,0)</f>
        <v>4.3081031668299054E-2</v>
      </c>
      <c r="I7" s="25">
        <f ca="1">IFERROR(SUMPRODUCT(B4:B5,I4:I5)/B7,0)</f>
        <v>16.727272727272727</v>
      </c>
      <c r="J7" s="19">
        <f>SUM(J4:J5)</f>
        <v>0</v>
      </c>
      <c r="K7" s="21">
        <f>IFERROR(J7/B7,0)</f>
        <v>0</v>
      </c>
      <c r="L7" s="19">
        <f>SUM(L4:L5)</f>
        <v>0</v>
      </c>
      <c r="M7" s="21">
        <f>IFERROR(L7/B7,0)</f>
        <v>0</v>
      </c>
      <c r="N7" s="21">
        <f>IFERROR(SUMPRODUCT(B4:B5,N4:N5)/B7,0)</f>
        <v>0</v>
      </c>
      <c r="O7">
        <f>SUM(O4:O5)</f>
        <v>0</v>
      </c>
      <c r="P7" s="22">
        <f>SUM(P4:P5)</f>
        <v>0</v>
      </c>
      <c r="Q7" s="20">
        <f ca="1">IFERROR(F7/P7,0)</f>
        <v>0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5" sqref="E5"/>
    </sheetView>
  </sheetViews>
  <sheetFormatPr defaultRowHeight="13.8"/>
  <cols>
    <col min="1" max="1" width="26" customWidth="1"/>
    <col min="2" max="2" width="18" customWidth="1"/>
    <col min="3" max="3" width="3" customWidth="1"/>
    <col min="4" max="4" width="22" customWidth="1"/>
    <col min="5" max="5" width="12" customWidth="1"/>
    <col min="6" max="6" width="16" customWidth="1"/>
    <col min="7" max="7" width="22" customWidth="1"/>
    <col min="8" max="8" width="15" customWidth="1"/>
    <col min="9" max="9" width="3" customWidth="1"/>
    <col min="10" max="10" width="22" customWidth="1"/>
    <col min="11" max="11" width="16" customWidth="1"/>
    <col min="12" max="12" width="3" customWidth="1"/>
  </cols>
  <sheetData>
    <row r="1" spans="1:12" ht="17.850000000000001" customHeight="1">
      <c r="A1" s="104" t="s">
        <v>125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3" spans="1:12">
      <c r="A3" s="1" t="s">
        <v>126</v>
      </c>
      <c r="B3" s="1" t="s">
        <v>2</v>
      </c>
      <c r="D3" s="1" t="s">
        <v>127</v>
      </c>
      <c r="E3" s="1" t="s">
        <v>128</v>
      </c>
      <c r="G3" s="1" t="s">
        <v>129</v>
      </c>
      <c r="H3" s="1" t="s">
        <v>128</v>
      </c>
      <c r="J3" s="1" t="s">
        <v>130</v>
      </c>
      <c r="K3" s="1" t="s">
        <v>2</v>
      </c>
    </row>
    <row r="4" spans="1:12">
      <c r="A4" s="26" t="s">
        <v>131</v>
      </c>
      <c r="B4" s="27">
        <f>COUNTIF('ARAÇ VERİ GİRİŞİ'!$F$4:$F$303,"&gt;0")</f>
        <v>11</v>
      </c>
      <c r="D4" t="s">
        <v>76</v>
      </c>
      <c r="E4">
        <f>COUNTIF('ARAÇ VERİ GİRİŞİ'!$E$4:$E$303,D4)</f>
        <v>0</v>
      </c>
      <c r="G4" t="s">
        <v>76</v>
      </c>
      <c r="H4">
        <f>COUNTIF('ARAÇ VERİ GİRİŞİ'!$S$4:$S$303,G4)</f>
        <v>8</v>
      </c>
      <c r="J4" t="s">
        <v>132</v>
      </c>
      <c r="K4">
        <f>'EXPERTİZ TAKİP'!B15</f>
        <v>6</v>
      </c>
    </row>
    <row r="5" spans="1:12">
      <c r="A5" s="28" t="s">
        <v>133</v>
      </c>
      <c r="B5" s="29">
        <f>COUNTIF('ARAÇ VERİ GİRİŞİ'!$X$4:$X$303,"STOKTA")</f>
        <v>0</v>
      </c>
      <c r="D5" t="s">
        <v>74</v>
      </c>
      <c r="E5">
        <f>COUNTIF('ARAÇ VERİ GİRİŞİ'!$E$4:$E$303,D5)</f>
        <v>5</v>
      </c>
      <c r="G5" t="s">
        <v>74</v>
      </c>
      <c r="H5">
        <f>COUNTIF('ARAÇ VERİ GİRİŞİ'!$S$4:$S$303,G5)</f>
        <v>0</v>
      </c>
      <c r="J5" t="s">
        <v>134</v>
      </c>
      <c r="K5">
        <f>'EXPERTİZ TAKİP'!C15</f>
        <v>0</v>
      </c>
    </row>
    <row r="6" spans="1:12">
      <c r="A6" s="28" t="s">
        <v>135</v>
      </c>
      <c r="B6" s="29">
        <f>COUNTIF('ARAÇ VERİ GİRİŞİ'!$X$4:$X$303,"SATILDI")</f>
        <v>11</v>
      </c>
      <c r="D6" t="s">
        <v>80</v>
      </c>
      <c r="E6">
        <f>COUNTIF('ARAÇ VERİ GİRİŞİ'!$E$4:$E$303,D6)</f>
        <v>2</v>
      </c>
      <c r="G6" t="s">
        <v>136</v>
      </c>
      <c r="H6">
        <f>COUNTIF('ARAÇ VERİ GİRİŞİ'!$S$4:$S$303,G6)</f>
        <v>0</v>
      </c>
      <c r="J6" t="s">
        <v>137</v>
      </c>
      <c r="K6" s="20">
        <f>'EXPERTİZ TAKİP'!D15</f>
        <v>0</v>
      </c>
    </row>
    <row r="7" spans="1:12">
      <c r="A7" s="28" t="s">
        <v>138</v>
      </c>
      <c r="B7" s="31">
        <f>SUM('ARAÇ VERİ GİRİŞİ'!$T$4:$T$303)</f>
        <v>15315000</v>
      </c>
      <c r="D7" t="s">
        <v>68</v>
      </c>
      <c r="E7">
        <f>COUNTIF('ARAÇ VERİ GİRİŞİ'!$E$4:$E$303,D7)</f>
        <v>4</v>
      </c>
      <c r="G7" t="s">
        <v>139</v>
      </c>
      <c r="H7">
        <f>COUNTIF('ARAÇ VERİ GİRİŞİ'!$S$4:$S$303,G7)</f>
        <v>0</v>
      </c>
      <c r="J7" t="s">
        <v>140</v>
      </c>
      <c r="K7" s="22">
        <f>'EXPERTİZ TAKİP'!E15</f>
        <v>23400</v>
      </c>
    </row>
    <row r="8" spans="1:12">
      <c r="A8" s="28" t="s">
        <v>141</v>
      </c>
      <c r="B8" s="31">
        <f ca="1">SUM('ARAÇ VERİ GİRİŞİ'!$V$4:$V$303)</f>
        <v>659786</v>
      </c>
    </row>
    <row r="9" spans="1:12">
      <c r="A9" s="28" t="s">
        <v>142</v>
      </c>
      <c r="B9" s="31">
        <f>SUM('ARAÇ VERİ GİRİŞİ'!$AC$4:$AC$303)</f>
        <v>0</v>
      </c>
    </row>
    <row r="10" spans="1:12">
      <c r="A10" s="28" t="s">
        <v>143</v>
      </c>
      <c r="B10" s="31">
        <f ca="1">SUM('ARAÇ VERİ GİRİŞİ'!$AD$4:$AD$303)</f>
        <v>659786</v>
      </c>
      <c r="D10" s="4" t="s">
        <v>89</v>
      </c>
      <c r="E10" s="4" t="s">
        <v>144</v>
      </c>
      <c r="F10" s="4" t="s">
        <v>145</v>
      </c>
      <c r="G10" s="4" t="s">
        <v>57</v>
      </c>
      <c r="H10" s="4" t="s">
        <v>146</v>
      </c>
    </row>
    <row r="11" spans="1:12">
      <c r="A11" s="28" t="s">
        <v>147</v>
      </c>
      <c r="B11" s="33">
        <f ca="1">IFERROR(B10/B7,0)</f>
        <v>4.3081031668299054E-2</v>
      </c>
      <c r="D11" t="s">
        <v>71</v>
      </c>
      <c r="E11">
        <f>'DANIŞMAN PERFORMANS'!B4</f>
        <v>9</v>
      </c>
      <c r="F11" s="22">
        <f>'DANIŞMAN PERFORMANS'!C4</f>
        <v>12675000</v>
      </c>
      <c r="G11" s="22">
        <f ca="1">'DANIŞMAN PERFORMANS'!F4</f>
        <v>471590</v>
      </c>
      <c r="H11" s="20">
        <f ca="1">'DANIŞMAN PERFORMANS'!H4</f>
        <v>3.7206311637080866E-2</v>
      </c>
    </row>
    <row r="12" spans="1:12">
      <c r="A12" s="28" t="s">
        <v>148</v>
      </c>
      <c r="B12" s="34">
        <f ca="1">IFERROR(AVERAGEIF('ARAÇ VERİ GİRİŞİ'!$I$4:$I$303,"&gt;0"),0)</f>
        <v>36.799999999999997</v>
      </c>
      <c r="D12" t="s">
        <v>77</v>
      </c>
      <c r="E12">
        <f>'DANIŞMAN PERFORMANS'!B5</f>
        <v>2</v>
      </c>
      <c r="F12" s="22">
        <f>'DANIŞMAN PERFORMANS'!C5</f>
        <v>2640000</v>
      </c>
      <c r="G12" s="22">
        <f ca="1">'DANIŞMAN PERFORMANS'!F5</f>
        <v>188196</v>
      </c>
      <c r="H12" s="20">
        <f ca="1">'DANIŞMAN PERFORMANS'!H5</f>
        <v>7.1286363636363634E-2</v>
      </c>
    </row>
    <row r="13" spans="1:12">
      <c r="A13" s="30" t="s">
        <v>149</v>
      </c>
      <c r="B13" s="32">
        <f ca="1">SUM('ARAÇ VERİ GİRİŞİ'!$O$4:$O$303)</f>
        <v>0</v>
      </c>
    </row>
  </sheetData>
  <mergeCells count="1">
    <mergeCell ref="A1:L1"/>
  </mergeCells>
  <conditionalFormatting sqref="B9:B1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ns1="http://schemas.openxmlformats.org/markup-compatibility/2006" ns1:Ignorable="x14ac">
  <dimension ref="A1:D11"/>
  <sheetViews>
    <sheetView workbookViewId="0">
      <selection activeCell="B14" sqref="B14"/>
    </sheetView>
  </sheetViews>
  <sheetFormatPr defaultRowHeight="13.8"/>
  <cols>
    <col min="1" max="1" width="28" customWidth="1"/>
    <col min="2" max="2" width="18" customWidth="1"/>
    <col min="3" max="3" width="24" customWidth="1"/>
    <col min="4" max="4" width="40" customWidth="1"/>
  </cols>
  <sheetData>
    <row r="1" spans="1:4" ht="17.399999999999999">
      <c r="A1" s="105" t="s">
        <v>150</v>
      </c>
      <c r="B1" s="105"/>
      <c r="C1" s="105"/>
      <c r="D1" s="105"/>
    </row>
    <row r="3" spans="1:4">
      <c r="A3" s="37" t="s">
        <v>151</v>
      </c>
      <c r="B3" s="37" t="s">
        <v>152</v>
      </c>
      <c r="C3" s="37" t="s">
        <v>153</v>
      </c>
      <c r="D3" s="37" t="s">
        <v>154</v>
      </c>
    </row>
    <row r="4" spans="1:4">
      <c r="A4" t="s">
        <v>7</v>
      </c>
      <c r="B4" s="40">
        <v>2602.0</v>
      </c>
      <c r="C4" t="s">
        <v>155</v>
      </c>
      <c r="D4" t="s">
        <v>156</v>
      </c>
    </row>
    <row r="5" spans="1:4">
      <c r="A5" t="s">
        <v>12</v>
      </c>
      <c r="B5" s="40">
        <v>3900.0</v>
      </c>
      <c r="C5" t="s">
        <v>155</v>
      </c>
      <c r="D5" t="s">
        <v>156</v>
      </c>
    </row>
    <row r="6" spans="1:4">
      <c r="A6" t="s">
        <v>16</v>
      </c>
      <c r="B6" s="40">
        <v>1900.0</v>
      </c>
      <c r="C6" t="s">
        <v>155</v>
      </c>
      <c r="D6" t="s">
        <v>156</v>
      </c>
    </row>
    <row r="7" spans="1:4">
      <c r="A7" t="s">
        <v>20</v>
      </c>
      <c r="B7" s="40">
        <v>2500.0</v>
      </c>
      <c r="C7" t="s">
        <v>155</v>
      </c>
      <c r="D7" t="s">
        <v>156</v>
      </c>
    </row>
    <row r="8" spans="1:4">
      <c r="A8" t="s">
        <v>24</v>
      </c>
      <c r="B8" s="41">
        <v>0.0</v>
      </c>
      <c r="C8" t="s">
        <v>157</v>
      </c>
      <c r="D8" t="s">
        <v>158</v>
      </c>
    </row>
    <row r="10" spans="1:4">
      <c r="A10" s="38" t="s">
        <v>159</v>
      </c>
      <c r="B10" s="42">
        <f>SUM(B4:B7)</f>
        <v>10902</v>
      </c>
    </row>
    <row r="11" spans="1:4">
      <c r="A11" t="s">
        <v>160</v>
      </c>
      <c r="B11" t="s">
        <v>161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ns1:Ignorable="x14ac">
  <dimension ref="A1:D20"/>
  <sheetViews>
    <sheetView workbookViewId="0">
      <selection activeCell="C24" sqref="C24"/>
    </sheetView>
  </sheetViews>
  <sheetFormatPr defaultRowHeight="13.8"/>
  <cols>
    <col min="1" max="1" width="24" customWidth="1"/>
    <col min="2" max="4" width="18" customWidth="1"/>
  </cols>
  <sheetData>
    <row r="1" spans="1:4" ht="17.399999999999999">
      <c r="A1" s="105" t="s">
        <v>162</v>
      </c>
      <c r="B1" s="105"/>
      <c r="C1" s="105"/>
      <c r="D1" s="105"/>
    </row>
    <row r="3" spans="1:4">
      <c r="A3" s="43" t="s">
        <v>40</v>
      </c>
      <c r="B3" s="43" t="s">
        <v>163</v>
      </c>
      <c r="C3" s="43" t="s">
        <v>164</v>
      </c>
      <c r="D3" s="43" t="s">
        <v>11</v>
      </c>
    </row>
    <row r="4" spans="1:4">
      <c r="A4" s="39" t="inlineStr">
        <is>
          <t>NAKİT</t>
        </is>
      </c>
      <c r="B4" s="39" t="inlineStr">
        <is>
          <t>EVET</t>
        </is>
      </c>
      <c r="C4" s="39" t="inlineStr">
        <is>
          <t>EVET</t>
        </is>
      </c>
      <c r="D4" s="39" t="inlineStr">
        <is>
          <t>EVET</t>
        </is>
      </c>
    </row>
    <row r="5" spans="1:4">
      <c r="A5" s="39" t="inlineStr">
        <is>
          <t>TAKAS</t>
        </is>
      </c>
      <c r="B5" s="39" t="inlineStr">
        <is>
          <t>EVET</t>
        </is>
      </c>
      <c r="C5" s="39" t="inlineStr">
        <is>
          <t>EVET</t>
        </is>
      </c>
      <c r="D5" s="39" t="inlineStr">
        <is>
          <t>EVET</t>
        </is>
      </c>
    </row>
    <row r="6" spans="1:4">
      <c r="A6" s="39" t="inlineStr">
        <is>
          <t>İHALE</t>
        </is>
      </c>
      <c r="B6" s="39" t="inlineStr">
        <is>
          <t>EVET</t>
        </is>
      </c>
      <c r="C6" s="39" t="inlineStr">
        <is>
          <t>EVET</t>
        </is>
      </c>
      <c r="D6" s="39" t="inlineStr">
        <is>
          <t>EVET</t>
        </is>
      </c>
    </row>
    <row r="7" spans="1:4">
      <c r="A7" s="39" t="inlineStr">
        <is>
          <t>ŞİRKET ARACI</t>
        </is>
      </c>
      <c r="B7" s="39" t="inlineStr">
        <is>
          <t>HAYIR</t>
        </is>
      </c>
      <c r="C7" s="39" t="inlineStr">
        <is>
          <t>HAYIR</t>
        </is>
      </c>
      <c r="D7" s="39" t="inlineStr">
        <is>
          <t>EVET</t>
        </is>
      </c>
    </row>
    <row r="8" spans="1:4">
      <c r="A8" s="39"/>
      <c r="B8" s="39"/>
      <c r="C8" s="39"/>
      <c r="D8" s="39"/>
    </row>
    <row r="9" spans="1:4">
      <c r="A9" s="39"/>
      <c r="B9" s="39"/>
      <c r="C9" s="39"/>
      <c r="D9" s="39"/>
    </row>
    <row r="10" spans="1:4">
      <c r="A10" s="39"/>
      <c r="B10" s="39"/>
      <c r="C10" s="39"/>
      <c r="D10" s="39"/>
    </row>
    <row r="11" spans="1:4">
      <c r="A11" s="39"/>
      <c r="B11" s="39"/>
      <c r="C11" s="39"/>
      <c r="D11" s="39"/>
    </row>
    <row r="12" spans="1:4">
      <c r="A12" s="39"/>
      <c r="B12" s="39"/>
      <c r="C12" s="39"/>
      <c r="D12" s="39"/>
    </row>
    <row r="13" spans="1:4">
      <c r="A13" s="39"/>
      <c r="B13" s="39"/>
      <c r="C13" s="39"/>
      <c r="D13" s="39"/>
    </row>
    <row r="14" spans="1:4">
      <c r="A14" s="39"/>
      <c r="B14" s="39"/>
      <c r="C14" s="39"/>
      <c r="D14" s="39"/>
    </row>
    <row r="15" spans="1:4">
      <c r="A15" s="39"/>
      <c r="B15" s="39"/>
      <c r="C15" s="39"/>
      <c r="D15" s="39"/>
    </row>
    <row r="16" spans="1:4">
      <c r="A16" s="39"/>
      <c r="B16" s="39"/>
      <c r="C16" s="39"/>
      <c r="D16" s="39"/>
    </row>
    <row r="17" spans="1:4">
      <c r="A17" s="39"/>
      <c r="B17" s="39"/>
      <c r="C17" s="39"/>
      <c r="D17" s="39"/>
    </row>
    <row r="18" spans="1:4">
      <c r="A18" s="39"/>
      <c r="B18" s="39"/>
      <c r="C18" s="39"/>
      <c r="D18" s="39"/>
    </row>
    <row r="19" spans="1:4">
      <c r="A19" s="39"/>
      <c r="B19" s="39"/>
      <c r="C19" s="39"/>
      <c r="D19" s="39"/>
    </row>
    <row r="20" spans="1:4">
      <c r="A20" s="39"/>
      <c r="B20" s="39"/>
      <c r="C20" s="39"/>
      <c r="D20" s="39"/>
    </row>
  </sheetData>
  <mergeCells count="1">
    <mergeCell ref="A1:D1"/>
  </mergeCells>
  <dataValidations count="3">
    <dataValidation type="list" sqref="B4:B20">
      <formula1>"EVET,HAYIR"</formula1>
    </dataValidation>
    <dataValidation type="list" sqref="C4:C20">
      <formula1>"EVET,HAYIR"</formula1>
    </dataValidation>
    <dataValidation type="list" sqref="D4:D20">
      <formula1>"EVET,HAYIR"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ns1="http://schemas.openxmlformats.org/markup-compatibility/2006" ns1:Ignorable="x14ac">
  <dimension ref="A1:F20"/>
  <sheetViews>
    <sheetView workbookViewId="0">
      <selection activeCell="E4" sqref="E4"/>
    </sheetView>
  </sheetViews>
  <sheetFormatPr defaultRowHeight="13.8"/>
  <cols>
    <col min="1" max="1" width="26" customWidth="1"/>
    <col min="2" max="2" width="14" customWidth="1"/>
    <col min="4" max="4" width="26" customWidth="1"/>
    <col min="5" max="5" width="14" customWidth="1"/>
    <col min="6" max="6" width="34" customWidth="1"/>
  </cols>
  <sheetData>
    <row r="1" spans="1:6" ht="17.399999999999999">
      <c r="A1" s="105" t="s">
        <v>167</v>
      </c>
      <c r="B1" s="105"/>
      <c r="C1" s="105"/>
      <c r="D1" s="105"/>
      <c r="E1" s="105"/>
      <c r="F1" s="105"/>
    </row>
    <row r="3" spans="1:6">
      <c r="A3" s="35" t="s">
        <v>54</v>
      </c>
      <c r="B3" s="35" t="s">
        <v>11</v>
      </c>
      <c r="D3" s="35" t="s">
        <v>168</v>
      </c>
      <c r="E3" s="35" t="s">
        <v>11</v>
      </c>
      <c r="F3" s="35" t="s">
        <v>154</v>
      </c>
    </row>
    <row r="4" spans="1:6">
      <c r="A4" s="39" t="inlineStr">
        <is>
          <t>NAKİT</t>
        </is>
      </c>
      <c r="B4" s="39" t="inlineStr">
        <is>
          <t>EVET</t>
        </is>
      </c>
      <c r="D4" s="39" t="inlineStr">
        <is>
          <t>SİGORTA-KASKO</t>
        </is>
      </c>
      <c r="E4" s="39" t="inlineStr">
        <is>
          <t>EVET</t>
        </is>
      </c>
      <c r="F4" s="39" t="inlineStr">
        <is>
          <t>Satıştan oluşan ek gelir</t>
        </is>
      </c>
    </row>
    <row r="5" spans="1:6">
      <c r="A5" s="39" t="inlineStr">
        <is>
          <t>TAKAS</t>
        </is>
      </c>
      <c r="B5" s="39" t="inlineStr">
        <is>
          <t>EVET</t>
        </is>
      </c>
      <c r="D5" s="39" t="inlineStr">
        <is>
          <t>KREDİ</t>
        </is>
      </c>
      <c r="E5" s="39" t="inlineStr">
        <is>
          <t>EVET</t>
        </is>
      </c>
      <c r="F5" s="39" t="inlineStr">
        <is>
          <t>Kredi / finansman ek geliri</t>
        </is>
      </c>
    </row>
    <row r="6" spans="1:6">
      <c r="A6" s="39" t="inlineStr">
        <is>
          <t>KREDİ KARTI</t>
        </is>
      </c>
      <c r="B6" s="39" t="inlineStr">
        <is>
          <t>EVET</t>
        </is>
      </c>
      <c r="D6" s="39" t="inlineStr">
        <is>
          <t>UZATILMIŞ GARANTİ</t>
        </is>
      </c>
      <c r="E6" s="39" t="inlineStr">
        <is>
          <t>EVET</t>
        </is>
      </c>
      <c r="F6" s="39" t="inlineStr">
        <is>
          <t>Garanti satışından oluşan ek gelir</t>
        </is>
      </c>
    </row>
    <row r="7" spans="1:6">
      <c r="A7" s="39" t="inlineStr">
        <is>
          <t>KREDİ</t>
        </is>
      </c>
      <c r="B7" s="39" t="inlineStr">
        <is>
          <t>EVET</t>
        </is>
      </c>
      <c r="D7" s="39"/>
      <c r="E7" s="39"/>
      <c r="F7" s="39"/>
    </row>
    <row r="8" spans="1:6">
      <c r="A8" s="39" t="inlineStr">
        <is>
          <t>FİNASMAN KURULUŞU</t>
        </is>
      </c>
      <c r="B8" s="39" t="inlineStr">
        <is>
          <t>EVET</t>
        </is>
      </c>
      <c r="D8" s="39"/>
      <c r="E8" s="39"/>
      <c r="F8" s="39"/>
    </row>
    <row r="9" spans="1:6">
      <c r="A9" s="39"/>
      <c r="B9" s="39"/>
      <c r="D9" s="39"/>
      <c r="E9" s="39"/>
      <c r="F9" s="39"/>
    </row>
    <row r="10" spans="1:6">
      <c r="A10" s="39"/>
      <c r="B10" s="39"/>
      <c r="D10" s="39"/>
      <c r="E10" s="39"/>
      <c r="F10" s="39"/>
    </row>
    <row r="11" spans="1:6">
      <c r="A11" s="39"/>
      <c r="B11" s="39"/>
      <c r="D11" s="39"/>
      <c r="E11" s="39"/>
      <c r="F11" s="39"/>
    </row>
    <row r="12" spans="1:6">
      <c r="A12" s="39"/>
      <c r="B12" s="39"/>
      <c r="D12" s="39"/>
      <c r="E12" s="39"/>
      <c r="F12" s="39"/>
    </row>
    <row r="13" spans="1:6">
      <c r="A13" s="39"/>
      <c r="B13" s="39"/>
      <c r="D13" s="39"/>
      <c r="E13" s="39"/>
      <c r="F13" s="39"/>
    </row>
    <row r="14" spans="1:6">
      <c r="A14" s="39"/>
      <c r="B14" s="39"/>
      <c r="D14" s="39"/>
      <c r="E14" s="39"/>
      <c r="F14" s="39"/>
    </row>
    <row r="15" spans="1:6">
      <c r="A15" s="39"/>
      <c r="B15" s="39"/>
      <c r="D15" s="39"/>
      <c r="E15" s="39"/>
      <c r="F15" s="39"/>
    </row>
    <row r="16" spans="1:6">
      <c r="A16" s="39"/>
      <c r="B16" s="39"/>
      <c r="D16" s="39"/>
      <c r="E16" s="39"/>
      <c r="F16" s="39"/>
    </row>
    <row r="17" spans="1:6">
      <c r="A17" s="39"/>
      <c r="B17" s="39"/>
      <c r="D17" s="39"/>
      <c r="E17" s="39"/>
      <c r="F17" s="39"/>
    </row>
    <row r="18" spans="1:6">
      <c r="A18" s="39"/>
      <c r="B18" s="39"/>
      <c r="D18" s="39"/>
      <c r="E18" s="39"/>
      <c r="F18" s="39"/>
    </row>
    <row r="19" spans="1:6">
      <c r="A19" s="39"/>
      <c r="B19" s="39"/>
      <c r="D19" s="39"/>
      <c r="E19" s="39"/>
      <c r="F19" s="39"/>
    </row>
    <row r="20" spans="1:6">
      <c r="A20" s="39"/>
      <c r="B20" s="39"/>
      <c r="D20" s="39"/>
      <c r="E20" s="39"/>
      <c r="F20" s="39"/>
    </row>
  </sheetData>
  <mergeCells count="1">
    <mergeCell ref="A1:F1"/>
  </mergeCells>
  <dataValidations count="2">
    <dataValidation type="list" sqref="B4:B20">
      <formula1>"EVET,HAYIR"</formula1>
    </dataValidation>
    <dataValidation type="list" sqref="E4:E20">
      <formula1>"EVET,HAYIR"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ns1="http://schemas.openxmlformats.org/markup-compatibility/2006" ns1:Ignorable="x14ac">
  <dimension ref="A1:D20"/>
  <sheetViews>
    <sheetView workbookViewId="0">
      <selection activeCell="A31" sqref="A31"/>
    </sheetView>
  </sheetViews>
  <sheetFormatPr defaultRowHeight="13.8"/>
  <cols>
    <col min="1" max="1" width="28" customWidth="1"/>
    <col min="2" max="2" width="14" customWidth="1"/>
    <col min="3" max="3" width="18" customWidth="1"/>
    <col min="4" max="4" width="20" customWidth="1"/>
  </cols>
  <sheetData>
    <row r="1" spans="1:4" ht="17.399999999999999">
      <c r="A1" s="105" t="s">
        <v>21</v>
      </c>
      <c r="B1" s="105"/>
      <c r="C1" s="105"/>
      <c r="D1" s="105"/>
    </row>
    <row r="3" spans="1:4">
      <c r="A3" s="43" t="s">
        <v>89</v>
      </c>
      <c r="B3" s="43" t="s">
        <v>11</v>
      </c>
      <c r="C3" s="43" t="s">
        <v>176</v>
      </c>
      <c r="D3" s="43" t="s">
        <v>122</v>
      </c>
    </row>
    <row r="4" spans="1:4">
      <c r="A4" s="39" t="inlineStr">
        <is>
          <t>ONUR İPEK</t>
        </is>
      </c>
      <c r="B4" s="39" t="inlineStr">
        <is>
          <t>EVET</t>
        </is>
      </c>
      <c r="C4" s="39">
        <v>14.0</v>
      </c>
      <c r="D4" s="40">
        <v>0.0</v>
      </c>
    </row>
    <row r="5" spans="1:4">
      <c r="A5" s="39" t="inlineStr">
        <is>
          <t>HASAN HÜSEYİN SÜRMELİ</t>
        </is>
      </c>
      <c r="B5" s="39" t="inlineStr">
        <is>
          <t>EVET</t>
        </is>
      </c>
      <c r="C5" s="39">
        <v>0.0</v>
      </c>
      <c r="D5" s="40">
        <v>0.0</v>
      </c>
    </row>
    <row r="6" spans="1:4">
      <c r="A6" s="39"/>
      <c r="B6" s="39"/>
      <c r="C6" s="39"/>
      <c r="D6" s="40"/>
    </row>
    <row r="7" spans="1:4">
      <c r="A7" s="39"/>
      <c r="B7" s="39"/>
      <c r="C7" s="39"/>
      <c r="D7" s="40"/>
    </row>
    <row r="8" spans="1:4">
      <c r="A8" s="39"/>
      <c r="B8" s="39"/>
      <c r="C8" s="39"/>
      <c r="D8" s="40"/>
    </row>
    <row r="9" spans="1:4">
      <c r="A9" s="39"/>
      <c r="B9" s="39"/>
      <c r="C9" s="39"/>
      <c r="D9" s="40"/>
    </row>
    <row r="10" spans="1:4">
      <c r="A10" s="39"/>
      <c r="B10" s="39"/>
      <c r="C10" s="39"/>
      <c r="D10" s="40"/>
    </row>
    <row r="11" spans="1:4">
      <c r="A11" s="39"/>
      <c r="B11" s="39"/>
      <c r="C11" s="39"/>
      <c r="D11" s="40"/>
    </row>
    <row r="12" spans="1:4">
      <c r="A12" s="39"/>
      <c r="B12" s="39"/>
      <c r="C12" s="39"/>
      <c r="D12" s="40"/>
    </row>
    <row r="13" spans="1:4">
      <c r="A13" s="39"/>
      <c r="B13" s="39"/>
      <c r="C13" s="39"/>
      <c r="D13" s="40"/>
    </row>
    <row r="14" spans="1:4">
      <c r="A14" s="39"/>
      <c r="B14" s="39"/>
      <c r="C14" s="39"/>
      <c r="D14" s="40"/>
    </row>
    <row r="15" spans="1:4">
      <c r="A15" s="39"/>
      <c r="B15" s="39"/>
      <c r="C15" s="39"/>
      <c r="D15" s="40"/>
    </row>
    <row r="16" spans="1:4">
      <c r="A16" s="39"/>
      <c r="B16" s="39"/>
      <c r="C16" s="39"/>
      <c r="D16" s="40"/>
    </row>
    <row r="17" spans="1:4">
      <c r="A17" s="39"/>
      <c r="B17" s="39"/>
      <c r="C17" s="39"/>
      <c r="D17" s="40"/>
    </row>
    <row r="18" spans="1:4">
      <c r="A18" s="39"/>
      <c r="B18" s="39"/>
      <c r="C18" s="39"/>
      <c r="D18" s="40"/>
    </row>
    <row r="19" spans="1:4">
      <c r="A19" s="39"/>
      <c r="B19" s="39"/>
      <c r="C19" s="39"/>
      <c r="D19" s="40"/>
    </row>
    <row r="20" spans="1:4">
      <c r="A20" s="39"/>
      <c r="B20" s="39"/>
      <c r="C20" s="39"/>
      <c r="D20" s="40"/>
    </row>
    <row r="21">
      <c r="A21"/>
      <c r="B21"/>
      <c r="C21"/>
      <c r="D21"/>
    </row>
    <row r="22">
      <c r="A22"/>
      <c r="B22"/>
      <c r="C22"/>
      <c r="D22"/>
    </row>
    <row r="23">
      <c r="A23"/>
      <c r="B23"/>
      <c r="C23"/>
      <c r="D23"/>
    </row>
    <row r="24">
      <c r="A24"/>
      <c r="B24"/>
      <c r="C24"/>
      <c r="D24"/>
    </row>
    <row r="25">
      <c r="A25"/>
      <c r="B25"/>
      <c r="C25"/>
      <c r="D25"/>
    </row>
    <row r="26">
      <c r="A26"/>
      <c r="B26"/>
      <c r="C26"/>
      <c r="D26"/>
    </row>
    <row r="27">
      <c r="A27"/>
      <c r="B27"/>
      <c r="C27"/>
      <c r="D27"/>
    </row>
    <row r="28">
      <c r="A28"/>
      <c r="B28"/>
      <c r="C28"/>
      <c r="D28"/>
    </row>
    <row r="29">
      <c r="A29"/>
      <c r="B29"/>
      <c r="C29"/>
      <c r="D29"/>
    </row>
    <row r="30">
      <c r="A30"/>
      <c r="B30"/>
      <c r="C30"/>
      <c r="D30"/>
    </row>
    <row r="31">
      <c r="A31"/>
      <c r="B31"/>
      <c r="C31"/>
      <c r="D31"/>
    </row>
    <row r="32">
      <c r="A32"/>
      <c r="B32"/>
      <c r="C32"/>
      <c r="D32"/>
    </row>
    <row r="33">
      <c r="A33"/>
      <c r="B33"/>
      <c r="C33"/>
      <c r="D33"/>
    </row>
    <row r="34">
      <c r="A34"/>
      <c r="B34"/>
      <c r="C34"/>
      <c r="D34"/>
    </row>
    <row r="35">
      <c r="A35"/>
      <c r="B35"/>
      <c r="C35"/>
      <c r="D35"/>
    </row>
    <row r="36">
      <c r="A36"/>
      <c r="B36"/>
      <c r="C36"/>
      <c r="D36"/>
    </row>
    <row r="37">
      <c r="A37"/>
      <c r="B37"/>
      <c r="C37"/>
      <c r="D37"/>
    </row>
    <row r="38">
      <c r="A38"/>
      <c r="B38"/>
      <c r="C38"/>
      <c r="D38"/>
    </row>
    <row r="39">
      <c r="A39"/>
      <c r="B39"/>
      <c r="C39"/>
      <c r="D39"/>
    </row>
    <row r="40">
      <c r="A40"/>
      <c r="B40"/>
      <c r="C40"/>
      <c r="D40"/>
    </row>
    <row r="41">
      <c r="A41"/>
      <c r="B41"/>
      <c r="C41"/>
      <c r="D41"/>
    </row>
    <row r="42">
      <c r="A42"/>
      <c r="B42"/>
      <c r="C42"/>
      <c r="D42"/>
    </row>
    <row r="43">
      <c r="A43"/>
      <c r="B43"/>
      <c r="C43"/>
      <c r="D43"/>
    </row>
    <row r="44">
      <c r="A44"/>
      <c r="B44"/>
      <c r="C44"/>
      <c r="D44"/>
    </row>
    <row r="45">
      <c r="A45"/>
      <c r="B45"/>
      <c r="C45"/>
      <c r="D45"/>
    </row>
    <row r="46">
      <c r="A46"/>
      <c r="B46"/>
      <c r="C46"/>
      <c r="D46"/>
    </row>
    <row r="47">
      <c r="A47"/>
      <c r="B47"/>
      <c r="C47"/>
      <c r="D47"/>
    </row>
    <row r="48">
      <c r="A48"/>
      <c r="B48"/>
      <c r="C48"/>
      <c r="D48"/>
    </row>
    <row r="49">
      <c r="A49"/>
      <c r="B49"/>
      <c r="C49"/>
      <c r="D49"/>
    </row>
    <row r="50">
      <c r="A50"/>
      <c r="B50"/>
      <c r="C50"/>
      <c r="D50"/>
    </row>
    <row r="51">
      <c r="A51"/>
      <c r="B51"/>
      <c r="C51"/>
      <c r="D51"/>
    </row>
    <row r="52">
      <c r="A52"/>
      <c r="B52"/>
      <c r="C52"/>
      <c r="D52"/>
    </row>
    <row r="53">
      <c r="A53"/>
      <c r="B53"/>
      <c r="C53"/>
      <c r="D53"/>
    </row>
    <row r="54">
      <c r="A54"/>
      <c r="B54"/>
      <c r="C54"/>
      <c r="D54"/>
    </row>
    <row r="55">
      <c r="A55"/>
      <c r="B55"/>
      <c r="C55"/>
      <c r="D55"/>
    </row>
    <row r="56">
      <c r="A56"/>
      <c r="B56"/>
      <c r="C56"/>
      <c r="D56"/>
    </row>
    <row r="57">
      <c r="A57"/>
      <c r="B57"/>
      <c r="C57"/>
      <c r="D57"/>
    </row>
    <row r="58">
      <c r="A58"/>
      <c r="B58"/>
      <c r="C58"/>
      <c r="D58"/>
    </row>
    <row r="59">
      <c r="A59"/>
      <c r="B59"/>
      <c r="C59"/>
      <c r="D59"/>
    </row>
    <row r="60">
      <c r="A60"/>
      <c r="B60"/>
      <c r="C60"/>
      <c r="D60"/>
    </row>
    <row r="61">
      <c r="A61"/>
      <c r="B61"/>
      <c r="C61"/>
      <c r="D61"/>
    </row>
    <row r="62">
      <c r="A62"/>
      <c r="B62"/>
      <c r="C62"/>
      <c r="D62"/>
    </row>
    <row r="63">
      <c r="A63"/>
      <c r="B63"/>
      <c r="C63"/>
      <c r="D63"/>
    </row>
    <row r="64">
      <c r="A64"/>
      <c r="B64"/>
      <c r="C64"/>
      <c r="D64"/>
    </row>
    <row r="65">
      <c r="A65"/>
      <c r="B65"/>
      <c r="C65"/>
      <c r="D65"/>
    </row>
    <row r="66">
      <c r="A66"/>
      <c r="B66"/>
      <c r="C66"/>
      <c r="D66"/>
    </row>
    <row r="67">
      <c r="A67"/>
      <c r="B67"/>
      <c r="C67"/>
      <c r="D67"/>
    </row>
    <row r="68">
      <c r="A68"/>
      <c r="B68"/>
      <c r="C68"/>
      <c r="D68"/>
    </row>
    <row r="69">
      <c r="A69"/>
      <c r="B69"/>
      <c r="C69"/>
      <c r="D69"/>
    </row>
    <row r="70">
      <c r="A70"/>
      <c r="B70"/>
      <c r="C70"/>
      <c r="D70"/>
    </row>
    <row r="71">
      <c r="A71"/>
      <c r="B71"/>
      <c r="C71"/>
      <c r="D71"/>
    </row>
    <row r="72">
      <c r="A72"/>
      <c r="B72"/>
      <c r="C72"/>
      <c r="D72"/>
    </row>
    <row r="73">
      <c r="A73"/>
      <c r="B73"/>
      <c r="C73"/>
      <c r="D73"/>
    </row>
    <row r="74">
      <c r="A74"/>
      <c r="B74"/>
      <c r="C74"/>
      <c r="D74"/>
    </row>
    <row r="75">
      <c r="A75"/>
      <c r="B75"/>
      <c r="C75"/>
      <c r="D75"/>
    </row>
    <row r="76">
      <c r="A76"/>
      <c r="B76"/>
      <c r="C76"/>
      <c r="D76"/>
    </row>
    <row r="77">
      <c r="A77"/>
      <c r="B77"/>
      <c r="C77"/>
      <c r="D77"/>
    </row>
    <row r="78">
      <c r="A78"/>
      <c r="B78"/>
      <c r="C78"/>
      <c r="D78"/>
    </row>
    <row r="79">
      <c r="A79"/>
      <c r="B79"/>
      <c r="C79"/>
      <c r="D79"/>
    </row>
    <row r="80">
      <c r="A80"/>
      <c r="B80"/>
      <c r="C80"/>
      <c r="D80"/>
    </row>
    <row r="81">
      <c r="A81"/>
      <c r="B81"/>
      <c r="C81"/>
      <c r="D81"/>
    </row>
    <row r="82">
      <c r="A82"/>
      <c r="B82"/>
      <c r="C82"/>
      <c r="D82"/>
    </row>
    <row r="83">
      <c r="A83"/>
      <c r="B83"/>
      <c r="C83"/>
      <c r="D83"/>
    </row>
    <row r="84">
      <c r="A84"/>
      <c r="B84"/>
      <c r="C84"/>
      <c r="D84"/>
    </row>
    <row r="85">
      <c r="A85"/>
      <c r="B85"/>
      <c r="C85"/>
      <c r="D85"/>
    </row>
    <row r="86">
      <c r="A86"/>
      <c r="B86"/>
      <c r="C86"/>
      <c r="D86"/>
    </row>
    <row r="87">
      <c r="A87"/>
      <c r="B87"/>
      <c r="C87"/>
      <c r="D87"/>
    </row>
    <row r="88">
      <c r="A88"/>
      <c r="B88"/>
      <c r="C88"/>
      <c r="D88"/>
    </row>
    <row r="89">
      <c r="A89"/>
      <c r="B89"/>
      <c r="C89"/>
      <c r="D89"/>
    </row>
    <row r="90">
      <c r="A90"/>
      <c r="B90"/>
      <c r="C90"/>
      <c r="D90"/>
    </row>
    <row r="91">
      <c r="A91"/>
      <c r="B91"/>
      <c r="C91"/>
      <c r="D91"/>
    </row>
    <row r="92">
      <c r="A92"/>
      <c r="B92"/>
      <c r="C92"/>
      <c r="D92"/>
    </row>
    <row r="93">
      <c r="A93"/>
      <c r="B93"/>
      <c r="C93"/>
      <c r="D93"/>
    </row>
    <row r="94">
      <c r="A94"/>
      <c r="B94"/>
      <c r="C94"/>
      <c r="D94"/>
    </row>
    <row r="95">
      <c r="A95"/>
      <c r="B95"/>
      <c r="C95"/>
      <c r="D95"/>
    </row>
    <row r="96">
      <c r="A96"/>
      <c r="B96"/>
      <c r="C96"/>
      <c r="D96"/>
    </row>
    <row r="97">
      <c r="A97"/>
      <c r="B97"/>
      <c r="C97"/>
      <c r="D97"/>
    </row>
    <row r="98">
      <c r="A98"/>
      <c r="B98"/>
      <c r="C98"/>
      <c r="D98"/>
    </row>
    <row r="99">
      <c r="A99"/>
      <c r="B99"/>
      <c r="C99"/>
      <c r="D99"/>
    </row>
    <row r="100">
      <c r="A100"/>
      <c r="B100"/>
      <c r="C100"/>
      <c r="D100"/>
    </row>
    <row r="101">
      <c r="A101"/>
      <c r="B101"/>
      <c r="C101"/>
      <c r="D101"/>
    </row>
    <row r="102">
      <c r="A102"/>
      <c r="B102"/>
      <c r="C102"/>
      <c r="D102"/>
    </row>
    <row r="103">
      <c r="A103"/>
      <c r="B103"/>
      <c r="C103"/>
      <c r="D103"/>
    </row>
  </sheetData>
  <mergeCells count="1">
    <mergeCell ref="A1:D1"/>
  </mergeCells>
  <dataValidations count="1">
    <dataValidation type="list" sqref="B4:B20">
      <formula1>"EVET,HAYIR"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S306"/>
  <sheetViews>
    <sheetView topLeftCell="A4" workbookViewId="0">
      <selection activeCell="N7" sqref="N7"/>
    </sheetView>
  </sheetViews>
  <sheetFormatPr defaultRowHeight="13.8"/>
  <cols>
    <col min="1" max="1" width="7" customWidth="1"/>
    <col min="2" max="2" width="17.09765625" customWidth="1"/>
    <col min="3" max="3" width="17.59765625" customWidth="1"/>
    <col min="4" max="4" width="11" customWidth="1"/>
    <col min="5" max="5" width="16" customWidth="1"/>
    <col min="6" max="6" width="18" customWidth="1"/>
    <col min="7" max="7" width="20" customWidth="1"/>
    <col min="8" max="8" width="14" customWidth="1"/>
    <col min="9" max="9" width="13" customWidth="1"/>
    <col min="10" max="10" width="11" customWidth="1"/>
    <col min="11" max="11" width="14" customWidth="1"/>
    <col min="12" max="12" width="13" customWidth="1"/>
    <col min="13" max="16" width="15" customWidth="1"/>
    <col min="17" max="17" width="18" customWidth="1"/>
    <col min="18" max="18" width="22" customWidth="1"/>
    <col min="19" max="19" width="16" customWidth="1"/>
  </cols>
  <sheetData>
    <row r="1" spans="1:19" ht="24" customHeight="1">
      <c r="A1" s="106" t="s">
        <v>177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3" spans="1:19" ht="55.2">
      <c r="A3" s="72" t="s">
        <v>178</v>
      </c>
      <c r="B3" s="72" t="s">
        <v>179</v>
      </c>
      <c r="C3" s="72" t="s">
        <v>180</v>
      </c>
      <c r="D3" s="72" t="s">
        <v>181</v>
      </c>
      <c r="E3" s="72" t="s">
        <v>182</v>
      </c>
      <c r="G3" s="107" t="s">
        <v>183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19" ht="15.6">
      <c r="A4" s="74">
        <f>COUNTIF(B7:B306,"&lt;&gt;")</f>
        <v>2</v>
      </c>
      <c r="B4" s="73">
        <f ca="1">SUM(R7:R306)</f>
        <v>2266804</v>
      </c>
      <c r="C4" s="73">
        <f>SUM(N7:N306)</f>
        <v>2360000</v>
      </c>
      <c r="D4" s="73">
        <f ca="1">SUM(Q7:Q306)</f>
        <v>0</v>
      </c>
      <c r="E4" s="73">
        <f ca="1">IFERROR(AVERAGEIF(S7:S306,"&lt;&gt;",S7:S306),0)</f>
        <v>46598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6" spans="1:19" ht="30.45" customHeight="1">
      <c r="A6" s="82" t="s">
        <v>184</v>
      </c>
      <c r="B6" s="83" t="s">
        <v>39</v>
      </c>
      <c r="C6" s="83" t="s">
        <v>185</v>
      </c>
      <c r="D6" s="83" t="s">
        <v>186</v>
      </c>
      <c r="E6" s="83" t="s">
        <v>187</v>
      </c>
      <c r="F6" s="83" t="s">
        <v>188</v>
      </c>
      <c r="G6" s="83" t="s">
        <v>189</v>
      </c>
      <c r="H6" s="83" t="s">
        <v>190</v>
      </c>
      <c r="I6" s="83" t="s">
        <v>42</v>
      </c>
      <c r="J6" s="83" t="s">
        <v>191</v>
      </c>
      <c r="K6" s="83" t="s">
        <v>192</v>
      </c>
      <c r="L6" s="83" t="s">
        <v>193</v>
      </c>
      <c r="M6" s="83" t="s">
        <v>194</v>
      </c>
      <c r="N6" s="83" t="s">
        <v>195</v>
      </c>
      <c r="O6" s="83" t="s">
        <v>196</v>
      </c>
      <c r="P6" s="83" t="s">
        <v>197</v>
      </c>
      <c r="Q6" s="83" t="s">
        <v>50</v>
      </c>
      <c r="R6" s="83" t="s">
        <v>198</v>
      </c>
      <c r="S6" s="84" t="s">
        <v>199</v>
      </c>
    </row>
    <row r="7" spans="1:19">
      <c r="A7" s="85">
        <f>IF(B7="","",ROW()-6)</f>
      </c>
      <c r="B7" s="75" t="inlineStr">
        <is>
          <t>33EFU62</t>
        </is>
      </c>
      <c r="C7" s="78">
        <v>2014.0</v>
      </c>
      <c r="D7" s="79">
        <v>191900.0</v>
      </c>
      <c r="E7" s="75" t="inlineStr">
        <is>
          <t>Opel</t>
        </is>
      </c>
      <c r="F7" s="75" t="inlineStr">
        <is>
          <t>Mokka</t>
        </is>
      </c>
      <c r="G7" s="75" t="inlineStr">
        <is>
          <t>1.4 Turbo Enjoy Otomatik</t>
        </is>
      </c>
      <c r="H7" s="75" t="inlineStr">
        <is>
          <t>Beyaz</t>
        </is>
      </c>
      <c r="I7" s="77">
        <v>46156.0</v>
      </c>
      <c r="J7" s="76">
        <f>IF(I7="","",MAX(0,TODAY()-I7))</f>
      </c>
      <c r="K7" s="75" t="inlineStr">
        <is>
          <t>Benzin + LPG</t>
        </is>
      </c>
      <c r="L7" s="75" t="inlineStr">
        <is>
          <t>Otomatik</t>
        </is>
      </c>
      <c r="M7" s="80">
        <v>880000.0</v>
      </c>
      <c r="N7" s="80">
        <v>930000.0</v>
      </c>
      <c r="O7" s="80">
        <v>0.0</v>
      </c>
      <c r="P7" s="81">
        <f>IF(M7="","",'GİDER AYARLARI'!$B$10)</f>
      </c>
      <c r="Q7" s="81">
        <f>IF(OR(M7="",J7=""),"",M7*'GİDER AYARLARI'!$B$8*J7/30)</f>
      </c>
      <c r="R7" s="81">
        <f>IF(M7="","",M7+P7+Q7)</f>
      </c>
      <c r="S7" s="86">
        <f>IF(OR(N7="",R7=""),"",N7-R7)</f>
      </c>
    </row>
    <row r="8" spans="1:19" ht="14.4">
      <c r="A8" s="85">
        <f>IF(B8="","",ROW()-6)</f>
      </c>
      <c r="B8" s="71" t="inlineStr">
        <is>
          <t>33BDK218</t>
        </is>
      </c>
      <c r="C8" s="78">
        <v>2025.0</v>
      </c>
      <c r="D8" s="79">
        <v>6001.0</v>
      </c>
      <c r="E8" s="75" t="inlineStr">
        <is>
          <t>Renault</t>
        </is>
      </c>
      <c r="F8" s="75" t="inlineStr">
        <is>
          <t>Duster</t>
        </is>
      </c>
      <c r="G8" s="75" t="inlineStr">
        <is>
          <t>1.3 TCE Techno EDC</t>
        </is>
      </c>
      <c r="H8" s="75" t="inlineStr">
        <is>
          <t>Yeşil</t>
        </is>
      </c>
      <c r="I8" s="77">
        <v>46200.0</v>
      </c>
      <c r="J8" s="76">
        <f>IF(I8="","",MAX(0,TODAY()-I8))</f>
      </c>
      <c r="K8" s="75" t="inlineStr">
        <is>
          <t>Benzin</t>
        </is>
      </c>
      <c r="L8" s="75" t="inlineStr">
        <is>
          <t>Otomatik</t>
        </is>
      </c>
      <c r="M8" s="80">
        <v>1900000.0</v>
      </c>
      <c r="N8" s="80">
        <v>1960000.0</v>
      </c>
      <c r="O8" s="80">
        <v>0.0</v>
      </c>
      <c r="P8" s="81">
        <f>IF(M8="","",'GİDER AYARLARI'!$B$10)</f>
      </c>
      <c r="Q8" s="81">
        <f>IF(OR(M8="",J8=""),"",M8*'GİDER AYARLARI'!$B$8*J8/30)</f>
      </c>
      <c r="R8" s="81">
        <f>IF(M8="","",M8+P8+Q8)</f>
      </c>
      <c r="S8" s="86">
        <f>IF(OR(N8="",R8=""),"",N8-R8)</f>
      </c>
    </row>
    <row r="9" spans="1:19">
      <c r="A9" s="85">
        <f>IF(B9="","",ROW()-6)</f>
      </c>
      <c r="B9" s="75" t="inlineStr">
        <is>
          <t>33BDK845</t>
        </is>
      </c>
      <c r="C9" s="78">
        <v>2025.0</v>
      </c>
      <c r="D9" s="79">
        <v>20500.0</v>
      </c>
      <c r="E9" s="75" t="inlineStr">
        <is>
          <t>Renault</t>
        </is>
      </c>
      <c r="F9" s="75" t="inlineStr">
        <is>
          <t>Megane E-Tech</t>
        </is>
      </c>
      <c r="G9" s="75" t="inlineStr">
        <is>
          <t>Techno EV60</t>
        </is>
      </c>
      <c r="H9" s="75" t="inlineStr">
        <is>
          <t>Gri</t>
        </is>
      </c>
      <c r="I9" s="77">
        <v>46200.0</v>
      </c>
      <c r="J9" s="76">
        <f>IF(I9="","",MAX(0,TODAY()-I9))</f>
      </c>
      <c r="K9" s="75" t="inlineStr">
        <is>
          <t>Elektrik</t>
        </is>
      </c>
      <c r="L9" s="75" t="inlineStr">
        <is>
          <t>Otomatik</t>
        </is>
      </c>
      <c r="M9" s="80">
        <v>2100000.0</v>
      </c>
      <c r="N9" s="80">
        <v>2160000.0</v>
      </c>
      <c r="O9" s="80">
        <v>0.0</v>
      </c>
      <c r="P9" s="81">
        <f>IF(M9="","",'GİDER AYARLARI'!$B$10)</f>
      </c>
      <c r="Q9" s="81">
        <f>IF(OR(M9="",J9=""),"",M9*'GİDER AYARLARI'!$B$8*J9/30)</f>
      </c>
      <c r="R9" s="81">
        <f>IF(M9="","",M9+P9+Q9)</f>
      </c>
      <c r="S9" s="86">
        <f>IF(OR(N9="",R9=""),"",N9-R9)</f>
      </c>
    </row>
    <row r="10" spans="1:19">
      <c r="A10" s="85">
        <f>IF(B10="","",ROW()-6)</f>
      </c>
      <c r="B10" s="75" t="inlineStr">
        <is>
          <t>34NEN925</t>
        </is>
      </c>
      <c r="C10" s="78">
        <v>2025.0</v>
      </c>
      <c r="D10" s="79">
        <v>26741.0</v>
      </c>
      <c r="E10" s="75" t="inlineStr">
        <is>
          <t>Renault</t>
        </is>
      </c>
      <c r="F10" s="75" t="inlineStr">
        <is>
          <t>Megane</t>
        </is>
      </c>
      <c r="G10" s="75" t="inlineStr">
        <is>
          <t>Sedan 1.3 TCe Touch EDC</t>
        </is>
      </c>
      <c r="H10" s="75" t="inlineStr">
        <is>
          <t>Beyaz</t>
        </is>
      </c>
      <c r="I10" s="77">
        <v>46254.0</v>
      </c>
      <c r="J10" s="76">
        <f>IF(I10="","",MAX(0,TODAY()-I10))</f>
      </c>
      <c r="K10" s="75" t="inlineStr">
        <is>
          <t>Benzin</t>
        </is>
      </c>
      <c r="L10" s="75" t="inlineStr">
        <is>
          <t>Otomatik</t>
        </is>
      </c>
      <c r="M10" s="80">
        <v>1532000.0</v>
      </c>
      <c r="N10" s="80">
        <v>1620000.0</v>
      </c>
      <c r="O10" s="80">
        <v>0.0</v>
      </c>
      <c r="P10" s="81">
        <f>IF(M10="","",'GİDER AYARLARI'!$B$10)</f>
      </c>
      <c r="Q10" s="81">
        <f>IF(OR(M10="",J10=""),"",M10*'GİDER AYARLARI'!$B$8*J10/30)</f>
      </c>
      <c r="R10" s="81">
        <f>IF(M10="","",M10+P10+Q10)</f>
      </c>
      <c r="S10" s="86">
        <f>IF(OR(N10="",R10=""),"",N10-R10)</f>
      </c>
    </row>
    <row r="11" spans="1:19">
      <c r="A11" s="85">
        <f>IF(B11="","",ROW()-6)</f>
      </c>
      <c r="B11" s="75" t="inlineStr">
        <is>
          <t>10ANK557</t>
        </is>
      </c>
      <c r="C11" s="78">
        <v>2024.0</v>
      </c>
      <c r="D11" s="79">
        <v>45405.0</v>
      </c>
      <c r="E11" s="75" t="inlineStr">
        <is>
          <t>Dacia</t>
        </is>
      </c>
      <c r="F11" s="75" t="inlineStr">
        <is>
          <t>Duster</t>
        </is>
      </c>
      <c r="G11" s="75" t="inlineStr">
        <is>
          <t>1.3 Turbo Extreme 4x2 EDC</t>
        </is>
      </c>
      <c r="H11" s="75" t="inlineStr">
        <is>
          <t>Yeşil</t>
        </is>
      </c>
      <c r="I11" s="77">
        <v>46255.0</v>
      </c>
      <c r="J11" s="76">
        <f>IF(I11="","",MAX(0,TODAY()-I11))</f>
      </c>
      <c r="K11" s="75" t="inlineStr">
        <is>
          <t>Benzin</t>
        </is>
      </c>
      <c r="L11" s="75" t="inlineStr">
        <is>
          <t>Otomatik</t>
        </is>
      </c>
      <c r="M11" s="80">
        <v>1520000.0</v>
      </c>
      <c r="N11" s="80">
        <v>1580000.0</v>
      </c>
      <c r="O11" s="80">
        <v>0.0</v>
      </c>
      <c r="P11" s="81">
        <f>IF(M11="","",'GİDER AYARLARI'!$B$10)</f>
      </c>
      <c r="Q11" s="81">
        <f>IF(OR(M11="",J11=""),"",M11*'GİDER AYARLARI'!$B$8*J11/30)</f>
      </c>
      <c r="R11" s="81">
        <f>IF(M11="","",M11+P11+Q11)</f>
      </c>
      <c r="S11" s="86">
        <f>IF(OR(N11="",R11=""),"",N11-R11)</f>
      </c>
    </row>
    <row r="12" spans="1:19">
      <c r="A12" s="85">
        <f>IF(B12="","",ROW()-6)</f>
      </c>
      <c r="B12" s="75" t="inlineStr">
        <is>
          <t>33AZS686</t>
        </is>
      </c>
      <c r="C12" s="78">
        <v>2023.0</v>
      </c>
      <c r="D12" s="79">
        <v>75982.0</v>
      </c>
      <c r="E12" s="75" t="inlineStr">
        <is>
          <t>Dacia</t>
        </is>
      </c>
      <c r="F12" s="75" t="inlineStr">
        <is>
          <t>Duster</t>
        </is>
      </c>
      <c r="G12" s="75" t="inlineStr">
        <is>
          <t>1.3 Turbo Journey EDC 4X2</t>
        </is>
      </c>
      <c r="H12" s="75" t="inlineStr">
        <is>
          <t>Gri</t>
        </is>
      </c>
      <c r="I12" s="77">
        <v>46259.0</v>
      </c>
      <c r="J12" s="76">
        <f>IF(I12="","",MAX(0,TODAY()-I12))</f>
      </c>
      <c r="K12" s="75" t="inlineStr">
        <is>
          <t>Benzin</t>
        </is>
      </c>
      <c r="L12" s="75" t="inlineStr">
        <is>
          <t>Otomatik</t>
        </is>
      </c>
      <c r="M12" s="80">
        <v>1325000.0</v>
      </c>
      <c r="N12" s="80">
        <v>1400000.0</v>
      </c>
      <c r="O12" s="80">
        <v>0.0</v>
      </c>
      <c r="P12" s="81">
        <f>IF(M12="","",'GİDER AYARLARI'!$B$10)</f>
      </c>
      <c r="Q12" s="81">
        <f>IF(OR(M12="",J12=""),"",M12*'GİDER AYARLARI'!$B$8*J12/30)</f>
      </c>
      <c r="R12" s="81">
        <f>IF(M12="","",M12+P12+Q12)</f>
      </c>
      <c r="S12" s="86">
        <f>IF(OR(N12="",R12=""),"",N12-R12)</f>
      </c>
    </row>
    <row r="13" spans="1:19">
      <c r="A13" s="85">
        <f>IF(B13="","",ROW()-6)</f>
      </c>
      <c r="B13" s="75" t="inlineStr">
        <is>
          <t>38AIN357</t>
        </is>
      </c>
      <c r="C13" s="78">
        <v>2023.0</v>
      </c>
      <c r="D13" s="79">
        <v>43141.0</v>
      </c>
      <c r="E13" s="75" t="inlineStr">
        <is>
          <t>Ford</t>
        </is>
      </c>
      <c r="F13" s="75" t="inlineStr">
        <is>
          <t>Tourneo Courier</t>
        </is>
      </c>
      <c r="G13" s="75" t="inlineStr">
        <is>
          <t>1.5 TDCI Titanium</t>
        </is>
      </c>
      <c r="H13" s="75" t="inlineStr">
        <is>
          <t>Beyaz</t>
        </is>
      </c>
      <c r="I13" s="77">
        <v>46260.0</v>
      </c>
      <c r="J13" s="76">
        <f>IF(I13="","",MAX(0,TODAY()-I13))</f>
      </c>
      <c r="K13" s="75" t="inlineStr">
        <is>
          <t>Dizel</t>
        </is>
      </c>
      <c r="L13" s="75" t="inlineStr">
        <is>
          <t>Manuel</t>
        </is>
      </c>
      <c r="M13" s="80">
        <v>1040000.0</v>
      </c>
      <c r="N13" s="80">
        <v>1100000.0</v>
      </c>
      <c r="O13" s="80">
        <v>0.0</v>
      </c>
      <c r="P13" s="81">
        <f>IF(M13="","",'GİDER AYARLARI'!$B$10)</f>
      </c>
      <c r="Q13" s="81">
        <f>IF(OR(M13="",J13=""),"",M13*'GİDER AYARLARI'!$B$8*J13/30)</f>
      </c>
      <c r="R13" s="81">
        <f>IF(M13="","",M13+P13+Q13)</f>
      </c>
      <c r="S13" s="86">
        <f>IF(OR(N13="",R13=""),"",N13-R13)</f>
      </c>
    </row>
    <row r="14" spans="1:19">
      <c r="A14" s="85">
        <f>IF(B14="","",ROW()-6)</f>
      </c>
      <c r="B14" s="75" t="inlineStr">
        <is>
          <t>33ATA587</t>
        </is>
      </c>
      <c r="C14" s="78">
        <v>2014.0</v>
      </c>
      <c r="D14" s="79">
        <v>196579.0</v>
      </c>
      <c r="E14" s="75" t="inlineStr">
        <is>
          <t>Ford</t>
        </is>
      </c>
      <c r="F14" s="75" t="inlineStr">
        <is>
          <t>Fiesta</t>
        </is>
      </c>
      <c r="G14" s="75" t="inlineStr">
        <is>
          <t>1.5 TDCI Titanium X</t>
        </is>
      </c>
      <c r="H14" s="75" t="inlineStr">
        <is>
          <t>Beyaz</t>
        </is>
      </c>
      <c r="I14" s="77">
        <v>46261.0</v>
      </c>
      <c r="J14" s="76">
        <f>IF(I14="","",MAX(0,TODAY()-I14))</f>
      </c>
      <c r="K14" s="75" t="inlineStr">
        <is>
          <t>Dizel</t>
        </is>
      </c>
      <c r="L14" s="75" t="inlineStr">
        <is>
          <t>Manuel</t>
        </is>
      </c>
      <c r="M14" s="80">
        <v>650000.0</v>
      </c>
      <c r="N14" s="80">
        <v>680000.0</v>
      </c>
      <c r="O14" s="80">
        <v>0.0</v>
      </c>
      <c r="P14" s="81">
        <f>IF(M14="","",'GİDER AYARLARI'!$B$10)</f>
      </c>
      <c r="Q14" s="81">
        <f>IF(OR(M14="",J14=""),"",M14*'GİDER AYARLARI'!$B$8*J14/30)</f>
      </c>
      <c r="R14" s="81">
        <f>IF(M14="","",M14+P14+Q14)</f>
      </c>
      <c r="S14" s="86">
        <f>IF(OR(N14="",R14=""),"",N14-R14)</f>
      </c>
    </row>
    <row r="15" spans="1:19">
      <c r="A15" s="85">
        <f>IF(B15="","",ROW()-6)</f>
      </c>
      <c r="B15" s="75"/>
      <c r="C15" s="78"/>
      <c r="D15" s="79"/>
      <c r="E15" s="75"/>
      <c r="F15" s="75"/>
      <c r="G15" s="75"/>
      <c r="H15" s="75"/>
      <c r="I15" s="77"/>
      <c r="J15" s="76">
        <f>IF(I15="","",MAX(0,TODAY()-I15))</f>
      </c>
      <c r="K15" s="75"/>
      <c r="L15" s="75"/>
      <c r="M15" s="80"/>
      <c r="N15" s="80"/>
      <c r="O15" s="80"/>
      <c r="P15" s="81">
        <f>IF(M15="","",'GİDER AYARLARI'!$B$10)</f>
      </c>
      <c r="Q15" s="81">
        <f>IF(OR(M15="",J15=""),"",M15*'GİDER AYARLARI'!$B$8*J15/30)</f>
      </c>
      <c r="R15" s="81">
        <f>IF(M15="","",M15+P15+Q15)</f>
      </c>
      <c r="S15" s="86">
        <f>IF(OR(N15="",R15=""),"",N15-R15)</f>
      </c>
    </row>
    <row r="16" spans="1:19">
      <c r="A16" s="85">
        <f>IF(B16="","",ROW()-6)</f>
      </c>
      <c r="B16" s="75"/>
      <c r="C16" s="78"/>
      <c r="D16" s="79"/>
      <c r="E16" s="75"/>
      <c r="F16" s="75"/>
      <c r="G16" s="75"/>
      <c r="H16" s="75"/>
      <c r="I16" s="77"/>
      <c r="J16" s="76">
        <f>IF(I16="","",MAX(0,TODAY()-I16))</f>
      </c>
      <c r="K16" s="75"/>
      <c r="L16" s="75"/>
      <c r="M16" s="80"/>
      <c r="N16" s="80"/>
      <c r="O16" s="80"/>
      <c r="P16" s="81">
        <f>IF(M16="","",'GİDER AYARLARI'!$B$10)</f>
      </c>
      <c r="Q16" s="81">
        <f>IF(OR(M16="",J16=""),"",M16*'GİDER AYARLARI'!$B$8*J16/30)</f>
      </c>
      <c r="R16" s="81">
        <f>IF(M16="","",M16+P16+Q16)</f>
      </c>
      <c r="S16" s="86">
        <f>IF(OR(N16="",R16=""),"",N16-R16)</f>
      </c>
    </row>
    <row r="17" spans="1:19">
      <c r="A17" s="85">
        <f>IF(B17="","",ROW()-6)</f>
      </c>
      <c r="B17" s="75"/>
      <c r="C17" s="78"/>
      <c r="D17" s="79"/>
      <c r="E17" s="75"/>
      <c r="F17" s="75"/>
      <c r="G17" s="75"/>
      <c r="H17" s="75"/>
      <c r="I17" s="77"/>
      <c r="J17" s="76">
        <f>IF(I17="","",MAX(0,TODAY()-I17))</f>
      </c>
      <c r="K17" s="75"/>
      <c r="L17" s="75"/>
      <c r="M17" s="80"/>
      <c r="N17" s="80"/>
      <c r="O17" s="80"/>
      <c r="P17" s="81">
        <f>IF(M17="","",'GİDER AYARLARI'!$B$10)</f>
      </c>
      <c r="Q17" s="81">
        <f>IF(OR(M17="",J17=""),"",M17*'GİDER AYARLARI'!$B$8*J17/30)</f>
      </c>
      <c r="R17" s="81">
        <f>IF(M17="","",M17+P17+Q17)</f>
      </c>
      <c r="S17" s="86">
        <f>IF(OR(N17="",R17=""),"",N17-R17)</f>
      </c>
    </row>
    <row r="18" spans="1:19">
      <c r="A18" s="85">
        <f>IF(B18="","",ROW()-6)</f>
      </c>
      <c r="B18" s="75"/>
      <c r="C18" s="78"/>
      <c r="D18" s="79"/>
      <c r="E18" s="75"/>
      <c r="F18" s="75"/>
      <c r="G18" s="75"/>
      <c r="H18" s="75"/>
      <c r="I18" s="77"/>
      <c r="J18" s="76">
        <f>IF(I18="","",MAX(0,TODAY()-I18))</f>
      </c>
      <c r="K18" s="75"/>
      <c r="L18" s="75"/>
      <c r="M18" s="80"/>
      <c r="N18" s="80"/>
      <c r="O18" s="80"/>
      <c r="P18" s="81">
        <f>IF(M18="","",'GİDER AYARLARI'!$B$10)</f>
      </c>
      <c r="Q18" s="81">
        <f>IF(OR(M18="",J18=""),"",M18*'GİDER AYARLARI'!$B$8*J18/30)</f>
      </c>
      <c r="R18" s="81">
        <f>IF(M18="","",M18+P18+Q18)</f>
      </c>
      <c r="S18" s="86">
        <f>IF(OR(N18="",R18=""),"",N18-R18)</f>
      </c>
    </row>
    <row r="19" spans="1:19">
      <c r="A19" s="85">
        <f>IF(B19="","",ROW()-6)</f>
      </c>
      <c r="B19" s="75"/>
      <c r="C19" s="78"/>
      <c r="D19" s="79"/>
      <c r="E19" s="75"/>
      <c r="F19" s="75"/>
      <c r="G19" s="75"/>
      <c r="H19" s="75"/>
      <c r="I19" s="77"/>
      <c r="J19" s="76">
        <f>IF(I19="","",MAX(0,TODAY()-I19))</f>
      </c>
      <c r="K19" s="75"/>
      <c r="L19" s="75"/>
      <c r="M19" s="80"/>
      <c r="N19" s="80"/>
      <c r="O19" s="80"/>
      <c r="P19" s="81">
        <f>IF(M19="","",'GİDER AYARLARI'!$B$10)</f>
      </c>
      <c r="Q19" s="81">
        <f>IF(OR(M19="",J19=""),"",M19*'GİDER AYARLARI'!$B$8*J19/30)</f>
      </c>
      <c r="R19" s="81">
        <f>IF(M19="","",M19+P19+Q19)</f>
      </c>
      <c r="S19" s="86">
        <f>IF(OR(N19="",R19=""),"",N19-R19)</f>
      </c>
    </row>
    <row r="20" spans="1:19">
      <c r="A20" s="85">
        <f>IF(B20="","",ROW()-6)</f>
      </c>
      <c r="B20" s="75"/>
      <c r="C20" s="78"/>
      <c r="D20" s="79"/>
      <c r="E20" s="75"/>
      <c r="F20" s="75"/>
      <c r="G20" s="75"/>
      <c r="H20" s="75"/>
      <c r="I20" s="77"/>
      <c r="J20" s="76">
        <f>IF(I20="","",MAX(0,TODAY()-I20))</f>
      </c>
      <c r="K20" s="75"/>
      <c r="L20" s="75"/>
      <c r="M20" s="80"/>
      <c r="N20" s="80"/>
      <c r="O20" s="80"/>
      <c r="P20" s="81">
        <f>IF(M20="","",'GİDER AYARLARI'!$B$10)</f>
      </c>
      <c r="Q20" s="81">
        <f>IF(OR(M20="",J20=""),"",M20*'GİDER AYARLARI'!$B$8*J20/30)</f>
      </c>
      <c r="R20" s="81">
        <f>IF(M20="","",M20+P20+Q20)</f>
      </c>
      <c r="S20" s="86">
        <f>IF(OR(N20="",R20=""),"",N20-R20)</f>
      </c>
    </row>
    <row r="21" spans="1:19">
      <c r="A21" s="85">
        <f>IF(B21="","",ROW()-6)</f>
      </c>
      <c r="B21" s="75"/>
      <c r="C21" s="78"/>
      <c r="D21" s="79"/>
      <c r="E21" s="75"/>
      <c r="F21" s="75"/>
      <c r="G21" s="75"/>
      <c r="H21" s="75"/>
      <c r="I21" s="77"/>
      <c r="J21" s="76">
        <f>IF(I21="","",MAX(0,TODAY()-I21))</f>
      </c>
      <c r="K21" s="75"/>
      <c r="L21" s="75"/>
      <c r="M21" s="80"/>
      <c r="N21" s="80"/>
      <c r="O21" s="80"/>
      <c r="P21" s="81">
        <f>IF(M21="","",'GİDER AYARLARI'!$B$10)</f>
      </c>
      <c r="Q21" s="81">
        <f>IF(OR(M21="",J21=""),"",M21*'GİDER AYARLARI'!$B$8*J21/30)</f>
      </c>
      <c r="R21" s="81">
        <f>IF(M21="","",M21+P21+Q21)</f>
      </c>
      <c r="S21" s="86">
        <f>IF(OR(N21="",R21=""),"",N21-R21)</f>
      </c>
    </row>
    <row r="22" spans="1:19">
      <c r="A22" s="85">
        <f>IF(B22="","",ROW()-6)</f>
      </c>
      <c r="B22" s="75"/>
      <c r="C22" s="78"/>
      <c r="D22" s="79"/>
      <c r="E22" s="75"/>
      <c r="F22" s="75"/>
      <c r="G22" s="75"/>
      <c r="H22" s="75"/>
      <c r="I22" s="77"/>
      <c r="J22" s="76">
        <f>IF(I22="","",MAX(0,TODAY()-I22))</f>
      </c>
      <c r="K22" s="75"/>
      <c r="L22" s="75"/>
      <c r="M22" s="80"/>
      <c r="N22" s="80"/>
      <c r="O22" s="80"/>
      <c r="P22" s="81">
        <f>IF(M22="","",'GİDER AYARLARI'!$B$10)</f>
      </c>
      <c r="Q22" s="81">
        <f>IF(OR(M22="",J22=""),"",M22*'GİDER AYARLARI'!$B$8*J22/30)</f>
      </c>
      <c r="R22" s="81">
        <f>IF(M22="","",M22+P22+Q22)</f>
      </c>
      <c r="S22" s="86">
        <f>IF(OR(N22="",R22=""),"",N22-R22)</f>
      </c>
    </row>
    <row r="23" spans="1:19">
      <c r="A23" s="85">
        <f>IF(B23="","",ROW()-6)</f>
      </c>
      <c r="B23" s="75"/>
      <c r="C23" s="78"/>
      <c r="D23" s="79"/>
      <c r="E23" s="75"/>
      <c r="F23" s="75"/>
      <c r="G23" s="75"/>
      <c r="H23" s="75"/>
      <c r="I23" s="77"/>
      <c r="J23" s="76">
        <f>IF(I23="","",MAX(0,TODAY()-I23))</f>
      </c>
      <c r="K23" s="75"/>
      <c r="L23" s="75"/>
      <c r="M23" s="80"/>
      <c r="N23" s="80"/>
      <c r="O23" s="80"/>
      <c r="P23" s="81">
        <f>IF(M23="","",'GİDER AYARLARI'!$B$10)</f>
      </c>
      <c r="Q23" s="81">
        <f>IF(OR(M23="",J23=""),"",M23*'GİDER AYARLARI'!$B$8*J23/30)</f>
      </c>
      <c r="R23" s="81">
        <f>IF(M23="","",M23+P23+Q23)</f>
      </c>
      <c r="S23" s="86">
        <f>IF(OR(N23="",R23=""),"",N23-R23)</f>
      </c>
    </row>
    <row r="24" spans="1:19">
      <c r="A24" s="85">
        <f>IF(B24="","",ROW()-6)</f>
      </c>
      <c r="B24" s="75"/>
      <c r="C24" s="78"/>
      <c r="D24" s="79"/>
      <c r="E24" s="75"/>
      <c r="F24" s="75"/>
      <c r="G24" s="75"/>
      <c r="H24" s="75"/>
      <c r="I24" s="77"/>
      <c r="J24" s="76">
        <f>IF(I24="","",MAX(0,TODAY()-I24))</f>
      </c>
      <c r="K24" s="75"/>
      <c r="L24" s="75"/>
      <c r="M24" s="80"/>
      <c r="N24" s="80"/>
      <c r="O24" s="80"/>
      <c r="P24" s="81">
        <f>IF(M24="","",'GİDER AYARLARI'!$B$10)</f>
      </c>
      <c r="Q24" s="81">
        <f>IF(OR(M24="",J24=""),"",M24*'GİDER AYARLARI'!$B$8*J24/30)</f>
      </c>
      <c r="R24" s="81">
        <f>IF(M24="","",M24+P24+Q24)</f>
      </c>
      <c r="S24" s="86">
        <f>IF(OR(N24="",R24=""),"",N24-R24)</f>
      </c>
    </row>
    <row r="25" spans="1:19">
      <c r="A25" s="85">
        <f>IF(B25="","",ROW()-6)</f>
      </c>
      <c r="B25" s="75"/>
      <c r="C25" s="78"/>
      <c r="D25" s="79"/>
      <c r="E25" s="75"/>
      <c r="F25" s="75"/>
      <c r="G25" s="75"/>
      <c r="H25" s="75"/>
      <c r="I25" s="77"/>
      <c r="J25" s="76">
        <f>IF(I25="","",MAX(0,TODAY()-I25))</f>
      </c>
      <c r="K25" s="75"/>
      <c r="L25" s="75"/>
      <c r="M25" s="80"/>
      <c r="N25" s="80"/>
      <c r="O25" s="80"/>
      <c r="P25" s="81">
        <f>IF(M25="","",'GİDER AYARLARI'!$B$10)</f>
      </c>
      <c r="Q25" s="81">
        <f>IF(OR(M25="",J25=""),"",M25*'GİDER AYARLARI'!$B$8*J25/30)</f>
      </c>
      <c r="R25" s="81">
        <f>IF(M25="","",M25+P25+Q25)</f>
      </c>
      <c r="S25" s="86">
        <f>IF(OR(N25="",R25=""),"",N25-R25)</f>
      </c>
    </row>
    <row r="26" spans="1:19">
      <c r="A26" s="85">
        <f>IF(B26="","",ROW()-6)</f>
      </c>
      <c r="B26" s="75"/>
      <c r="C26" s="78"/>
      <c r="D26" s="79"/>
      <c r="E26" s="75"/>
      <c r="F26" s="75"/>
      <c r="G26" s="75"/>
      <c r="H26" s="75"/>
      <c r="I26" s="77"/>
      <c r="J26" s="76">
        <f>IF(I26="","",MAX(0,TODAY()-I26))</f>
      </c>
      <c r="K26" s="75"/>
      <c r="L26" s="75"/>
      <c r="M26" s="80"/>
      <c r="N26" s="80"/>
      <c r="O26" s="80"/>
      <c r="P26" s="81">
        <f>IF(M26="","",'GİDER AYARLARI'!$B$10)</f>
      </c>
      <c r="Q26" s="81">
        <f>IF(OR(M26="",J26=""),"",M26*'GİDER AYARLARI'!$B$8*J26/30)</f>
      </c>
      <c r="R26" s="81">
        <f>IF(M26="","",M26+P26+Q26)</f>
      </c>
      <c r="S26" s="86">
        <f>IF(OR(N26="",R26=""),"",N26-R26)</f>
      </c>
    </row>
    <row r="27" spans="1:19">
      <c r="A27" s="85">
        <f>IF(B27="","",ROW()-6)</f>
      </c>
      <c r="B27" s="75"/>
      <c r="C27" s="78"/>
      <c r="D27" s="79"/>
      <c r="E27" s="75"/>
      <c r="F27" s="75"/>
      <c r="G27" s="75"/>
      <c r="H27" s="75"/>
      <c r="I27" s="77"/>
      <c r="J27" s="76">
        <f>IF(I27="","",MAX(0,TODAY()-I27))</f>
      </c>
      <c r="K27" s="75"/>
      <c r="L27" s="75"/>
      <c r="M27" s="80"/>
      <c r="N27" s="80"/>
      <c r="O27" s="80"/>
      <c r="P27" s="81">
        <f>IF(M27="","",'GİDER AYARLARI'!$B$10)</f>
      </c>
      <c r="Q27" s="81">
        <f>IF(OR(M27="",J27=""),"",M27*'GİDER AYARLARI'!$B$8*J27/30)</f>
      </c>
      <c r="R27" s="81">
        <f>IF(M27="","",M27+P27+Q27)</f>
      </c>
      <c r="S27" s="86">
        <f>IF(OR(N27="",R27=""),"",N27-R27)</f>
      </c>
    </row>
    <row r="28" spans="1:19">
      <c r="A28" s="85">
        <f>IF(B28="","",ROW()-6)</f>
      </c>
      <c r="B28" s="75"/>
      <c r="C28" s="78"/>
      <c r="D28" s="79"/>
      <c r="E28" s="75"/>
      <c r="F28" s="75"/>
      <c r="G28" s="75"/>
      <c r="H28" s="75"/>
      <c r="I28" s="77"/>
      <c r="J28" s="76">
        <f>IF(I28="","",MAX(0,TODAY()-I28))</f>
      </c>
      <c r="K28" s="75"/>
      <c r="L28" s="75"/>
      <c r="M28" s="80"/>
      <c r="N28" s="80"/>
      <c r="O28" s="80"/>
      <c r="P28" s="81">
        <f>IF(M28="","",'GİDER AYARLARI'!$B$10)</f>
      </c>
      <c r="Q28" s="81">
        <f>IF(OR(M28="",J28=""),"",M28*'GİDER AYARLARI'!$B$8*J28/30)</f>
      </c>
      <c r="R28" s="81">
        <f>IF(M28="","",M28+P28+Q28)</f>
      </c>
      <c r="S28" s="86">
        <f>IF(OR(N28="",R28=""),"",N28-R28)</f>
      </c>
    </row>
    <row r="29" spans="1:19">
      <c r="A29" s="85">
        <f>IF(B29="","",ROW()-6)</f>
      </c>
      <c r="B29" s="75"/>
      <c r="C29" s="78"/>
      <c r="D29" s="79"/>
      <c r="E29" s="75"/>
      <c r="F29" s="75"/>
      <c r="G29" s="75"/>
      <c r="H29" s="75"/>
      <c r="I29" s="77"/>
      <c r="J29" s="76">
        <f>IF(I29="","",MAX(0,TODAY()-I29))</f>
      </c>
      <c r="K29" s="75"/>
      <c r="L29" s="75"/>
      <c r="M29" s="80"/>
      <c r="N29" s="80"/>
      <c r="O29" s="80"/>
      <c r="P29" s="81">
        <f>IF(M29="","",'GİDER AYARLARI'!$B$10)</f>
      </c>
      <c r="Q29" s="81">
        <f>IF(OR(M29="",J29=""),"",M29*'GİDER AYARLARI'!$B$8*J29/30)</f>
      </c>
      <c r="R29" s="81">
        <f>IF(M29="","",M29+P29+Q29)</f>
      </c>
      <c r="S29" s="86">
        <f>IF(OR(N29="",R29=""),"",N29-R29)</f>
      </c>
    </row>
    <row r="30" spans="1:19">
      <c r="A30" s="85">
        <f>IF(B30="","",ROW()-6)</f>
      </c>
      <c r="B30" s="75"/>
      <c r="C30" s="78"/>
      <c r="D30" s="79"/>
      <c r="E30" s="75"/>
      <c r="F30" s="75"/>
      <c r="G30" s="75"/>
      <c r="H30" s="75"/>
      <c r="I30" s="77"/>
      <c r="J30" s="76">
        <f>IF(I30="","",MAX(0,TODAY()-I30))</f>
      </c>
      <c r="K30" s="75"/>
      <c r="L30" s="75"/>
      <c r="M30" s="80"/>
      <c r="N30" s="80"/>
      <c r="O30" s="80"/>
      <c r="P30" s="81">
        <f>IF(M30="","",'GİDER AYARLARI'!$B$10)</f>
      </c>
      <c r="Q30" s="81">
        <f>IF(OR(M30="",J30=""),"",M30*'GİDER AYARLARI'!$B$8*J30/30)</f>
      </c>
      <c r="R30" s="81">
        <f>IF(M30="","",M30+P30+Q30)</f>
      </c>
      <c r="S30" s="86">
        <f>IF(OR(N30="",R30=""),"",N30-R30)</f>
      </c>
    </row>
    <row r="31" spans="1:19">
      <c r="A31" s="85">
        <f>IF(B31="","",ROW()-6)</f>
      </c>
      <c r="B31" s="75"/>
      <c r="C31" s="78"/>
      <c r="D31" s="79"/>
      <c r="E31" s="75"/>
      <c r="F31" s="75"/>
      <c r="G31" s="75"/>
      <c r="H31" s="75"/>
      <c r="I31" s="77"/>
      <c r="J31" s="76">
        <f>IF(I31="","",MAX(0,TODAY()-I31))</f>
      </c>
      <c r="K31" s="75"/>
      <c r="L31" s="75"/>
      <c r="M31" s="80"/>
      <c r="N31" s="80"/>
      <c r="O31" s="80"/>
      <c r="P31" s="81">
        <f>IF(M31="","",'GİDER AYARLARI'!$B$10)</f>
      </c>
      <c r="Q31" s="81">
        <f>IF(OR(M31="",J31=""),"",M31*'GİDER AYARLARI'!$B$8*J31/30)</f>
      </c>
      <c r="R31" s="81">
        <f>IF(M31="","",M31+P31+Q31)</f>
      </c>
      <c r="S31" s="86">
        <f>IF(OR(N31="",R31=""),"",N31-R31)</f>
      </c>
    </row>
    <row r="32" spans="1:19">
      <c r="A32" s="85">
        <f>IF(B32="","",ROW()-6)</f>
      </c>
      <c r="B32" s="75"/>
      <c r="C32" s="78"/>
      <c r="D32" s="79"/>
      <c r="E32" s="75"/>
      <c r="F32" s="75"/>
      <c r="G32" s="75"/>
      <c r="H32" s="75"/>
      <c r="I32" s="77"/>
      <c r="J32" s="76">
        <f>IF(I32="","",MAX(0,TODAY()-I32))</f>
      </c>
      <c r="K32" s="75"/>
      <c r="L32" s="75"/>
      <c r="M32" s="80"/>
      <c r="N32" s="80"/>
      <c r="O32" s="80"/>
      <c r="P32" s="81">
        <f>IF(M32="","",'GİDER AYARLARI'!$B$10)</f>
      </c>
      <c r="Q32" s="81">
        <f>IF(OR(M32="",J32=""),"",M32*'GİDER AYARLARI'!$B$8*J32/30)</f>
      </c>
      <c r="R32" s="81">
        <f>IF(M32="","",M32+P32+Q32)</f>
      </c>
      <c r="S32" s="86">
        <f>IF(OR(N32="",R32=""),"",N32-R32)</f>
      </c>
    </row>
    <row r="33" spans="1:19">
      <c r="A33" s="85">
        <f>IF(B33="","",ROW()-6)</f>
      </c>
      <c r="B33" s="75"/>
      <c r="C33" s="78"/>
      <c r="D33" s="79"/>
      <c r="E33" s="75"/>
      <c r="F33" s="75"/>
      <c r="G33" s="75"/>
      <c r="H33" s="75"/>
      <c r="I33" s="77"/>
      <c r="J33" s="76">
        <f>IF(I33="","",MAX(0,TODAY()-I33))</f>
      </c>
      <c r="K33" s="75"/>
      <c r="L33" s="75"/>
      <c r="M33" s="80"/>
      <c r="N33" s="80"/>
      <c r="O33" s="80"/>
      <c r="P33" s="81">
        <f>IF(M33="","",'GİDER AYARLARI'!$B$10)</f>
      </c>
      <c r="Q33" s="81">
        <f>IF(OR(M33="",J33=""),"",M33*'GİDER AYARLARI'!$B$8*J33/30)</f>
      </c>
      <c r="R33" s="81">
        <f>IF(M33="","",M33+P33+Q33)</f>
      </c>
      <c r="S33" s="86">
        <f>IF(OR(N33="",R33=""),"",N33-R33)</f>
      </c>
    </row>
    <row r="34" spans="1:19">
      <c r="A34" s="85">
        <f>IF(B34="","",ROW()-6)</f>
      </c>
      <c r="B34" s="75"/>
      <c r="C34" s="78"/>
      <c r="D34" s="79"/>
      <c r="E34" s="75"/>
      <c r="F34" s="75"/>
      <c r="G34" s="75"/>
      <c r="H34" s="75"/>
      <c r="I34" s="77"/>
      <c r="J34" s="76">
        <f>IF(I34="","",MAX(0,TODAY()-I34))</f>
      </c>
      <c r="K34" s="75"/>
      <c r="L34" s="75"/>
      <c r="M34" s="80"/>
      <c r="N34" s="80"/>
      <c r="O34" s="80"/>
      <c r="P34" s="81">
        <f>IF(M34="","",'GİDER AYARLARI'!$B$10)</f>
      </c>
      <c r="Q34" s="81">
        <f>IF(OR(M34="",J34=""),"",M34*'GİDER AYARLARI'!$B$8*J34/30)</f>
      </c>
      <c r="R34" s="81">
        <f>IF(M34="","",M34+P34+Q34)</f>
      </c>
      <c r="S34" s="86">
        <f>IF(OR(N34="",R34=""),"",N34-R34)</f>
      </c>
    </row>
    <row r="35" spans="1:19">
      <c r="A35" s="85">
        <f>IF(B35="","",ROW()-6)</f>
      </c>
      <c r="B35" s="75"/>
      <c r="C35" s="78"/>
      <c r="D35" s="79"/>
      <c r="E35" s="75"/>
      <c r="F35" s="75"/>
      <c r="G35" s="75"/>
      <c r="H35" s="75"/>
      <c r="I35" s="77"/>
      <c r="J35" s="76">
        <f>IF(I35="","",MAX(0,TODAY()-I35))</f>
      </c>
      <c r="K35" s="75"/>
      <c r="L35" s="75"/>
      <c r="M35" s="80"/>
      <c r="N35" s="80"/>
      <c r="O35" s="80"/>
      <c r="P35" s="81">
        <f>IF(M35="","",'GİDER AYARLARI'!$B$10)</f>
      </c>
      <c r="Q35" s="81">
        <f>IF(OR(M35="",J35=""),"",M35*'GİDER AYARLARI'!$B$8*J35/30)</f>
      </c>
      <c r="R35" s="81">
        <f>IF(M35="","",M35+P35+Q35)</f>
      </c>
      <c r="S35" s="86">
        <f>IF(OR(N35="",R35=""),"",N35-R35)</f>
      </c>
    </row>
    <row r="36" spans="1:19">
      <c r="A36" s="85">
        <f>IF(B36="","",ROW()-6)</f>
      </c>
      <c r="B36" s="75"/>
      <c r="C36" s="78"/>
      <c r="D36" s="79"/>
      <c r="E36" s="75"/>
      <c r="F36" s="75"/>
      <c r="G36" s="75"/>
      <c r="H36" s="75"/>
      <c r="I36" s="77"/>
      <c r="J36" s="76">
        <f>IF(I36="","",MAX(0,TODAY()-I36))</f>
      </c>
      <c r="K36" s="75"/>
      <c r="L36" s="75"/>
      <c r="M36" s="80"/>
      <c r="N36" s="80"/>
      <c r="O36" s="80"/>
      <c r="P36" s="81">
        <f>IF(M36="","",'GİDER AYARLARI'!$B$10)</f>
      </c>
      <c r="Q36" s="81">
        <f>IF(OR(M36="",J36=""),"",M36*'GİDER AYARLARI'!$B$8*J36/30)</f>
      </c>
      <c r="R36" s="81">
        <f>IF(M36="","",M36+P36+Q36)</f>
      </c>
      <c r="S36" s="86">
        <f>IF(OR(N36="",R36=""),"",N36-R36)</f>
      </c>
    </row>
    <row r="37" spans="1:19">
      <c r="A37" s="85">
        <f>IF(B37="","",ROW()-6)</f>
      </c>
      <c r="B37" s="75"/>
      <c r="C37" s="78"/>
      <c r="D37" s="79"/>
      <c r="E37" s="75"/>
      <c r="F37" s="75"/>
      <c r="G37" s="75"/>
      <c r="H37" s="75"/>
      <c r="I37" s="77"/>
      <c r="J37" s="76">
        <f>IF(I37="","",MAX(0,TODAY()-I37))</f>
      </c>
      <c r="K37" s="75"/>
      <c r="L37" s="75"/>
      <c r="M37" s="80"/>
      <c r="N37" s="80"/>
      <c r="O37" s="80"/>
      <c r="P37" s="81">
        <f>IF(M37="","",'GİDER AYARLARI'!$B$10)</f>
      </c>
      <c r="Q37" s="81">
        <f>IF(OR(M37="",J37=""),"",M37*'GİDER AYARLARI'!$B$8*J37/30)</f>
      </c>
      <c r="R37" s="81">
        <f>IF(M37="","",M37+P37+Q37)</f>
      </c>
      <c r="S37" s="86">
        <f>IF(OR(N37="",R37=""),"",N37-R37)</f>
      </c>
    </row>
    <row r="38" spans="1:19">
      <c r="A38" s="85">
        <f>IF(B38="","",ROW()-6)</f>
      </c>
      <c r="B38" s="75"/>
      <c r="C38" s="78"/>
      <c r="D38" s="79"/>
      <c r="E38" s="75"/>
      <c r="F38" s="75"/>
      <c r="G38" s="75"/>
      <c r="H38" s="75"/>
      <c r="I38" s="77"/>
      <c r="J38" s="76">
        <f>IF(I38="","",MAX(0,TODAY()-I38))</f>
      </c>
      <c r="K38" s="75"/>
      <c r="L38" s="75"/>
      <c r="M38" s="80"/>
      <c r="N38" s="80"/>
      <c r="O38" s="80"/>
      <c r="P38" s="81">
        <f>IF(M38="","",'GİDER AYARLARI'!$B$10)</f>
      </c>
      <c r="Q38" s="81">
        <f>IF(OR(M38="",J38=""),"",M38*'GİDER AYARLARI'!$B$8*J38/30)</f>
      </c>
      <c r="R38" s="81">
        <f>IF(M38="","",M38+P38+Q38)</f>
      </c>
      <c r="S38" s="86">
        <f>IF(OR(N38="",R38=""),"",N38-R38)</f>
      </c>
    </row>
    <row r="39" spans="1:19">
      <c r="A39" s="85">
        <f>IF(B39="","",ROW()-6)</f>
      </c>
      <c r="B39" s="75"/>
      <c r="C39" s="78"/>
      <c r="D39" s="79"/>
      <c r="E39" s="75"/>
      <c r="F39" s="75"/>
      <c r="G39" s="75"/>
      <c r="H39" s="75"/>
      <c r="I39" s="77"/>
      <c r="J39" s="76">
        <f>IF(I39="","",MAX(0,TODAY()-I39))</f>
      </c>
      <c r="K39" s="75"/>
      <c r="L39" s="75"/>
      <c r="M39" s="80"/>
      <c r="N39" s="80"/>
      <c r="O39" s="80"/>
      <c r="P39" s="81">
        <f>IF(M39="","",'GİDER AYARLARI'!$B$10)</f>
      </c>
      <c r="Q39" s="81">
        <f>IF(OR(M39="",J39=""),"",M39*'GİDER AYARLARI'!$B$8*J39/30)</f>
      </c>
      <c r="R39" s="81">
        <f>IF(M39="","",M39+P39+Q39)</f>
      </c>
      <c r="S39" s="86">
        <f>IF(OR(N39="",R39=""),"",N39-R39)</f>
      </c>
    </row>
    <row r="40" spans="1:19">
      <c r="A40" s="85">
        <f>IF(B40="","",ROW()-6)</f>
      </c>
      <c r="B40" s="75"/>
      <c r="C40" s="78"/>
      <c r="D40" s="79"/>
      <c r="E40" s="75"/>
      <c r="F40" s="75"/>
      <c r="G40" s="75"/>
      <c r="H40" s="75"/>
      <c r="I40" s="77"/>
      <c r="J40" s="76">
        <f>IF(I40="","",MAX(0,TODAY()-I40))</f>
      </c>
      <c r="K40" s="75"/>
      <c r="L40" s="75"/>
      <c r="M40" s="80"/>
      <c r="N40" s="80"/>
      <c r="O40" s="80"/>
      <c r="P40" s="81">
        <f>IF(M40="","",'GİDER AYARLARI'!$B$10)</f>
      </c>
      <c r="Q40" s="81">
        <f>IF(OR(M40="",J40=""),"",M40*'GİDER AYARLARI'!$B$8*J40/30)</f>
      </c>
      <c r="R40" s="81">
        <f>IF(M40="","",M40+P40+Q40)</f>
      </c>
      <c r="S40" s="86">
        <f>IF(OR(N40="",R40=""),"",N40-R40)</f>
      </c>
    </row>
    <row r="41" spans="1:19">
      <c r="A41" s="85">
        <f>IF(B41="","",ROW()-6)</f>
      </c>
      <c r="B41" s="75"/>
      <c r="C41" s="78"/>
      <c r="D41" s="79"/>
      <c r="E41" s="75"/>
      <c r="F41" s="75"/>
      <c r="G41" s="75"/>
      <c r="H41" s="75"/>
      <c r="I41" s="77"/>
      <c r="J41" s="76">
        <f>IF(I41="","",MAX(0,TODAY()-I41))</f>
      </c>
      <c r="K41" s="75"/>
      <c r="L41" s="75"/>
      <c r="M41" s="80"/>
      <c r="N41" s="80"/>
      <c r="O41" s="80"/>
      <c r="P41" s="81">
        <f>IF(M41="","",'GİDER AYARLARI'!$B$10)</f>
      </c>
      <c r="Q41" s="81">
        <f>IF(OR(M41="",J41=""),"",M41*'GİDER AYARLARI'!$B$8*J41/30)</f>
      </c>
      <c r="R41" s="81">
        <f>IF(M41="","",M41+P41+Q41)</f>
      </c>
      <c r="S41" s="86">
        <f>IF(OR(N41="",R41=""),"",N41-R41)</f>
      </c>
    </row>
    <row r="42" spans="1:19">
      <c r="A42" s="85">
        <f>IF(B42="","",ROW()-6)</f>
      </c>
      <c r="B42" s="75"/>
      <c r="C42" s="78"/>
      <c r="D42" s="79"/>
      <c r="E42" s="75"/>
      <c r="F42" s="75"/>
      <c r="G42" s="75"/>
      <c r="H42" s="75"/>
      <c r="I42" s="77"/>
      <c r="J42" s="76">
        <f>IF(I42="","",MAX(0,TODAY()-I42))</f>
      </c>
      <c r="K42" s="75"/>
      <c r="L42" s="75"/>
      <c r="M42" s="80"/>
      <c r="N42" s="80"/>
      <c r="O42" s="80"/>
      <c r="P42" s="81">
        <f>IF(M42="","",'GİDER AYARLARI'!$B$10)</f>
      </c>
      <c r="Q42" s="81">
        <f>IF(OR(M42="",J42=""),"",M42*'GİDER AYARLARI'!$B$8*J42/30)</f>
      </c>
      <c r="R42" s="81">
        <f>IF(M42="","",M42+P42+Q42)</f>
      </c>
      <c r="S42" s="86">
        <f>IF(OR(N42="",R42=""),"",N42-R42)</f>
      </c>
    </row>
    <row r="43" spans="1:19">
      <c r="A43" s="85">
        <f>IF(B43="","",ROW()-6)</f>
      </c>
      <c r="B43" s="75"/>
      <c r="C43" s="78"/>
      <c r="D43" s="79"/>
      <c r="E43" s="75"/>
      <c r="F43" s="75"/>
      <c r="G43" s="75"/>
      <c r="H43" s="75"/>
      <c r="I43" s="77"/>
      <c r="J43" s="76">
        <f>IF(I43="","",MAX(0,TODAY()-I43))</f>
      </c>
      <c r="K43" s="75"/>
      <c r="L43" s="75"/>
      <c r="M43" s="80"/>
      <c r="N43" s="80"/>
      <c r="O43" s="80"/>
      <c r="P43" s="81">
        <f>IF(M43="","",'GİDER AYARLARI'!$B$10)</f>
      </c>
      <c r="Q43" s="81">
        <f>IF(OR(M43="",J43=""),"",M43*'GİDER AYARLARI'!$B$8*J43/30)</f>
      </c>
      <c r="R43" s="81">
        <f>IF(M43="","",M43+P43+Q43)</f>
      </c>
      <c r="S43" s="86">
        <f>IF(OR(N43="",R43=""),"",N43-R43)</f>
      </c>
    </row>
    <row r="44" spans="1:19">
      <c r="A44" s="85">
        <f>IF(B44="","",ROW()-6)</f>
      </c>
      <c r="B44" s="75"/>
      <c r="C44" s="78"/>
      <c r="D44" s="79"/>
      <c r="E44" s="75"/>
      <c r="F44" s="75"/>
      <c r="G44" s="75"/>
      <c r="H44" s="75"/>
      <c r="I44" s="77"/>
      <c r="J44" s="76">
        <f>IF(I44="","",MAX(0,TODAY()-I44))</f>
      </c>
      <c r="K44" s="75"/>
      <c r="L44" s="75"/>
      <c r="M44" s="80"/>
      <c r="N44" s="80"/>
      <c r="O44" s="80"/>
      <c r="P44" s="81">
        <f>IF(M44="","",'GİDER AYARLARI'!$B$10)</f>
      </c>
      <c r="Q44" s="81">
        <f>IF(OR(M44="",J44=""),"",M44*'GİDER AYARLARI'!$B$8*J44/30)</f>
      </c>
      <c r="R44" s="81">
        <f>IF(M44="","",M44+P44+Q44)</f>
      </c>
      <c r="S44" s="86">
        <f>IF(OR(N44="",R44=""),"",N44-R44)</f>
      </c>
    </row>
    <row r="45" spans="1:19">
      <c r="A45" s="85">
        <f>IF(B45="","",ROW()-6)</f>
      </c>
      <c r="B45" s="75"/>
      <c r="C45" s="78"/>
      <c r="D45" s="79"/>
      <c r="E45" s="75"/>
      <c r="F45" s="75"/>
      <c r="G45" s="75"/>
      <c r="H45" s="75"/>
      <c r="I45" s="77"/>
      <c r="J45" s="76">
        <f>IF(I45="","",MAX(0,TODAY()-I45))</f>
      </c>
      <c r="K45" s="75"/>
      <c r="L45" s="75"/>
      <c r="M45" s="80"/>
      <c r="N45" s="80"/>
      <c r="O45" s="80"/>
      <c r="P45" s="81">
        <f>IF(M45="","",'GİDER AYARLARI'!$B$10)</f>
      </c>
      <c r="Q45" s="81">
        <f>IF(OR(M45="",J45=""),"",M45*'GİDER AYARLARI'!$B$8*J45/30)</f>
      </c>
      <c r="R45" s="81">
        <f>IF(M45="","",M45+P45+Q45)</f>
      </c>
      <c r="S45" s="86">
        <f>IF(OR(N45="",R45=""),"",N45-R45)</f>
      </c>
    </row>
    <row r="46" spans="1:19">
      <c r="A46" s="85">
        <f>IF(B46="","",ROW()-6)</f>
      </c>
      <c r="B46" s="75"/>
      <c r="C46" s="78"/>
      <c r="D46" s="79"/>
      <c r="E46" s="75"/>
      <c r="F46" s="75"/>
      <c r="G46" s="75"/>
      <c r="H46" s="75"/>
      <c r="I46" s="77"/>
      <c r="J46" s="76">
        <f>IF(I46="","",MAX(0,TODAY()-I46))</f>
      </c>
      <c r="K46" s="75"/>
      <c r="L46" s="75"/>
      <c r="M46" s="80"/>
      <c r="N46" s="80"/>
      <c r="O46" s="80"/>
      <c r="P46" s="81">
        <f>IF(M46="","",'GİDER AYARLARI'!$B$10)</f>
      </c>
      <c r="Q46" s="81">
        <f>IF(OR(M46="",J46=""),"",M46*'GİDER AYARLARI'!$B$8*J46/30)</f>
      </c>
      <c r="R46" s="81">
        <f>IF(M46="","",M46+P46+Q46)</f>
      </c>
      <c r="S46" s="86">
        <f>IF(OR(N46="",R46=""),"",N46-R46)</f>
      </c>
    </row>
    <row r="47" spans="1:19">
      <c r="A47" s="85">
        <f>IF(B47="","",ROW()-6)</f>
      </c>
      <c r="B47" s="75"/>
      <c r="C47" s="78"/>
      <c r="D47" s="79"/>
      <c r="E47" s="75"/>
      <c r="F47" s="75"/>
      <c r="G47" s="75"/>
      <c r="H47" s="75"/>
      <c r="I47" s="77"/>
      <c r="J47" s="76">
        <f>IF(I47="","",MAX(0,TODAY()-I47))</f>
      </c>
      <c r="K47" s="75"/>
      <c r="L47" s="75"/>
      <c r="M47" s="80"/>
      <c r="N47" s="80"/>
      <c r="O47" s="80"/>
      <c r="P47" s="81">
        <f>IF(M47="","",'GİDER AYARLARI'!$B$10)</f>
      </c>
      <c r="Q47" s="81">
        <f>IF(OR(M47="",J47=""),"",M47*'GİDER AYARLARI'!$B$8*J47/30)</f>
      </c>
      <c r="R47" s="81">
        <f>IF(M47="","",M47+P47+Q47)</f>
      </c>
      <c r="S47" s="86">
        <f>IF(OR(N47="",R47=""),"",N47-R47)</f>
      </c>
    </row>
    <row r="48" spans="1:19">
      <c r="A48" s="85">
        <f>IF(B48="","",ROW()-6)</f>
      </c>
      <c r="B48" s="75"/>
      <c r="C48" s="78"/>
      <c r="D48" s="79"/>
      <c r="E48" s="75"/>
      <c r="F48" s="75"/>
      <c r="G48" s="75"/>
      <c r="H48" s="75"/>
      <c r="I48" s="77"/>
      <c r="J48" s="76">
        <f>IF(I48="","",MAX(0,TODAY()-I48))</f>
      </c>
      <c r="K48" s="75"/>
      <c r="L48" s="75"/>
      <c r="M48" s="80"/>
      <c r="N48" s="80"/>
      <c r="O48" s="80"/>
      <c r="P48" s="81">
        <f>IF(M48="","",'GİDER AYARLARI'!$B$10)</f>
      </c>
      <c r="Q48" s="81">
        <f>IF(OR(M48="",J48=""),"",M48*'GİDER AYARLARI'!$B$8*J48/30)</f>
      </c>
      <c r="R48" s="81">
        <f>IF(M48="","",M48+P48+Q48)</f>
      </c>
      <c r="S48" s="86">
        <f>IF(OR(N48="",R48=""),"",N48-R48)</f>
      </c>
    </row>
    <row r="49" spans="1:19">
      <c r="A49" s="85">
        <f>IF(B49="","",ROW()-6)</f>
      </c>
      <c r="B49" s="75"/>
      <c r="C49" s="78"/>
      <c r="D49" s="79"/>
      <c r="E49" s="75"/>
      <c r="F49" s="75"/>
      <c r="G49" s="75"/>
      <c r="H49" s="75"/>
      <c r="I49" s="77"/>
      <c r="J49" s="76">
        <f>IF(I49="","",MAX(0,TODAY()-I49))</f>
      </c>
      <c r="K49" s="75"/>
      <c r="L49" s="75"/>
      <c r="M49" s="80"/>
      <c r="N49" s="80"/>
      <c r="O49" s="80"/>
      <c r="P49" s="81">
        <f>IF(M49="","",'GİDER AYARLARI'!$B$10)</f>
      </c>
      <c r="Q49" s="81">
        <f>IF(OR(M49="",J49=""),"",M49*'GİDER AYARLARI'!$B$8*J49/30)</f>
      </c>
      <c r="R49" s="81">
        <f>IF(M49="","",M49+P49+Q49)</f>
      </c>
      <c r="S49" s="86">
        <f>IF(OR(N49="",R49=""),"",N49-R49)</f>
      </c>
    </row>
    <row r="50" spans="1:19">
      <c r="A50" s="85">
        <f>IF(B50="","",ROW()-6)</f>
      </c>
      <c r="B50" s="75"/>
      <c r="C50" s="78"/>
      <c r="D50" s="79"/>
      <c r="E50" s="75"/>
      <c r="F50" s="75"/>
      <c r="G50" s="75"/>
      <c r="H50" s="75"/>
      <c r="I50" s="77"/>
      <c r="J50" s="76">
        <f>IF(I50="","",MAX(0,TODAY()-I50))</f>
      </c>
      <c r="K50" s="75"/>
      <c r="L50" s="75"/>
      <c r="M50" s="80"/>
      <c r="N50" s="80"/>
      <c r="O50" s="80"/>
      <c r="P50" s="81">
        <f>IF(M50="","",'GİDER AYARLARI'!$B$10)</f>
      </c>
      <c r="Q50" s="81">
        <f>IF(OR(M50="",J50=""),"",M50*'GİDER AYARLARI'!$B$8*J50/30)</f>
      </c>
      <c r="R50" s="81">
        <f>IF(M50="","",M50+P50+Q50)</f>
      </c>
      <c r="S50" s="86">
        <f>IF(OR(N50="",R50=""),"",N50-R50)</f>
      </c>
    </row>
    <row r="51" spans="1:19">
      <c r="A51" s="85">
        <f>IF(B51="","",ROW()-6)</f>
      </c>
      <c r="B51" s="75"/>
      <c r="C51" s="78"/>
      <c r="D51" s="79"/>
      <c r="E51" s="75"/>
      <c r="F51" s="75"/>
      <c r="G51" s="75"/>
      <c r="H51" s="75"/>
      <c r="I51" s="77"/>
      <c r="J51" s="76">
        <f>IF(I51="","",MAX(0,TODAY()-I51))</f>
      </c>
      <c r="K51" s="75"/>
      <c r="L51" s="75"/>
      <c r="M51" s="80"/>
      <c r="N51" s="80"/>
      <c r="O51" s="80"/>
      <c r="P51" s="81">
        <f>IF(M51="","",'GİDER AYARLARI'!$B$10)</f>
      </c>
      <c r="Q51" s="81">
        <f>IF(OR(M51="",J51=""),"",M51*'GİDER AYARLARI'!$B$8*J51/30)</f>
      </c>
      <c r="R51" s="81">
        <f>IF(M51="","",M51+P51+Q51)</f>
      </c>
      <c r="S51" s="86">
        <f>IF(OR(N51="",R51=""),"",N51-R51)</f>
      </c>
    </row>
    <row r="52" spans="1:19">
      <c r="A52" s="85">
        <f>IF(B52="","",ROW()-6)</f>
      </c>
      <c r="B52" s="75"/>
      <c r="C52" s="78"/>
      <c r="D52" s="79"/>
      <c r="E52" s="75"/>
      <c r="F52" s="75"/>
      <c r="G52" s="75"/>
      <c r="H52" s="75"/>
      <c r="I52" s="77"/>
      <c r="J52" s="76">
        <f>IF(I52="","",MAX(0,TODAY()-I52))</f>
      </c>
      <c r="K52" s="75"/>
      <c r="L52" s="75"/>
      <c r="M52" s="80"/>
      <c r="N52" s="80"/>
      <c r="O52" s="80"/>
      <c r="P52" s="81">
        <f>IF(M52="","",'GİDER AYARLARI'!$B$10)</f>
      </c>
      <c r="Q52" s="81">
        <f>IF(OR(M52="",J52=""),"",M52*'GİDER AYARLARI'!$B$8*J52/30)</f>
      </c>
      <c r="R52" s="81">
        <f>IF(M52="","",M52+P52+Q52)</f>
      </c>
      <c r="S52" s="86">
        <f>IF(OR(N52="",R52=""),"",N52-R52)</f>
      </c>
    </row>
    <row r="53" spans="1:19">
      <c r="A53" s="85">
        <f>IF(B53="","",ROW()-6)</f>
      </c>
      <c r="B53" s="75"/>
      <c r="C53" s="78"/>
      <c r="D53" s="79"/>
      <c r="E53" s="75"/>
      <c r="F53" s="75"/>
      <c r="G53" s="75"/>
      <c r="H53" s="75"/>
      <c r="I53" s="77"/>
      <c r="J53" s="76">
        <f>IF(I53="","",MAX(0,TODAY()-I53))</f>
      </c>
      <c r="K53" s="75"/>
      <c r="L53" s="75"/>
      <c r="M53" s="80"/>
      <c r="N53" s="80"/>
      <c r="O53" s="80"/>
      <c r="P53" s="81">
        <f>IF(M53="","",'GİDER AYARLARI'!$B$10)</f>
      </c>
      <c r="Q53" s="81">
        <f>IF(OR(M53="",J53=""),"",M53*'GİDER AYARLARI'!$B$8*J53/30)</f>
      </c>
      <c r="R53" s="81">
        <f>IF(M53="","",M53+P53+Q53)</f>
      </c>
      <c r="S53" s="86">
        <f>IF(OR(N53="",R53=""),"",N53-R53)</f>
      </c>
    </row>
    <row r="54" spans="1:19">
      <c r="A54" s="85">
        <f>IF(B54="","",ROW()-6)</f>
      </c>
      <c r="B54" s="75"/>
      <c r="C54" s="78"/>
      <c r="D54" s="79"/>
      <c r="E54" s="75"/>
      <c r="F54" s="75"/>
      <c r="G54" s="75"/>
      <c r="H54" s="75"/>
      <c r="I54" s="77"/>
      <c r="J54" s="76">
        <f>IF(I54="","",MAX(0,TODAY()-I54))</f>
      </c>
      <c r="K54" s="75"/>
      <c r="L54" s="75"/>
      <c r="M54" s="80"/>
      <c r="N54" s="80"/>
      <c r="O54" s="80"/>
      <c r="P54" s="81">
        <f>IF(M54="","",'GİDER AYARLARI'!$B$10)</f>
      </c>
      <c r="Q54" s="81">
        <f>IF(OR(M54="",J54=""),"",M54*'GİDER AYARLARI'!$B$8*J54/30)</f>
      </c>
      <c r="R54" s="81">
        <f>IF(M54="","",M54+P54+Q54)</f>
      </c>
      <c r="S54" s="86">
        <f>IF(OR(N54="",R54=""),"",N54-R54)</f>
      </c>
    </row>
    <row r="55" spans="1:19">
      <c r="A55" s="85">
        <f>IF(B55="","",ROW()-6)</f>
      </c>
      <c r="B55" s="75"/>
      <c r="C55" s="78"/>
      <c r="D55" s="79"/>
      <c r="E55" s="75"/>
      <c r="F55" s="75"/>
      <c r="G55" s="75"/>
      <c r="H55" s="75"/>
      <c r="I55" s="77"/>
      <c r="J55" s="76">
        <f>IF(I55="","",MAX(0,TODAY()-I55))</f>
      </c>
      <c r="K55" s="75"/>
      <c r="L55" s="75"/>
      <c r="M55" s="80"/>
      <c r="N55" s="80"/>
      <c r="O55" s="80"/>
      <c r="P55" s="81">
        <f>IF(M55="","",'GİDER AYARLARI'!$B$10)</f>
      </c>
      <c r="Q55" s="81">
        <f>IF(OR(M55="",J55=""),"",M55*'GİDER AYARLARI'!$B$8*J55/30)</f>
      </c>
      <c r="R55" s="81">
        <f>IF(M55="","",M55+P55+Q55)</f>
      </c>
      <c r="S55" s="86">
        <f>IF(OR(N55="",R55=""),"",N55-R55)</f>
      </c>
    </row>
    <row r="56" spans="1:19">
      <c r="A56" s="85">
        <f>IF(B56="","",ROW()-6)</f>
      </c>
      <c r="B56" s="75"/>
      <c r="C56" s="78"/>
      <c r="D56" s="79"/>
      <c r="E56" s="75"/>
      <c r="F56" s="75"/>
      <c r="G56" s="75"/>
      <c r="H56" s="75"/>
      <c r="I56" s="77"/>
      <c r="J56" s="76">
        <f>IF(I56="","",MAX(0,TODAY()-I56))</f>
      </c>
      <c r="K56" s="75"/>
      <c r="L56" s="75"/>
      <c r="M56" s="80"/>
      <c r="N56" s="80"/>
      <c r="O56" s="80"/>
      <c r="P56" s="81">
        <f>IF(M56="","",'GİDER AYARLARI'!$B$10)</f>
      </c>
      <c r="Q56" s="81">
        <f>IF(OR(M56="",J56=""),"",M56*'GİDER AYARLARI'!$B$8*J56/30)</f>
      </c>
      <c r="R56" s="81">
        <f>IF(M56="","",M56+P56+Q56)</f>
      </c>
      <c r="S56" s="86">
        <f>IF(OR(N56="",R56=""),"",N56-R56)</f>
      </c>
    </row>
    <row r="57" spans="1:19">
      <c r="A57" s="85">
        <f>IF(B57="","",ROW()-6)</f>
      </c>
      <c r="B57" s="75"/>
      <c r="C57" s="78"/>
      <c r="D57" s="79"/>
      <c r="E57" s="75"/>
      <c r="F57" s="75"/>
      <c r="G57" s="75"/>
      <c r="H57" s="75"/>
      <c r="I57" s="77"/>
      <c r="J57" s="76">
        <f>IF(I57="","",MAX(0,TODAY()-I57))</f>
      </c>
      <c r="K57" s="75"/>
      <c r="L57" s="75"/>
      <c r="M57" s="80"/>
      <c r="N57" s="80"/>
      <c r="O57" s="80"/>
      <c r="P57" s="81">
        <f>IF(M57="","",'GİDER AYARLARI'!$B$10)</f>
      </c>
      <c r="Q57" s="81">
        <f>IF(OR(M57="",J57=""),"",M57*'GİDER AYARLARI'!$B$8*J57/30)</f>
      </c>
      <c r="R57" s="81">
        <f>IF(M57="","",M57+P57+Q57)</f>
      </c>
      <c r="S57" s="86">
        <f>IF(OR(N57="",R57=""),"",N57-R57)</f>
      </c>
    </row>
    <row r="58" spans="1:19">
      <c r="A58" s="85">
        <f>IF(B58="","",ROW()-6)</f>
      </c>
      <c r="B58" s="75"/>
      <c r="C58" s="78"/>
      <c r="D58" s="79"/>
      <c r="E58" s="75"/>
      <c r="F58" s="75"/>
      <c r="G58" s="75"/>
      <c r="H58" s="75"/>
      <c r="I58" s="77"/>
      <c r="J58" s="76">
        <f>IF(I58="","",MAX(0,TODAY()-I58))</f>
      </c>
      <c r="K58" s="75"/>
      <c r="L58" s="75"/>
      <c r="M58" s="80"/>
      <c r="N58" s="80"/>
      <c r="O58" s="80"/>
      <c r="P58" s="81">
        <f>IF(M58="","",'GİDER AYARLARI'!$B$10)</f>
      </c>
      <c r="Q58" s="81">
        <f>IF(OR(M58="",J58=""),"",M58*'GİDER AYARLARI'!$B$8*J58/30)</f>
      </c>
      <c r="R58" s="81">
        <f>IF(M58="","",M58+P58+Q58)</f>
      </c>
      <c r="S58" s="86">
        <f>IF(OR(N58="",R58=""),"",N58-R58)</f>
      </c>
    </row>
    <row r="59" spans="1:19">
      <c r="A59" s="85">
        <f>IF(B59="","",ROW()-6)</f>
      </c>
      <c r="B59" s="75"/>
      <c r="C59" s="78"/>
      <c r="D59" s="79"/>
      <c r="E59" s="75"/>
      <c r="F59" s="75"/>
      <c r="G59" s="75"/>
      <c r="H59" s="75"/>
      <c r="I59" s="77"/>
      <c r="J59" s="76">
        <f>IF(I59="","",MAX(0,TODAY()-I59))</f>
      </c>
      <c r="K59" s="75"/>
      <c r="L59" s="75"/>
      <c r="M59" s="80"/>
      <c r="N59" s="80"/>
      <c r="O59" s="80"/>
      <c r="P59" s="81">
        <f>IF(M59="","",'GİDER AYARLARI'!$B$10)</f>
      </c>
      <c r="Q59" s="81">
        <f>IF(OR(M59="",J59=""),"",M59*'GİDER AYARLARI'!$B$8*J59/30)</f>
      </c>
      <c r="R59" s="81">
        <f>IF(M59="","",M59+P59+Q59)</f>
      </c>
      <c r="S59" s="86">
        <f>IF(OR(N59="",R59=""),"",N59-R59)</f>
      </c>
    </row>
    <row r="60" spans="1:19">
      <c r="A60" s="85">
        <f>IF(B60="","",ROW()-6)</f>
      </c>
      <c r="B60" s="75"/>
      <c r="C60" s="78"/>
      <c r="D60" s="79"/>
      <c r="E60" s="75"/>
      <c r="F60" s="75"/>
      <c r="G60" s="75"/>
      <c r="H60" s="75"/>
      <c r="I60" s="77"/>
      <c r="J60" s="76">
        <f>IF(I60="","",MAX(0,TODAY()-I60))</f>
      </c>
      <c r="K60" s="75"/>
      <c r="L60" s="75"/>
      <c r="M60" s="80"/>
      <c r="N60" s="80"/>
      <c r="O60" s="80"/>
      <c r="P60" s="81">
        <f>IF(M60="","",'GİDER AYARLARI'!$B$10)</f>
      </c>
      <c r="Q60" s="81">
        <f>IF(OR(M60="",J60=""),"",M60*'GİDER AYARLARI'!$B$8*J60/30)</f>
      </c>
      <c r="R60" s="81">
        <f>IF(M60="","",M60+P60+Q60)</f>
      </c>
      <c r="S60" s="86">
        <f>IF(OR(N60="",R60=""),"",N60-R60)</f>
      </c>
    </row>
    <row r="61" spans="1:19">
      <c r="A61" s="85">
        <f>IF(B61="","",ROW()-6)</f>
      </c>
      <c r="B61" s="75"/>
      <c r="C61" s="78"/>
      <c r="D61" s="79"/>
      <c r="E61" s="75"/>
      <c r="F61" s="75"/>
      <c r="G61" s="75"/>
      <c r="H61" s="75"/>
      <c r="I61" s="77"/>
      <c r="J61" s="76">
        <f>IF(I61="","",MAX(0,TODAY()-I61))</f>
      </c>
      <c r="K61" s="75"/>
      <c r="L61" s="75"/>
      <c r="M61" s="80"/>
      <c r="N61" s="80"/>
      <c r="O61" s="80"/>
      <c r="P61" s="81">
        <f>IF(M61="","",'GİDER AYARLARI'!$B$10)</f>
      </c>
      <c r="Q61" s="81">
        <f>IF(OR(M61="",J61=""),"",M61*'GİDER AYARLARI'!$B$8*J61/30)</f>
      </c>
      <c r="R61" s="81">
        <f>IF(M61="","",M61+P61+Q61)</f>
      </c>
      <c r="S61" s="86">
        <f>IF(OR(N61="",R61=""),"",N61-R61)</f>
      </c>
    </row>
    <row r="62" spans="1:19">
      <c r="A62" s="85">
        <f>IF(B62="","",ROW()-6)</f>
      </c>
      <c r="B62" s="75"/>
      <c r="C62" s="78"/>
      <c r="D62" s="79"/>
      <c r="E62" s="75"/>
      <c r="F62" s="75"/>
      <c r="G62" s="75"/>
      <c r="H62" s="75"/>
      <c r="I62" s="77"/>
      <c r="J62" s="76">
        <f>IF(I62="","",MAX(0,TODAY()-I62))</f>
      </c>
      <c r="K62" s="75"/>
      <c r="L62" s="75"/>
      <c r="M62" s="80"/>
      <c r="N62" s="80"/>
      <c r="O62" s="80"/>
      <c r="P62" s="81">
        <f>IF(M62="","",'GİDER AYARLARI'!$B$10)</f>
      </c>
      <c r="Q62" s="81">
        <f>IF(OR(M62="",J62=""),"",M62*'GİDER AYARLARI'!$B$8*J62/30)</f>
      </c>
      <c r="R62" s="81">
        <f>IF(M62="","",M62+P62+Q62)</f>
      </c>
      <c r="S62" s="86">
        <f>IF(OR(N62="",R62=""),"",N62-R62)</f>
      </c>
    </row>
    <row r="63" spans="1:19">
      <c r="A63" s="85">
        <f>IF(B63="","",ROW()-6)</f>
      </c>
      <c r="B63" s="75"/>
      <c r="C63" s="78"/>
      <c r="D63" s="79"/>
      <c r="E63" s="75"/>
      <c r="F63" s="75"/>
      <c r="G63" s="75"/>
      <c r="H63" s="75"/>
      <c r="I63" s="77"/>
      <c r="J63" s="76">
        <f>IF(I63="","",MAX(0,TODAY()-I63))</f>
      </c>
      <c r="K63" s="75"/>
      <c r="L63" s="75"/>
      <c r="M63" s="80"/>
      <c r="N63" s="80"/>
      <c r="O63" s="80"/>
      <c r="P63" s="81">
        <f>IF(M63="","",'GİDER AYARLARI'!$B$10)</f>
      </c>
      <c r="Q63" s="81">
        <f>IF(OR(M63="",J63=""),"",M63*'GİDER AYARLARI'!$B$8*J63/30)</f>
      </c>
      <c r="R63" s="81">
        <f>IF(M63="","",M63+P63+Q63)</f>
      </c>
      <c r="S63" s="86">
        <f>IF(OR(N63="",R63=""),"",N63-R63)</f>
      </c>
    </row>
    <row r="64" spans="1:19">
      <c r="A64" s="85">
        <f>IF(B64="","",ROW()-6)</f>
      </c>
      <c r="B64" s="75"/>
      <c r="C64" s="78"/>
      <c r="D64" s="79"/>
      <c r="E64" s="75"/>
      <c r="F64" s="75"/>
      <c r="G64" s="75"/>
      <c r="H64" s="75"/>
      <c r="I64" s="77"/>
      <c r="J64" s="76">
        <f>IF(I64="","",MAX(0,TODAY()-I64))</f>
      </c>
      <c r="K64" s="75"/>
      <c r="L64" s="75"/>
      <c r="M64" s="80"/>
      <c r="N64" s="80"/>
      <c r="O64" s="80"/>
      <c r="P64" s="81">
        <f>IF(M64="","",'GİDER AYARLARI'!$B$10)</f>
      </c>
      <c r="Q64" s="81">
        <f>IF(OR(M64="",J64=""),"",M64*'GİDER AYARLARI'!$B$8*J64/30)</f>
      </c>
      <c r="R64" s="81">
        <f>IF(M64="","",M64+P64+Q64)</f>
      </c>
      <c r="S64" s="86">
        <f>IF(OR(N64="",R64=""),"",N64-R64)</f>
      </c>
    </row>
    <row r="65" spans="1:19">
      <c r="A65" s="85">
        <f>IF(B65="","",ROW()-6)</f>
      </c>
      <c r="B65" s="75"/>
      <c r="C65" s="78"/>
      <c r="D65" s="79"/>
      <c r="E65" s="75"/>
      <c r="F65" s="75"/>
      <c r="G65" s="75"/>
      <c r="H65" s="75"/>
      <c r="I65" s="77"/>
      <c r="J65" s="76">
        <f>IF(I65="","",MAX(0,TODAY()-I65))</f>
      </c>
      <c r="K65" s="75"/>
      <c r="L65" s="75"/>
      <c r="M65" s="80"/>
      <c r="N65" s="80"/>
      <c r="O65" s="80"/>
      <c r="P65" s="81">
        <f>IF(M65="","",'GİDER AYARLARI'!$B$10)</f>
      </c>
      <c r="Q65" s="81">
        <f>IF(OR(M65="",J65=""),"",M65*'GİDER AYARLARI'!$B$8*J65/30)</f>
      </c>
      <c r="R65" s="81">
        <f>IF(M65="","",M65+P65+Q65)</f>
      </c>
      <c r="S65" s="86">
        <f>IF(OR(N65="",R65=""),"",N65-R65)</f>
      </c>
    </row>
    <row r="66" spans="1:19">
      <c r="A66" s="85">
        <f>IF(B66="","",ROW()-6)</f>
      </c>
      <c r="B66" s="75"/>
      <c r="C66" s="78"/>
      <c r="D66" s="79"/>
      <c r="E66" s="75"/>
      <c r="F66" s="75"/>
      <c r="G66" s="75"/>
      <c r="H66" s="75"/>
      <c r="I66" s="77"/>
      <c r="J66" s="76">
        <f>IF(I66="","",MAX(0,TODAY()-I66))</f>
      </c>
      <c r="K66" s="75"/>
      <c r="L66" s="75"/>
      <c r="M66" s="80"/>
      <c r="N66" s="80"/>
      <c r="O66" s="80"/>
      <c r="P66" s="81">
        <f>IF(M66="","",'GİDER AYARLARI'!$B$10)</f>
      </c>
      <c r="Q66" s="81">
        <f>IF(OR(M66="",J66=""),"",M66*'GİDER AYARLARI'!$B$8*J66/30)</f>
      </c>
      <c r="R66" s="81">
        <f>IF(M66="","",M66+P66+Q66)</f>
      </c>
      <c r="S66" s="86">
        <f>IF(OR(N66="",R66=""),"",N66-R66)</f>
      </c>
    </row>
    <row r="67" spans="1:19">
      <c r="A67" s="85">
        <f>IF(B67="","",ROW()-6)</f>
      </c>
      <c r="B67" s="75"/>
      <c r="C67" s="78"/>
      <c r="D67" s="79"/>
      <c r="E67" s="75"/>
      <c r="F67" s="75"/>
      <c r="G67" s="75"/>
      <c r="H67" s="75"/>
      <c r="I67" s="77"/>
      <c r="J67" s="76">
        <f>IF(I67="","",MAX(0,TODAY()-I67))</f>
      </c>
      <c r="K67" s="75"/>
      <c r="L67" s="75"/>
      <c r="M67" s="80"/>
      <c r="N67" s="80"/>
      <c r="O67" s="80"/>
      <c r="P67" s="81">
        <f>IF(M67="","",'GİDER AYARLARI'!$B$10)</f>
      </c>
      <c r="Q67" s="81">
        <f>IF(OR(M67="",J67=""),"",M67*'GİDER AYARLARI'!$B$8*J67/30)</f>
      </c>
      <c r="R67" s="81">
        <f>IF(M67="","",M67+P67+Q67)</f>
      </c>
      <c r="S67" s="86">
        <f>IF(OR(N67="",R67=""),"",N67-R67)</f>
      </c>
    </row>
    <row r="68" spans="1:19">
      <c r="A68" s="85">
        <f>IF(B68="","",ROW()-6)</f>
      </c>
      <c r="B68" s="75"/>
      <c r="C68" s="78"/>
      <c r="D68" s="79"/>
      <c r="E68" s="75"/>
      <c r="F68" s="75"/>
      <c r="G68" s="75"/>
      <c r="H68" s="75"/>
      <c r="I68" s="77"/>
      <c r="J68" s="76">
        <f>IF(I68="","",MAX(0,TODAY()-I68))</f>
      </c>
      <c r="K68" s="75"/>
      <c r="L68" s="75"/>
      <c r="M68" s="80"/>
      <c r="N68" s="80"/>
      <c r="O68" s="80"/>
      <c r="P68" s="81">
        <f>IF(M68="","",'GİDER AYARLARI'!$B$10)</f>
      </c>
      <c r="Q68" s="81">
        <f>IF(OR(M68="",J68=""),"",M68*'GİDER AYARLARI'!$B$8*J68/30)</f>
      </c>
      <c r="R68" s="81">
        <f>IF(M68="","",M68+P68+Q68)</f>
      </c>
      <c r="S68" s="86">
        <f>IF(OR(N68="",R68=""),"",N68-R68)</f>
      </c>
    </row>
    <row r="69" spans="1:19">
      <c r="A69" s="85">
        <f>IF(B69="","",ROW()-6)</f>
      </c>
      <c r="B69" s="75"/>
      <c r="C69" s="78"/>
      <c r="D69" s="79"/>
      <c r="E69" s="75"/>
      <c r="F69" s="75"/>
      <c r="G69" s="75"/>
      <c r="H69" s="75"/>
      <c r="I69" s="77"/>
      <c r="J69" s="76">
        <f>IF(I69="","",MAX(0,TODAY()-I69))</f>
      </c>
      <c r="K69" s="75"/>
      <c r="L69" s="75"/>
      <c r="M69" s="80"/>
      <c r="N69" s="80"/>
      <c r="O69" s="80"/>
      <c r="P69" s="81">
        <f>IF(M69="","",'GİDER AYARLARI'!$B$10)</f>
      </c>
      <c r="Q69" s="81">
        <f>IF(OR(M69="",J69=""),"",M69*'GİDER AYARLARI'!$B$8*J69/30)</f>
      </c>
      <c r="R69" s="81">
        <f>IF(M69="","",M69+P69+Q69)</f>
      </c>
      <c r="S69" s="86">
        <f>IF(OR(N69="",R69=""),"",N69-R69)</f>
      </c>
    </row>
    <row r="70" spans="1:19">
      <c r="A70" s="85">
        <f>IF(B70="","",ROW()-6)</f>
      </c>
      <c r="B70" s="75"/>
      <c r="C70" s="78"/>
      <c r="D70" s="79"/>
      <c r="E70" s="75"/>
      <c r="F70" s="75"/>
      <c r="G70" s="75"/>
      <c r="H70" s="75"/>
      <c r="I70" s="77"/>
      <c r="J70" s="76">
        <f>IF(I70="","",MAX(0,TODAY()-I70))</f>
      </c>
      <c r="K70" s="75"/>
      <c r="L70" s="75"/>
      <c r="M70" s="80"/>
      <c r="N70" s="80"/>
      <c r="O70" s="80"/>
      <c r="P70" s="81">
        <f>IF(M70="","",'GİDER AYARLARI'!$B$10)</f>
      </c>
      <c r="Q70" s="81">
        <f>IF(OR(M70="",J70=""),"",M70*'GİDER AYARLARI'!$B$8*J70/30)</f>
      </c>
      <c r="R70" s="81">
        <f>IF(M70="","",M70+P70+Q70)</f>
      </c>
      <c r="S70" s="86">
        <f>IF(OR(N70="",R70=""),"",N70-R70)</f>
      </c>
    </row>
    <row r="71" spans="1:19">
      <c r="A71" s="85">
        <f>IF(B71="","",ROW()-6)</f>
      </c>
      <c r="B71" s="75"/>
      <c r="C71" s="78"/>
      <c r="D71" s="79"/>
      <c r="E71" s="75"/>
      <c r="F71" s="75"/>
      <c r="G71" s="75"/>
      <c r="H71" s="75"/>
      <c r="I71" s="77"/>
      <c r="J71" s="76">
        <f>IF(I71="","",MAX(0,TODAY()-I71))</f>
      </c>
      <c r="K71" s="75"/>
      <c r="L71" s="75"/>
      <c r="M71" s="80"/>
      <c r="N71" s="80"/>
      <c r="O71" s="80"/>
      <c r="P71" s="81">
        <f>IF(M71="","",'GİDER AYARLARI'!$B$10)</f>
      </c>
      <c r="Q71" s="81">
        <f>IF(OR(M71="",J71=""),"",M71*'GİDER AYARLARI'!$B$8*J71/30)</f>
      </c>
      <c r="R71" s="81">
        <f>IF(M71="","",M71+P71+Q71)</f>
      </c>
      <c r="S71" s="86">
        <f>IF(OR(N71="",R71=""),"",N71-R71)</f>
      </c>
    </row>
    <row r="72" spans="1:19">
      <c r="A72" s="85">
        <f>IF(B72="","",ROW()-6)</f>
      </c>
      <c r="B72" s="75"/>
      <c r="C72" s="78"/>
      <c r="D72" s="79"/>
      <c r="E72" s="75"/>
      <c r="F72" s="75"/>
      <c r="G72" s="75"/>
      <c r="H72" s="75"/>
      <c r="I72" s="77"/>
      <c r="J72" s="76">
        <f>IF(I72="","",MAX(0,TODAY()-I72))</f>
      </c>
      <c r="K72" s="75"/>
      <c r="L72" s="75"/>
      <c r="M72" s="80"/>
      <c r="N72" s="80"/>
      <c r="O72" s="80"/>
      <c r="P72" s="81">
        <f>IF(M72="","",'GİDER AYARLARI'!$B$10)</f>
      </c>
      <c r="Q72" s="81">
        <f>IF(OR(M72="",J72=""),"",M72*'GİDER AYARLARI'!$B$8*J72/30)</f>
      </c>
      <c r="R72" s="81">
        <f>IF(M72="","",M72+P72+Q72)</f>
      </c>
      <c r="S72" s="86">
        <f>IF(OR(N72="",R72=""),"",N72-R72)</f>
      </c>
    </row>
    <row r="73" spans="1:19">
      <c r="A73" s="85">
        <f>IF(B73="","",ROW()-6)</f>
      </c>
      <c r="B73" s="75"/>
      <c r="C73" s="78"/>
      <c r="D73" s="79"/>
      <c r="E73" s="75"/>
      <c r="F73" s="75"/>
      <c r="G73" s="75"/>
      <c r="H73" s="75"/>
      <c r="I73" s="77"/>
      <c r="J73" s="76">
        <f>IF(I73="","",MAX(0,TODAY()-I73))</f>
      </c>
      <c r="K73" s="75"/>
      <c r="L73" s="75"/>
      <c r="M73" s="80"/>
      <c r="N73" s="80"/>
      <c r="O73" s="80"/>
      <c r="P73" s="81">
        <f>IF(M73="","",'GİDER AYARLARI'!$B$10)</f>
      </c>
      <c r="Q73" s="81">
        <f>IF(OR(M73="",J73=""),"",M73*'GİDER AYARLARI'!$B$8*J73/30)</f>
      </c>
      <c r="R73" s="81">
        <f>IF(M73="","",M73+P73+Q73)</f>
      </c>
      <c r="S73" s="86">
        <f>IF(OR(N73="",R73=""),"",N73-R73)</f>
      </c>
    </row>
    <row r="74" spans="1:19">
      <c r="A74" s="85">
        <f>IF(B74="","",ROW()-6)</f>
      </c>
      <c r="B74" s="75"/>
      <c r="C74" s="78"/>
      <c r="D74" s="79"/>
      <c r="E74" s="75"/>
      <c r="F74" s="75"/>
      <c r="G74" s="75"/>
      <c r="H74" s="75"/>
      <c r="I74" s="77"/>
      <c r="J74" s="76">
        <f>IF(I74="","",MAX(0,TODAY()-I74))</f>
      </c>
      <c r="K74" s="75"/>
      <c r="L74" s="75"/>
      <c r="M74" s="80"/>
      <c r="N74" s="80"/>
      <c r="O74" s="80"/>
      <c r="P74" s="81">
        <f>IF(M74="","",'GİDER AYARLARI'!$B$10)</f>
      </c>
      <c r="Q74" s="81">
        <f>IF(OR(M74="",J74=""),"",M74*'GİDER AYARLARI'!$B$8*J74/30)</f>
      </c>
      <c r="R74" s="81">
        <f>IF(M74="","",M74+P74+Q74)</f>
      </c>
      <c r="S74" s="86">
        <f>IF(OR(N74="",R74=""),"",N74-R74)</f>
      </c>
    </row>
    <row r="75" spans="1:19">
      <c r="A75" s="85">
        <f>IF(B75="","",ROW()-6)</f>
      </c>
      <c r="B75" s="75"/>
      <c r="C75" s="78"/>
      <c r="D75" s="79"/>
      <c r="E75" s="75"/>
      <c r="F75" s="75"/>
      <c r="G75" s="75"/>
      <c r="H75" s="75"/>
      <c r="I75" s="77"/>
      <c r="J75" s="76">
        <f>IF(I75="","",MAX(0,TODAY()-I75))</f>
      </c>
      <c r="K75" s="75"/>
      <c r="L75" s="75"/>
      <c r="M75" s="80"/>
      <c r="N75" s="80"/>
      <c r="O75" s="80"/>
      <c r="P75" s="81">
        <f>IF(M75="","",'GİDER AYARLARI'!$B$10)</f>
      </c>
      <c r="Q75" s="81">
        <f>IF(OR(M75="",J75=""),"",M75*'GİDER AYARLARI'!$B$8*J75/30)</f>
      </c>
      <c r="R75" s="81">
        <f>IF(M75="","",M75+P75+Q75)</f>
      </c>
      <c r="S75" s="86">
        <f>IF(OR(N75="",R75=""),"",N75-R75)</f>
      </c>
    </row>
    <row r="76" spans="1:19">
      <c r="A76" s="85">
        <f>IF(B76="","",ROW()-6)</f>
      </c>
      <c r="B76" s="75"/>
      <c r="C76" s="78"/>
      <c r="D76" s="79"/>
      <c r="E76" s="75"/>
      <c r="F76" s="75"/>
      <c r="G76" s="75"/>
      <c r="H76" s="75"/>
      <c r="I76" s="77"/>
      <c r="J76" s="76">
        <f>IF(I76="","",MAX(0,TODAY()-I76))</f>
      </c>
      <c r="K76" s="75"/>
      <c r="L76" s="75"/>
      <c r="M76" s="80"/>
      <c r="N76" s="80"/>
      <c r="O76" s="80"/>
      <c r="P76" s="81">
        <f>IF(M76="","",'GİDER AYARLARI'!$B$10)</f>
      </c>
      <c r="Q76" s="81">
        <f>IF(OR(M76="",J76=""),"",M76*'GİDER AYARLARI'!$B$8*J76/30)</f>
      </c>
      <c r="R76" s="81">
        <f>IF(M76="","",M76+P76+Q76)</f>
      </c>
      <c r="S76" s="86">
        <f>IF(OR(N76="",R76=""),"",N76-R76)</f>
      </c>
    </row>
    <row r="77" spans="1:19">
      <c r="A77" s="85">
        <f>IF(B77="","",ROW()-6)</f>
      </c>
      <c r="B77" s="75"/>
      <c r="C77" s="78"/>
      <c r="D77" s="79"/>
      <c r="E77" s="75"/>
      <c r="F77" s="75"/>
      <c r="G77" s="75"/>
      <c r="H77" s="75"/>
      <c r="I77" s="77"/>
      <c r="J77" s="76">
        <f>IF(I77="","",MAX(0,TODAY()-I77))</f>
      </c>
      <c r="K77" s="75"/>
      <c r="L77" s="75"/>
      <c r="M77" s="80"/>
      <c r="N77" s="80"/>
      <c r="O77" s="80"/>
      <c r="P77" s="81">
        <f>IF(M77="","",'GİDER AYARLARI'!$B$10)</f>
      </c>
      <c r="Q77" s="81">
        <f>IF(OR(M77="",J77=""),"",M77*'GİDER AYARLARI'!$B$8*J77/30)</f>
      </c>
      <c r="R77" s="81">
        <f>IF(M77="","",M77+P77+Q77)</f>
      </c>
      <c r="S77" s="86">
        <f>IF(OR(N77="",R77=""),"",N77-R77)</f>
      </c>
    </row>
    <row r="78" spans="1:19">
      <c r="A78" s="85">
        <f>IF(B78="","",ROW()-6)</f>
      </c>
      <c r="B78" s="75"/>
      <c r="C78" s="78"/>
      <c r="D78" s="79"/>
      <c r="E78" s="75"/>
      <c r="F78" s="75"/>
      <c r="G78" s="75"/>
      <c r="H78" s="75"/>
      <c r="I78" s="77"/>
      <c r="J78" s="76">
        <f>IF(I78="","",MAX(0,TODAY()-I78))</f>
      </c>
      <c r="K78" s="75"/>
      <c r="L78" s="75"/>
      <c r="M78" s="80"/>
      <c r="N78" s="80"/>
      <c r="O78" s="80"/>
      <c r="P78" s="81">
        <f>IF(M78="","",'GİDER AYARLARI'!$B$10)</f>
      </c>
      <c r="Q78" s="81">
        <f>IF(OR(M78="",J78=""),"",M78*'GİDER AYARLARI'!$B$8*J78/30)</f>
      </c>
      <c r="R78" s="81">
        <f>IF(M78="","",M78+P78+Q78)</f>
      </c>
      <c r="S78" s="86">
        <f>IF(OR(N78="",R78=""),"",N78-R78)</f>
      </c>
    </row>
    <row r="79" spans="1:19">
      <c r="A79" s="85">
        <f>IF(B79="","",ROW()-6)</f>
      </c>
      <c r="B79" s="75"/>
      <c r="C79" s="78"/>
      <c r="D79" s="79"/>
      <c r="E79" s="75"/>
      <c r="F79" s="75"/>
      <c r="G79" s="75"/>
      <c r="H79" s="75"/>
      <c r="I79" s="77"/>
      <c r="J79" s="76">
        <f>IF(I79="","",MAX(0,TODAY()-I79))</f>
      </c>
      <c r="K79" s="75"/>
      <c r="L79" s="75"/>
      <c r="M79" s="80"/>
      <c r="N79" s="80"/>
      <c r="O79" s="80"/>
      <c r="P79" s="81">
        <f>IF(M79="","",'GİDER AYARLARI'!$B$10)</f>
      </c>
      <c r="Q79" s="81">
        <f>IF(OR(M79="",J79=""),"",M79*'GİDER AYARLARI'!$B$8*J79/30)</f>
      </c>
      <c r="R79" s="81">
        <f>IF(M79="","",M79+P79+Q79)</f>
      </c>
      <c r="S79" s="86">
        <f>IF(OR(N79="",R79=""),"",N79-R79)</f>
      </c>
    </row>
    <row r="80" spans="1:19">
      <c r="A80" s="85">
        <f>IF(B80="","",ROW()-6)</f>
      </c>
      <c r="B80" s="75"/>
      <c r="C80" s="78"/>
      <c r="D80" s="79"/>
      <c r="E80" s="75"/>
      <c r="F80" s="75"/>
      <c r="G80" s="75"/>
      <c r="H80" s="75"/>
      <c r="I80" s="77"/>
      <c r="J80" s="76">
        <f>IF(I80="","",MAX(0,TODAY()-I80))</f>
      </c>
      <c r="K80" s="75"/>
      <c r="L80" s="75"/>
      <c r="M80" s="80"/>
      <c r="N80" s="80"/>
      <c r="O80" s="80"/>
      <c r="P80" s="81">
        <f>IF(M80="","",'GİDER AYARLARI'!$B$10)</f>
      </c>
      <c r="Q80" s="81">
        <f>IF(OR(M80="",J80=""),"",M80*'GİDER AYARLARI'!$B$8*J80/30)</f>
      </c>
      <c r="R80" s="81">
        <f>IF(M80="","",M80+P80+Q80)</f>
      </c>
      <c r="S80" s="86">
        <f>IF(OR(N80="",R80=""),"",N80-R80)</f>
      </c>
    </row>
    <row r="81" spans="1:19">
      <c r="A81" s="85">
        <f>IF(B81="","",ROW()-6)</f>
      </c>
      <c r="B81" s="75"/>
      <c r="C81" s="78"/>
      <c r="D81" s="79"/>
      <c r="E81" s="75"/>
      <c r="F81" s="75"/>
      <c r="G81" s="75"/>
      <c r="H81" s="75"/>
      <c r="I81" s="77"/>
      <c r="J81" s="76">
        <f>IF(I81="","",MAX(0,TODAY()-I81))</f>
      </c>
      <c r="K81" s="75"/>
      <c r="L81" s="75"/>
      <c r="M81" s="80"/>
      <c r="N81" s="80"/>
      <c r="O81" s="80"/>
      <c r="P81" s="81">
        <f>IF(M81="","",'GİDER AYARLARI'!$B$10)</f>
      </c>
      <c r="Q81" s="81">
        <f>IF(OR(M81="",J81=""),"",M81*'GİDER AYARLARI'!$B$8*J81/30)</f>
      </c>
      <c r="R81" s="81">
        <f>IF(M81="","",M81+P81+Q81)</f>
      </c>
      <c r="S81" s="86">
        <f>IF(OR(N81="",R81=""),"",N81-R81)</f>
      </c>
    </row>
    <row r="82" spans="1:19">
      <c r="A82" s="85">
        <f>IF(B82="","",ROW()-6)</f>
      </c>
      <c r="B82" s="75"/>
      <c r="C82" s="78"/>
      <c r="D82" s="79"/>
      <c r="E82" s="75"/>
      <c r="F82" s="75"/>
      <c r="G82" s="75"/>
      <c r="H82" s="75"/>
      <c r="I82" s="77"/>
      <c r="J82" s="76">
        <f>IF(I82="","",MAX(0,TODAY()-I82))</f>
      </c>
      <c r="K82" s="75"/>
      <c r="L82" s="75"/>
      <c r="M82" s="80"/>
      <c r="N82" s="80"/>
      <c r="O82" s="80"/>
      <c r="P82" s="81">
        <f>IF(M82="","",'GİDER AYARLARI'!$B$10)</f>
      </c>
      <c r="Q82" s="81">
        <f>IF(OR(M82="",J82=""),"",M82*'GİDER AYARLARI'!$B$8*J82/30)</f>
      </c>
      <c r="R82" s="81">
        <f>IF(M82="","",M82+P82+Q82)</f>
      </c>
      <c r="S82" s="86">
        <f>IF(OR(N82="",R82=""),"",N82-R82)</f>
      </c>
    </row>
    <row r="83" spans="1:19">
      <c r="A83" s="85">
        <f>IF(B83="","",ROW()-6)</f>
      </c>
      <c r="B83" s="75"/>
      <c r="C83" s="78"/>
      <c r="D83" s="79"/>
      <c r="E83" s="75"/>
      <c r="F83" s="75"/>
      <c r="G83" s="75"/>
      <c r="H83" s="75"/>
      <c r="I83" s="77"/>
      <c r="J83" s="76">
        <f>IF(I83="","",MAX(0,TODAY()-I83))</f>
      </c>
      <c r="K83" s="75"/>
      <c r="L83" s="75"/>
      <c r="M83" s="80"/>
      <c r="N83" s="80"/>
      <c r="O83" s="80"/>
      <c r="P83" s="81">
        <f>IF(M83="","",'GİDER AYARLARI'!$B$10)</f>
      </c>
      <c r="Q83" s="81">
        <f>IF(OR(M83="",J83=""),"",M83*'GİDER AYARLARI'!$B$8*J83/30)</f>
      </c>
      <c r="R83" s="81">
        <f>IF(M83="","",M83+P83+Q83)</f>
      </c>
      <c r="S83" s="86">
        <f>IF(OR(N83="",R83=""),"",N83-R83)</f>
      </c>
    </row>
    <row r="84" spans="1:19">
      <c r="A84" s="85">
        <f>IF(B84="","",ROW()-6)</f>
      </c>
      <c r="B84" s="75"/>
      <c r="C84" s="78"/>
      <c r="D84" s="79"/>
      <c r="E84" s="75"/>
      <c r="F84" s="75"/>
      <c r="G84" s="75"/>
      <c r="H84" s="75"/>
      <c r="I84" s="77"/>
      <c r="J84" s="76">
        <f>IF(I84="","",MAX(0,TODAY()-I84))</f>
      </c>
      <c r="K84" s="75"/>
      <c r="L84" s="75"/>
      <c r="M84" s="80"/>
      <c r="N84" s="80"/>
      <c r="O84" s="80"/>
      <c r="P84" s="81">
        <f>IF(M84="","",'GİDER AYARLARI'!$B$10)</f>
      </c>
      <c r="Q84" s="81">
        <f>IF(OR(M84="",J84=""),"",M84*'GİDER AYARLARI'!$B$8*J84/30)</f>
      </c>
      <c r="R84" s="81">
        <f>IF(M84="","",M84+P84+Q84)</f>
      </c>
      <c r="S84" s="86">
        <f>IF(OR(N84="",R84=""),"",N84-R84)</f>
      </c>
    </row>
    <row r="85" spans="1:19">
      <c r="A85" s="85">
        <f>IF(B85="","",ROW()-6)</f>
      </c>
      <c r="B85" s="75"/>
      <c r="C85" s="78"/>
      <c r="D85" s="79"/>
      <c r="E85" s="75"/>
      <c r="F85" s="75"/>
      <c r="G85" s="75"/>
      <c r="H85" s="75"/>
      <c r="I85" s="77"/>
      <c r="J85" s="76">
        <f>IF(I85="","",MAX(0,TODAY()-I85))</f>
      </c>
      <c r="K85" s="75"/>
      <c r="L85" s="75"/>
      <c r="M85" s="80"/>
      <c r="N85" s="80"/>
      <c r="O85" s="80"/>
      <c r="P85" s="81">
        <f>IF(M85="","",'GİDER AYARLARI'!$B$10)</f>
      </c>
      <c r="Q85" s="81">
        <f>IF(OR(M85="",J85=""),"",M85*'GİDER AYARLARI'!$B$8*J85/30)</f>
      </c>
      <c r="R85" s="81">
        <f>IF(M85="","",M85+P85+Q85)</f>
      </c>
      <c r="S85" s="86">
        <f>IF(OR(N85="",R85=""),"",N85-R85)</f>
      </c>
    </row>
    <row r="86" spans="1:19">
      <c r="A86" s="85">
        <f>IF(B86="","",ROW()-6)</f>
      </c>
      <c r="B86" s="75"/>
      <c r="C86" s="78"/>
      <c r="D86" s="79"/>
      <c r="E86" s="75"/>
      <c r="F86" s="75"/>
      <c r="G86" s="75"/>
      <c r="H86" s="75"/>
      <c r="I86" s="77"/>
      <c r="J86" s="76">
        <f>IF(I86="","",MAX(0,TODAY()-I86))</f>
      </c>
      <c r="K86" s="75"/>
      <c r="L86" s="75"/>
      <c r="M86" s="80"/>
      <c r="N86" s="80"/>
      <c r="O86" s="80"/>
      <c r="P86" s="81">
        <f>IF(M86="","",'GİDER AYARLARI'!$B$10)</f>
      </c>
      <c r="Q86" s="81">
        <f>IF(OR(M86="",J86=""),"",M86*'GİDER AYARLARI'!$B$8*J86/30)</f>
      </c>
      <c r="R86" s="81">
        <f>IF(M86="","",M86+P86+Q86)</f>
      </c>
      <c r="S86" s="86">
        <f>IF(OR(N86="",R86=""),"",N86-R86)</f>
      </c>
    </row>
    <row r="87" spans="1:19">
      <c r="A87" s="85">
        <f>IF(B87="","",ROW()-6)</f>
      </c>
      <c r="B87" s="75"/>
      <c r="C87" s="78"/>
      <c r="D87" s="79"/>
      <c r="E87" s="75"/>
      <c r="F87" s="75"/>
      <c r="G87" s="75"/>
      <c r="H87" s="75"/>
      <c r="I87" s="77"/>
      <c r="J87" s="76">
        <f>IF(I87="","",MAX(0,TODAY()-I87))</f>
      </c>
      <c r="K87" s="75"/>
      <c r="L87" s="75"/>
      <c r="M87" s="80"/>
      <c r="N87" s="80"/>
      <c r="O87" s="80"/>
      <c r="P87" s="81">
        <f>IF(M87="","",'GİDER AYARLARI'!$B$10)</f>
      </c>
      <c r="Q87" s="81">
        <f>IF(OR(M87="",J87=""),"",M87*'GİDER AYARLARI'!$B$8*J87/30)</f>
      </c>
      <c r="R87" s="81">
        <f>IF(M87="","",M87+P87+Q87)</f>
      </c>
      <c r="S87" s="86">
        <f>IF(OR(N87="",R87=""),"",N87-R87)</f>
      </c>
    </row>
    <row r="88" spans="1:19">
      <c r="A88" s="85">
        <f>IF(B88="","",ROW()-6)</f>
      </c>
      <c r="B88" s="75"/>
      <c r="C88" s="78"/>
      <c r="D88" s="79"/>
      <c r="E88" s="75"/>
      <c r="F88" s="75"/>
      <c r="G88" s="75"/>
      <c r="H88" s="75"/>
      <c r="I88" s="77"/>
      <c r="J88" s="76">
        <f>IF(I88="","",MAX(0,TODAY()-I88))</f>
      </c>
      <c r="K88" s="75"/>
      <c r="L88" s="75"/>
      <c r="M88" s="80"/>
      <c r="N88" s="80"/>
      <c r="O88" s="80"/>
      <c r="P88" s="81">
        <f>IF(M88="","",'GİDER AYARLARI'!$B$10)</f>
      </c>
      <c r="Q88" s="81">
        <f>IF(OR(M88="",J88=""),"",M88*'GİDER AYARLARI'!$B$8*J88/30)</f>
      </c>
      <c r="R88" s="81">
        <f>IF(M88="","",M88+P88+Q88)</f>
      </c>
      <c r="S88" s="86">
        <f>IF(OR(N88="",R88=""),"",N88-R88)</f>
      </c>
    </row>
    <row r="89" spans="1:19">
      <c r="A89" s="85">
        <f>IF(B89="","",ROW()-6)</f>
      </c>
      <c r="B89" s="75"/>
      <c r="C89" s="78"/>
      <c r="D89" s="79"/>
      <c r="E89" s="75"/>
      <c r="F89" s="75"/>
      <c r="G89" s="75"/>
      <c r="H89" s="75"/>
      <c r="I89" s="77"/>
      <c r="J89" s="76">
        <f>IF(I89="","",MAX(0,TODAY()-I89))</f>
      </c>
      <c r="K89" s="75"/>
      <c r="L89" s="75"/>
      <c r="M89" s="80"/>
      <c r="N89" s="80"/>
      <c r="O89" s="80"/>
      <c r="P89" s="81">
        <f>IF(M89="","",'GİDER AYARLARI'!$B$10)</f>
      </c>
      <c r="Q89" s="81">
        <f>IF(OR(M89="",J89=""),"",M89*'GİDER AYARLARI'!$B$8*J89/30)</f>
      </c>
      <c r="R89" s="81">
        <f>IF(M89="","",M89+P89+Q89)</f>
      </c>
      <c r="S89" s="86">
        <f>IF(OR(N89="",R89=""),"",N89-R89)</f>
      </c>
    </row>
    <row r="90" spans="1:19">
      <c r="A90" s="85">
        <f>IF(B90="","",ROW()-6)</f>
      </c>
      <c r="B90" s="75"/>
      <c r="C90" s="78"/>
      <c r="D90" s="79"/>
      <c r="E90" s="75"/>
      <c r="F90" s="75"/>
      <c r="G90" s="75"/>
      <c r="H90" s="75"/>
      <c r="I90" s="77"/>
      <c r="J90" s="76">
        <f>IF(I90="","",MAX(0,TODAY()-I90))</f>
      </c>
      <c r="K90" s="75"/>
      <c r="L90" s="75"/>
      <c r="M90" s="80"/>
      <c r="N90" s="80"/>
      <c r="O90" s="80"/>
      <c r="P90" s="81">
        <f>IF(M90="","",'GİDER AYARLARI'!$B$10)</f>
      </c>
      <c r="Q90" s="81">
        <f>IF(OR(M90="",J90=""),"",M90*'GİDER AYARLARI'!$B$8*J90/30)</f>
      </c>
      <c r="R90" s="81">
        <f>IF(M90="","",M90+P90+Q90)</f>
      </c>
      <c r="S90" s="86">
        <f>IF(OR(N90="",R90=""),"",N90-R90)</f>
      </c>
    </row>
    <row r="91" spans="1:19">
      <c r="A91" s="85">
        <f>IF(B91="","",ROW()-6)</f>
      </c>
      <c r="B91" s="75"/>
      <c r="C91" s="78"/>
      <c r="D91" s="79"/>
      <c r="E91" s="75"/>
      <c r="F91" s="75"/>
      <c r="G91" s="75"/>
      <c r="H91" s="75"/>
      <c r="I91" s="77"/>
      <c r="J91" s="76">
        <f>IF(I91="","",MAX(0,TODAY()-I91))</f>
      </c>
      <c r="K91" s="75"/>
      <c r="L91" s="75"/>
      <c r="M91" s="80"/>
      <c r="N91" s="80"/>
      <c r="O91" s="80"/>
      <c r="P91" s="81">
        <f>IF(M91="","",'GİDER AYARLARI'!$B$10)</f>
      </c>
      <c r="Q91" s="81">
        <f>IF(OR(M91="",J91=""),"",M91*'GİDER AYARLARI'!$B$8*J91/30)</f>
      </c>
      <c r="R91" s="81">
        <f>IF(M91="","",M91+P91+Q91)</f>
      </c>
      <c r="S91" s="86">
        <f>IF(OR(N91="",R91=""),"",N91-R91)</f>
      </c>
    </row>
    <row r="92" spans="1:19">
      <c r="A92" s="85">
        <f>IF(B92="","",ROW()-6)</f>
      </c>
      <c r="B92" s="75"/>
      <c r="C92" s="78"/>
      <c r="D92" s="79"/>
      <c r="E92" s="75"/>
      <c r="F92" s="75"/>
      <c r="G92" s="75"/>
      <c r="H92" s="75"/>
      <c r="I92" s="77"/>
      <c r="J92" s="76">
        <f>IF(I92="","",MAX(0,TODAY()-I92))</f>
      </c>
      <c r="K92" s="75"/>
      <c r="L92" s="75"/>
      <c r="M92" s="80"/>
      <c r="N92" s="80"/>
      <c r="O92" s="80"/>
      <c r="P92" s="81">
        <f>IF(M92="","",'GİDER AYARLARI'!$B$10)</f>
      </c>
      <c r="Q92" s="81">
        <f>IF(OR(M92="",J92=""),"",M92*'GİDER AYARLARI'!$B$8*J92/30)</f>
      </c>
      <c r="R92" s="81">
        <f>IF(M92="","",M92+P92+Q92)</f>
      </c>
      <c r="S92" s="86">
        <f>IF(OR(N92="",R92=""),"",N92-R92)</f>
      </c>
    </row>
    <row r="93" spans="1:19">
      <c r="A93" s="85">
        <f>IF(B93="","",ROW()-6)</f>
      </c>
      <c r="B93" s="75"/>
      <c r="C93" s="78"/>
      <c r="D93" s="79"/>
      <c r="E93" s="75"/>
      <c r="F93" s="75"/>
      <c r="G93" s="75"/>
      <c r="H93" s="75"/>
      <c r="I93" s="77"/>
      <c r="J93" s="76">
        <f>IF(I93="","",MAX(0,TODAY()-I93))</f>
      </c>
      <c r="K93" s="75"/>
      <c r="L93" s="75"/>
      <c r="M93" s="80"/>
      <c r="N93" s="80"/>
      <c r="O93" s="80"/>
      <c r="P93" s="81">
        <f>IF(M93="","",'GİDER AYARLARI'!$B$10)</f>
      </c>
      <c r="Q93" s="81">
        <f>IF(OR(M93="",J93=""),"",M93*'GİDER AYARLARI'!$B$8*J93/30)</f>
      </c>
      <c r="R93" s="81">
        <f>IF(M93="","",M93+P93+Q93)</f>
      </c>
      <c r="S93" s="86">
        <f>IF(OR(N93="",R93=""),"",N93-R93)</f>
      </c>
    </row>
    <row r="94" spans="1:19">
      <c r="A94" s="85">
        <f>IF(B94="","",ROW()-6)</f>
      </c>
      <c r="B94" s="75"/>
      <c r="C94" s="78"/>
      <c r="D94" s="79"/>
      <c r="E94" s="75"/>
      <c r="F94" s="75"/>
      <c r="G94" s="75"/>
      <c r="H94" s="75"/>
      <c r="I94" s="77"/>
      <c r="J94" s="76">
        <f>IF(I94="","",MAX(0,TODAY()-I94))</f>
      </c>
      <c r="K94" s="75"/>
      <c r="L94" s="75"/>
      <c r="M94" s="80"/>
      <c r="N94" s="80"/>
      <c r="O94" s="80"/>
      <c r="P94" s="81">
        <f>IF(M94="","",'GİDER AYARLARI'!$B$10)</f>
      </c>
      <c r="Q94" s="81">
        <f>IF(OR(M94="",J94=""),"",M94*'GİDER AYARLARI'!$B$8*J94/30)</f>
      </c>
      <c r="R94" s="81">
        <f>IF(M94="","",M94+P94+Q94)</f>
      </c>
      <c r="S94" s="86">
        <f>IF(OR(N94="",R94=""),"",N94-R94)</f>
      </c>
    </row>
    <row r="95" spans="1:19">
      <c r="A95" s="85">
        <f>IF(B95="","",ROW()-6)</f>
      </c>
      <c r="B95" s="75"/>
      <c r="C95" s="78"/>
      <c r="D95" s="79"/>
      <c r="E95" s="75"/>
      <c r="F95" s="75"/>
      <c r="G95" s="75"/>
      <c r="H95" s="75"/>
      <c r="I95" s="77"/>
      <c r="J95" s="76">
        <f>IF(I95="","",MAX(0,TODAY()-I95))</f>
      </c>
      <c r="K95" s="75"/>
      <c r="L95" s="75"/>
      <c r="M95" s="80"/>
      <c r="N95" s="80"/>
      <c r="O95" s="80"/>
      <c r="P95" s="81">
        <f>IF(M95="","",'GİDER AYARLARI'!$B$10)</f>
      </c>
      <c r="Q95" s="81">
        <f>IF(OR(M95="",J95=""),"",M95*'GİDER AYARLARI'!$B$8*J95/30)</f>
      </c>
      <c r="R95" s="81">
        <f>IF(M95="","",M95+P95+Q95)</f>
      </c>
      <c r="S95" s="86">
        <f>IF(OR(N95="",R95=""),"",N95-R95)</f>
      </c>
    </row>
    <row r="96" spans="1:19">
      <c r="A96" s="85">
        <f>IF(B96="","",ROW()-6)</f>
      </c>
      <c r="B96" s="75"/>
      <c r="C96" s="78"/>
      <c r="D96" s="79"/>
      <c r="E96" s="75"/>
      <c r="F96" s="75"/>
      <c r="G96" s="75"/>
      <c r="H96" s="75"/>
      <c r="I96" s="77"/>
      <c r="J96" s="76">
        <f>IF(I96="","",MAX(0,TODAY()-I96))</f>
      </c>
      <c r="K96" s="75"/>
      <c r="L96" s="75"/>
      <c r="M96" s="80"/>
      <c r="N96" s="80"/>
      <c r="O96" s="80"/>
      <c r="P96" s="81">
        <f>IF(M96="","",'GİDER AYARLARI'!$B$10)</f>
      </c>
      <c r="Q96" s="81">
        <f>IF(OR(M96="",J96=""),"",M96*'GİDER AYARLARI'!$B$8*J96/30)</f>
      </c>
      <c r="R96" s="81">
        <f>IF(M96="","",M96+P96+Q96)</f>
      </c>
      <c r="S96" s="86">
        <f>IF(OR(N96="",R96=""),"",N96-R96)</f>
      </c>
    </row>
    <row r="97" spans="1:19">
      <c r="A97" s="85">
        <f>IF(B97="","",ROW()-6)</f>
      </c>
      <c r="B97" s="75"/>
      <c r="C97" s="78"/>
      <c r="D97" s="79"/>
      <c r="E97" s="75"/>
      <c r="F97" s="75"/>
      <c r="G97" s="75"/>
      <c r="H97" s="75"/>
      <c r="I97" s="77"/>
      <c r="J97" s="76">
        <f>IF(I97="","",MAX(0,TODAY()-I97))</f>
      </c>
      <c r="K97" s="75"/>
      <c r="L97" s="75"/>
      <c r="M97" s="80"/>
      <c r="N97" s="80"/>
      <c r="O97" s="80"/>
      <c r="P97" s="81">
        <f>IF(M97="","",'GİDER AYARLARI'!$B$10)</f>
      </c>
      <c r="Q97" s="81">
        <f>IF(OR(M97="",J97=""),"",M97*'GİDER AYARLARI'!$B$8*J97/30)</f>
      </c>
      <c r="R97" s="81">
        <f>IF(M97="","",M97+P97+Q97)</f>
      </c>
      <c r="S97" s="86">
        <f>IF(OR(N97="",R97=""),"",N97-R97)</f>
      </c>
    </row>
    <row r="98" spans="1:19">
      <c r="A98" s="85">
        <f>IF(B98="","",ROW()-6)</f>
      </c>
      <c r="B98" s="75"/>
      <c r="C98" s="78"/>
      <c r="D98" s="79"/>
      <c r="E98" s="75"/>
      <c r="F98" s="75"/>
      <c r="G98" s="75"/>
      <c r="H98" s="75"/>
      <c r="I98" s="77"/>
      <c r="J98" s="76">
        <f>IF(I98="","",MAX(0,TODAY()-I98))</f>
      </c>
      <c r="K98" s="75"/>
      <c r="L98" s="75"/>
      <c r="M98" s="80"/>
      <c r="N98" s="80"/>
      <c r="O98" s="80"/>
      <c r="P98" s="81">
        <f>IF(M98="","",'GİDER AYARLARI'!$B$10)</f>
      </c>
      <c r="Q98" s="81">
        <f>IF(OR(M98="",J98=""),"",M98*'GİDER AYARLARI'!$B$8*J98/30)</f>
      </c>
      <c r="R98" s="81">
        <f>IF(M98="","",M98+P98+Q98)</f>
      </c>
      <c r="S98" s="86">
        <f>IF(OR(N98="",R98=""),"",N98-R98)</f>
      </c>
    </row>
    <row r="99" spans="1:19">
      <c r="A99" s="85">
        <f>IF(B99="","",ROW()-6)</f>
      </c>
      <c r="B99" s="75"/>
      <c r="C99" s="78"/>
      <c r="D99" s="79"/>
      <c r="E99" s="75"/>
      <c r="F99" s="75"/>
      <c r="G99" s="75"/>
      <c r="H99" s="75"/>
      <c r="I99" s="77"/>
      <c r="J99" s="76">
        <f>IF(I99="","",MAX(0,TODAY()-I99))</f>
      </c>
      <c r="K99" s="75"/>
      <c r="L99" s="75"/>
      <c r="M99" s="80"/>
      <c r="N99" s="80"/>
      <c r="O99" s="80"/>
      <c r="P99" s="81">
        <f>IF(M99="","",'GİDER AYARLARI'!$B$10)</f>
      </c>
      <c r="Q99" s="81">
        <f>IF(OR(M99="",J99=""),"",M99*'GİDER AYARLARI'!$B$8*J99/30)</f>
      </c>
      <c r="R99" s="81">
        <f>IF(M99="","",M99+P99+Q99)</f>
      </c>
      <c r="S99" s="86">
        <f>IF(OR(N99="",R99=""),"",N99-R99)</f>
      </c>
    </row>
    <row r="100" spans="1:19">
      <c r="A100" s="85">
        <f>IF(B100="","",ROW()-6)</f>
      </c>
      <c r="B100" s="75"/>
      <c r="C100" s="78"/>
      <c r="D100" s="79"/>
      <c r="E100" s="75"/>
      <c r="F100" s="75"/>
      <c r="G100" s="75"/>
      <c r="H100" s="75"/>
      <c r="I100" s="77"/>
      <c r="J100" s="76">
        <f>IF(I100="","",MAX(0,TODAY()-I100))</f>
      </c>
      <c r="K100" s="75"/>
      <c r="L100" s="75"/>
      <c r="M100" s="80"/>
      <c r="N100" s="80"/>
      <c r="O100" s="80"/>
      <c r="P100" s="81">
        <f>IF(M100="","",'GİDER AYARLARI'!$B$10)</f>
      </c>
      <c r="Q100" s="81">
        <f>IF(OR(M100="",J100=""),"",M100*'GİDER AYARLARI'!$B$8*J100/30)</f>
      </c>
      <c r="R100" s="81">
        <f>IF(M100="","",M100+P100+Q100)</f>
      </c>
      <c r="S100" s="86">
        <f>IF(OR(N100="",R100=""),"",N100-R100)</f>
      </c>
    </row>
    <row r="101" spans="1:19">
      <c r="A101" s="85">
        <f>IF(B101="","",ROW()-6)</f>
      </c>
      <c r="B101" s="75"/>
      <c r="C101" s="78"/>
      <c r="D101" s="79"/>
      <c r="E101" s="75"/>
      <c r="F101" s="75"/>
      <c r="G101" s="75"/>
      <c r="H101" s="75"/>
      <c r="I101" s="77"/>
      <c r="J101" s="76">
        <f>IF(I101="","",MAX(0,TODAY()-I101))</f>
      </c>
      <c r="K101" s="75"/>
      <c r="L101" s="75"/>
      <c r="M101" s="80"/>
      <c r="N101" s="80"/>
      <c r="O101" s="80"/>
      <c r="P101" s="81">
        <f>IF(M101="","",'GİDER AYARLARI'!$B$10)</f>
      </c>
      <c r="Q101" s="81">
        <f>IF(OR(M101="",J101=""),"",M101*'GİDER AYARLARI'!$B$8*J101/30)</f>
      </c>
      <c r="R101" s="81">
        <f>IF(M101="","",M101+P101+Q101)</f>
      </c>
      <c r="S101" s="86">
        <f>IF(OR(N101="",R101=""),"",N101-R101)</f>
      </c>
    </row>
    <row r="102" spans="1:19">
      <c r="A102" s="85">
        <f>IF(B102="","",ROW()-6)</f>
      </c>
      <c r="B102" s="75"/>
      <c r="C102" s="78"/>
      <c r="D102" s="79"/>
      <c r="E102" s="75"/>
      <c r="F102" s="75"/>
      <c r="G102" s="75"/>
      <c r="H102" s="75"/>
      <c r="I102" s="77"/>
      <c r="J102" s="76">
        <f>IF(I102="","",MAX(0,TODAY()-I102))</f>
      </c>
      <c r="K102" s="75"/>
      <c r="L102" s="75"/>
      <c r="M102" s="80"/>
      <c r="N102" s="80"/>
      <c r="O102" s="80"/>
      <c r="P102" s="81">
        <f>IF(M102="","",'GİDER AYARLARI'!$B$10)</f>
      </c>
      <c r="Q102" s="81">
        <f>IF(OR(M102="",J102=""),"",M102*'GİDER AYARLARI'!$B$8*J102/30)</f>
      </c>
      <c r="R102" s="81">
        <f>IF(M102="","",M102+P102+Q102)</f>
      </c>
      <c r="S102" s="86">
        <f>IF(OR(N102="",R102=""),"",N102-R102)</f>
      </c>
    </row>
    <row r="103" spans="1:19">
      <c r="A103" s="85">
        <f>IF(B103="","",ROW()-6)</f>
      </c>
      <c r="B103" s="75"/>
      <c r="C103" s="78"/>
      <c r="D103" s="79"/>
      <c r="E103" s="75"/>
      <c r="F103" s="75"/>
      <c r="G103" s="75"/>
      <c r="H103" s="75"/>
      <c r="I103" s="77"/>
      <c r="J103" s="76">
        <f>IF(I103="","",MAX(0,TODAY()-I103))</f>
      </c>
      <c r="K103" s="75"/>
      <c r="L103" s="75"/>
      <c r="M103" s="80"/>
      <c r="N103" s="80"/>
      <c r="O103" s="80"/>
      <c r="P103" s="81">
        <f>IF(M103="","",'GİDER AYARLARI'!$B$10)</f>
      </c>
      <c r="Q103" s="81">
        <f>IF(OR(M103="",J103=""),"",M103*'GİDER AYARLARI'!$B$8*J103/30)</f>
      </c>
      <c r="R103" s="81">
        <f>IF(M103="","",M103+P103+Q103)</f>
      </c>
      <c r="S103" s="86">
        <f>IF(OR(N103="",R103=""),"",N103-R103)</f>
      </c>
    </row>
    <row r="104" spans="1:19">
      <c r="A104" s="85">
        <f>IF(B104="","",ROW()-6)</f>
      </c>
      <c r="B104" s="75"/>
      <c r="C104" s="78"/>
      <c r="D104" s="79"/>
      <c r="E104" s="75"/>
      <c r="F104" s="75"/>
      <c r="G104" s="75"/>
      <c r="H104" s="75"/>
      <c r="I104" s="77"/>
      <c r="J104" s="76">
        <f>IF(I104="","",MAX(0,TODAY()-I104))</f>
      </c>
      <c r="K104" s="75"/>
      <c r="L104" s="75"/>
      <c r="M104" s="80"/>
      <c r="N104" s="80"/>
      <c r="O104" s="80"/>
      <c r="P104" s="81">
        <f>IF(M104="","",'GİDER AYARLARI'!$B$10)</f>
      </c>
      <c r="Q104" s="81">
        <f>IF(OR(M104="",J104=""),"",M104*'GİDER AYARLARI'!$B$8*J104/30)</f>
      </c>
      <c r="R104" s="81">
        <f>IF(M104="","",M104+P104+Q104)</f>
      </c>
      <c r="S104" s="86">
        <f>IF(OR(N104="",R104=""),"",N104-R104)</f>
      </c>
    </row>
    <row r="105" spans="1:19">
      <c r="A105" s="85">
        <f>IF(B105="","",ROW()-6)</f>
      </c>
      <c r="B105" s="75"/>
      <c r="C105" s="78"/>
      <c r="D105" s="79"/>
      <c r="E105" s="75"/>
      <c r="F105" s="75"/>
      <c r="G105" s="75"/>
      <c r="H105" s="75"/>
      <c r="I105" s="77"/>
      <c r="J105" s="76">
        <f>IF(I105="","",MAX(0,TODAY()-I105))</f>
      </c>
      <c r="K105" s="75"/>
      <c r="L105" s="75"/>
      <c r="M105" s="80"/>
      <c r="N105" s="80"/>
      <c r="O105" s="80"/>
      <c r="P105" s="81">
        <f>IF(M105="","",'GİDER AYARLARI'!$B$10)</f>
      </c>
      <c r="Q105" s="81">
        <f>IF(OR(M105="",J105=""),"",M105*'GİDER AYARLARI'!$B$8*J105/30)</f>
      </c>
      <c r="R105" s="81">
        <f>IF(M105="","",M105+P105+Q105)</f>
      </c>
      <c r="S105" s="86">
        <f>IF(OR(N105="",R105=""),"",N105-R105)</f>
      </c>
    </row>
    <row r="106" spans="1:19">
      <c r="A106" s="85">
        <f>IF(B106="","",ROW()-6)</f>
      </c>
      <c r="B106" s="75"/>
      <c r="C106" s="78"/>
      <c r="D106" s="79"/>
      <c r="E106" s="75"/>
      <c r="F106" s="75"/>
      <c r="G106" s="75"/>
      <c r="H106" s="75"/>
      <c r="I106" s="77"/>
      <c r="J106" s="76">
        <f>IF(I106="","",MAX(0,TODAY()-I106))</f>
      </c>
      <c r="K106" s="75"/>
      <c r="L106" s="75"/>
      <c r="M106" s="80"/>
      <c r="N106" s="80"/>
      <c r="O106" s="80"/>
      <c r="P106" s="81">
        <f>IF(M106="","",'GİDER AYARLARI'!$B$10)</f>
      </c>
      <c r="Q106" s="81">
        <f>IF(OR(M106="",J106=""),"",M106*'GİDER AYARLARI'!$B$8*J106/30)</f>
      </c>
      <c r="R106" s="81">
        <f>IF(M106="","",M106+P106+Q106)</f>
      </c>
      <c r="S106" s="86">
        <f>IF(OR(N106="",R106=""),"",N106-R106)</f>
      </c>
    </row>
    <row r="107" spans="1:19">
      <c r="A107" s="85">
        <f>IF(B107="","",ROW()-6)</f>
      </c>
      <c r="B107" s="75"/>
      <c r="C107" s="78"/>
      <c r="D107" s="79"/>
      <c r="E107" s="75"/>
      <c r="F107" s="75"/>
      <c r="G107" s="75"/>
      <c r="H107" s="75"/>
      <c r="I107" s="77"/>
      <c r="J107" s="76">
        <f>IF(I107="","",MAX(0,TODAY()-I107))</f>
      </c>
      <c r="K107" s="75"/>
      <c r="L107" s="75"/>
      <c r="M107" s="80"/>
      <c r="N107" s="80"/>
      <c r="O107" s="80"/>
      <c r="P107" s="81">
        <f>IF(M107="","",'GİDER AYARLARI'!$B$10)</f>
      </c>
      <c r="Q107" s="81">
        <f>IF(OR(M107="",J107=""),"",M107*'GİDER AYARLARI'!$B$8*J107/30)</f>
      </c>
      <c r="R107" s="81">
        <f>IF(M107="","",M107+P107+Q107)</f>
      </c>
      <c r="S107" s="86">
        <f>IF(OR(N107="",R107=""),"",N107-R107)</f>
      </c>
    </row>
    <row r="108" spans="1:19">
      <c r="A108" s="85">
        <f>IF(B108="","",ROW()-6)</f>
      </c>
      <c r="B108" s="75"/>
      <c r="C108" s="78"/>
      <c r="D108" s="79"/>
      <c r="E108" s="75"/>
      <c r="F108" s="75"/>
      <c r="G108" s="75"/>
      <c r="H108" s="75"/>
      <c r="I108" s="77"/>
      <c r="J108" s="76">
        <f>IF(I108="","",MAX(0,TODAY()-I108))</f>
      </c>
      <c r="K108" s="75"/>
      <c r="L108" s="75"/>
      <c r="M108" s="80"/>
      <c r="N108" s="80"/>
      <c r="O108" s="80"/>
      <c r="P108" s="81">
        <f>IF(M108="","",'GİDER AYARLARI'!$B$10)</f>
      </c>
      <c r="Q108" s="81">
        <f>IF(OR(M108="",J108=""),"",M108*'GİDER AYARLARI'!$B$8*J108/30)</f>
      </c>
      <c r="R108" s="81">
        <f>IF(M108="","",M108+P108+Q108)</f>
      </c>
      <c r="S108" s="86">
        <f>IF(OR(N108="",R108=""),"",N108-R108)</f>
      </c>
    </row>
    <row r="109" spans="1:19">
      <c r="A109" s="85">
        <f>IF(B109="","",ROW()-6)</f>
      </c>
      <c r="B109" s="75"/>
      <c r="C109" s="78"/>
      <c r="D109" s="79"/>
      <c r="E109" s="75"/>
      <c r="F109" s="75"/>
      <c r="G109" s="75"/>
      <c r="H109" s="75"/>
      <c r="I109" s="77"/>
      <c r="J109" s="76">
        <f>IF(I109="","",MAX(0,TODAY()-I109))</f>
      </c>
      <c r="K109" s="75"/>
      <c r="L109" s="75"/>
      <c r="M109" s="80"/>
      <c r="N109" s="80"/>
      <c r="O109" s="80"/>
      <c r="P109" s="81">
        <f>IF(M109="","",'GİDER AYARLARI'!$B$10)</f>
      </c>
      <c r="Q109" s="81">
        <f>IF(OR(M109="",J109=""),"",M109*'GİDER AYARLARI'!$B$8*J109/30)</f>
      </c>
      <c r="R109" s="81">
        <f>IF(M109="","",M109+P109+Q109)</f>
      </c>
      <c r="S109" s="86">
        <f>IF(OR(N109="",R109=""),"",N109-R109)</f>
      </c>
    </row>
    <row r="110" spans="1:19">
      <c r="A110" s="85">
        <f>IF(B110="","",ROW()-6)</f>
      </c>
      <c r="B110" s="75"/>
      <c r="C110" s="78"/>
      <c r="D110" s="79"/>
      <c r="E110" s="75"/>
      <c r="F110" s="75"/>
      <c r="G110" s="75"/>
      <c r="H110" s="75"/>
      <c r="I110" s="77"/>
      <c r="J110" s="76">
        <f>IF(I110="","",MAX(0,TODAY()-I110))</f>
      </c>
      <c r="K110" s="75"/>
      <c r="L110" s="75"/>
      <c r="M110" s="80"/>
      <c r="N110" s="80"/>
      <c r="O110" s="80"/>
      <c r="P110" s="81">
        <f>IF(M110="","",'GİDER AYARLARI'!$B$10)</f>
      </c>
      <c r="Q110" s="81">
        <f>IF(OR(M110="",J110=""),"",M110*'GİDER AYARLARI'!$B$8*J110/30)</f>
      </c>
      <c r="R110" s="81">
        <f>IF(M110="","",M110+P110+Q110)</f>
      </c>
      <c r="S110" s="86">
        <f>IF(OR(N110="",R110=""),"",N110-R110)</f>
      </c>
    </row>
    <row r="111" spans="1:19">
      <c r="A111" s="85">
        <f>IF(B111="","",ROW()-6)</f>
      </c>
      <c r="B111" s="75"/>
      <c r="C111" s="78"/>
      <c r="D111" s="79"/>
      <c r="E111" s="75"/>
      <c r="F111" s="75"/>
      <c r="G111" s="75"/>
      <c r="H111" s="75"/>
      <c r="I111" s="77"/>
      <c r="J111" s="76">
        <f>IF(I111="","",MAX(0,TODAY()-I111))</f>
      </c>
      <c r="K111" s="75"/>
      <c r="L111" s="75"/>
      <c r="M111" s="80"/>
      <c r="N111" s="80"/>
      <c r="O111" s="80"/>
      <c r="P111" s="81">
        <f>IF(M111="","",'GİDER AYARLARI'!$B$10)</f>
      </c>
      <c r="Q111" s="81">
        <f>IF(OR(M111="",J111=""),"",M111*'GİDER AYARLARI'!$B$8*J111/30)</f>
      </c>
      <c r="R111" s="81">
        <f>IF(M111="","",M111+P111+Q111)</f>
      </c>
      <c r="S111" s="86">
        <f>IF(OR(N111="",R111=""),"",N111-R111)</f>
      </c>
    </row>
    <row r="112" spans="1:19">
      <c r="A112" s="85">
        <f>IF(B112="","",ROW()-6)</f>
      </c>
      <c r="B112" s="75"/>
      <c r="C112" s="78"/>
      <c r="D112" s="79"/>
      <c r="E112" s="75"/>
      <c r="F112" s="75"/>
      <c r="G112" s="75"/>
      <c r="H112" s="75"/>
      <c r="I112" s="77"/>
      <c r="J112" s="76">
        <f>IF(I112="","",MAX(0,TODAY()-I112))</f>
      </c>
      <c r="K112" s="75"/>
      <c r="L112" s="75"/>
      <c r="M112" s="80"/>
      <c r="N112" s="80"/>
      <c r="O112" s="80"/>
      <c r="P112" s="81">
        <f>IF(M112="","",'GİDER AYARLARI'!$B$10)</f>
      </c>
      <c r="Q112" s="81">
        <f>IF(OR(M112="",J112=""),"",M112*'GİDER AYARLARI'!$B$8*J112/30)</f>
      </c>
      <c r="R112" s="81">
        <f>IF(M112="","",M112+P112+Q112)</f>
      </c>
      <c r="S112" s="86">
        <f>IF(OR(N112="",R112=""),"",N112-R112)</f>
      </c>
    </row>
    <row r="113" spans="1:19">
      <c r="A113" s="85">
        <f>IF(B113="","",ROW()-6)</f>
      </c>
      <c r="B113" s="75"/>
      <c r="C113" s="78"/>
      <c r="D113" s="79"/>
      <c r="E113" s="75"/>
      <c r="F113" s="75"/>
      <c r="G113" s="75"/>
      <c r="H113" s="75"/>
      <c r="I113" s="77"/>
      <c r="J113" s="76">
        <f>IF(I113="","",MAX(0,TODAY()-I113))</f>
      </c>
      <c r="K113" s="75"/>
      <c r="L113" s="75"/>
      <c r="M113" s="80"/>
      <c r="N113" s="80"/>
      <c r="O113" s="80"/>
      <c r="P113" s="81">
        <f>IF(M113="","",'GİDER AYARLARI'!$B$10)</f>
      </c>
      <c r="Q113" s="81">
        <f>IF(OR(M113="",J113=""),"",M113*'GİDER AYARLARI'!$B$8*J113/30)</f>
      </c>
      <c r="R113" s="81">
        <f>IF(M113="","",M113+P113+Q113)</f>
      </c>
      <c r="S113" s="86">
        <f>IF(OR(N113="",R113=""),"",N113-R113)</f>
      </c>
    </row>
    <row r="114" spans="1:19">
      <c r="A114" s="85">
        <f>IF(B114="","",ROW()-6)</f>
      </c>
      <c r="B114" s="75"/>
      <c r="C114" s="78"/>
      <c r="D114" s="79"/>
      <c r="E114" s="75"/>
      <c r="F114" s="75"/>
      <c r="G114" s="75"/>
      <c r="H114" s="75"/>
      <c r="I114" s="77"/>
      <c r="J114" s="76">
        <f>IF(I114="","",MAX(0,TODAY()-I114))</f>
      </c>
      <c r="K114" s="75"/>
      <c r="L114" s="75"/>
      <c r="M114" s="80"/>
      <c r="N114" s="80"/>
      <c r="O114" s="80"/>
      <c r="P114" s="81">
        <f>IF(M114="","",'GİDER AYARLARI'!$B$10)</f>
      </c>
      <c r="Q114" s="81">
        <f>IF(OR(M114="",J114=""),"",M114*'GİDER AYARLARI'!$B$8*J114/30)</f>
      </c>
      <c r="R114" s="81">
        <f>IF(M114="","",M114+P114+Q114)</f>
      </c>
      <c r="S114" s="86">
        <f>IF(OR(N114="",R114=""),"",N114-R114)</f>
      </c>
    </row>
    <row r="115" spans="1:19">
      <c r="A115" s="85">
        <f>IF(B115="","",ROW()-6)</f>
      </c>
      <c r="B115" s="75"/>
      <c r="C115" s="78"/>
      <c r="D115" s="79"/>
      <c r="E115" s="75"/>
      <c r="F115" s="75"/>
      <c r="G115" s="75"/>
      <c r="H115" s="75"/>
      <c r="I115" s="77"/>
      <c r="J115" s="76">
        <f>IF(I115="","",MAX(0,TODAY()-I115))</f>
      </c>
      <c r="K115" s="75"/>
      <c r="L115" s="75"/>
      <c r="M115" s="80"/>
      <c r="N115" s="80"/>
      <c r="O115" s="80"/>
      <c r="P115" s="81">
        <f>IF(M115="","",'GİDER AYARLARI'!$B$10)</f>
      </c>
      <c r="Q115" s="81">
        <f>IF(OR(M115="",J115=""),"",M115*'GİDER AYARLARI'!$B$8*J115/30)</f>
      </c>
      <c r="R115" s="81">
        <f>IF(M115="","",M115+P115+Q115)</f>
      </c>
      <c r="S115" s="86">
        <f>IF(OR(N115="",R115=""),"",N115-R115)</f>
      </c>
    </row>
    <row r="116" spans="1:19">
      <c r="A116" s="85">
        <f>IF(B116="","",ROW()-6)</f>
      </c>
      <c r="B116" s="75"/>
      <c r="C116" s="78"/>
      <c r="D116" s="79"/>
      <c r="E116" s="75"/>
      <c r="F116" s="75"/>
      <c r="G116" s="75"/>
      <c r="H116" s="75"/>
      <c r="I116" s="77"/>
      <c r="J116" s="76">
        <f>IF(I116="","",MAX(0,TODAY()-I116))</f>
      </c>
      <c r="K116" s="75"/>
      <c r="L116" s="75"/>
      <c r="M116" s="80"/>
      <c r="N116" s="80"/>
      <c r="O116" s="80"/>
      <c r="P116" s="81">
        <f>IF(M116="","",'GİDER AYARLARI'!$B$10)</f>
      </c>
      <c r="Q116" s="81">
        <f>IF(OR(M116="",J116=""),"",M116*'GİDER AYARLARI'!$B$8*J116/30)</f>
      </c>
      <c r="R116" s="81">
        <f>IF(M116="","",M116+P116+Q116)</f>
      </c>
      <c r="S116" s="86">
        <f>IF(OR(N116="",R116=""),"",N116-R116)</f>
      </c>
    </row>
    <row r="117" spans="1:19">
      <c r="A117" s="85">
        <f>IF(B117="","",ROW()-6)</f>
      </c>
      <c r="B117" s="75"/>
      <c r="C117" s="78"/>
      <c r="D117" s="79"/>
      <c r="E117" s="75"/>
      <c r="F117" s="75"/>
      <c r="G117" s="75"/>
      <c r="H117" s="75"/>
      <c r="I117" s="77"/>
      <c r="J117" s="76">
        <f>IF(I117="","",MAX(0,TODAY()-I117))</f>
      </c>
      <c r="K117" s="75"/>
      <c r="L117" s="75"/>
      <c r="M117" s="80"/>
      <c r="N117" s="80"/>
      <c r="O117" s="80"/>
      <c r="P117" s="81">
        <f>IF(M117="","",'GİDER AYARLARI'!$B$10)</f>
      </c>
      <c r="Q117" s="81">
        <f>IF(OR(M117="",J117=""),"",M117*'GİDER AYARLARI'!$B$8*J117/30)</f>
      </c>
      <c r="R117" s="81">
        <f>IF(M117="","",M117+P117+Q117)</f>
      </c>
      <c r="S117" s="86">
        <f>IF(OR(N117="",R117=""),"",N117-R117)</f>
      </c>
    </row>
    <row r="118" spans="1:19">
      <c r="A118" s="85">
        <f>IF(B118="","",ROW()-6)</f>
      </c>
      <c r="B118" s="75"/>
      <c r="C118" s="78"/>
      <c r="D118" s="79"/>
      <c r="E118" s="75"/>
      <c r="F118" s="75"/>
      <c r="G118" s="75"/>
      <c r="H118" s="75"/>
      <c r="I118" s="77"/>
      <c r="J118" s="76">
        <f>IF(I118="","",MAX(0,TODAY()-I118))</f>
      </c>
      <c r="K118" s="75"/>
      <c r="L118" s="75"/>
      <c r="M118" s="80"/>
      <c r="N118" s="80"/>
      <c r="O118" s="80"/>
      <c r="P118" s="81">
        <f>IF(M118="","",'GİDER AYARLARI'!$B$10)</f>
      </c>
      <c r="Q118" s="81">
        <f>IF(OR(M118="",J118=""),"",M118*'GİDER AYARLARI'!$B$8*J118/30)</f>
      </c>
      <c r="R118" s="81">
        <f>IF(M118="","",M118+P118+Q118)</f>
      </c>
      <c r="S118" s="86">
        <f>IF(OR(N118="",R118=""),"",N118-R118)</f>
      </c>
    </row>
    <row r="119" spans="1:19">
      <c r="A119" s="85">
        <f>IF(B119="","",ROW()-6)</f>
      </c>
      <c r="B119" s="75"/>
      <c r="C119" s="78"/>
      <c r="D119" s="79"/>
      <c r="E119" s="75"/>
      <c r="F119" s="75"/>
      <c r="G119" s="75"/>
      <c r="H119" s="75"/>
      <c r="I119" s="77"/>
      <c r="J119" s="76">
        <f>IF(I119="","",MAX(0,TODAY()-I119))</f>
      </c>
      <c r="K119" s="75"/>
      <c r="L119" s="75"/>
      <c r="M119" s="80"/>
      <c r="N119" s="80"/>
      <c r="O119" s="80"/>
      <c r="P119" s="81">
        <f>IF(M119="","",'GİDER AYARLARI'!$B$10)</f>
      </c>
      <c r="Q119" s="81">
        <f>IF(OR(M119="",J119=""),"",M119*'GİDER AYARLARI'!$B$8*J119/30)</f>
      </c>
      <c r="R119" s="81">
        <f>IF(M119="","",M119+P119+Q119)</f>
      </c>
      <c r="S119" s="86">
        <f>IF(OR(N119="",R119=""),"",N119-R119)</f>
      </c>
    </row>
    <row r="120" spans="1:19">
      <c r="A120" s="85">
        <f>IF(B120="","",ROW()-6)</f>
      </c>
      <c r="B120" s="75"/>
      <c r="C120" s="78"/>
      <c r="D120" s="79"/>
      <c r="E120" s="75"/>
      <c r="F120" s="75"/>
      <c r="G120" s="75"/>
      <c r="H120" s="75"/>
      <c r="I120" s="77"/>
      <c r="J120" s="76">
        <f>IF(I120="","",MAX(0,TODAY()-I120))</f>
      </c>
      <c r="K120" s="75"/>
      <c r="L120" s="75"/>
      <c r="M120" s="80"/>
      <c r="N120" s="80"/>
      <c r="O120" s="80"/>
      <c r="P120" s="81">
        <f>IF(M120="","",'GİDER AYARLARI'!$B$10)</f>
      </c>
      <c r="Q120" s="81">
        <f>IF(OR(M120="",J120=""),"",M120*'GİDER AYARLARI'!$B$8*J120/30)</f>
      </c>
      <c r="R120" s="81">
        <f>IF(M120="","",M120+P120+Q120)</f>
      </c>
      <c r="S120" s="86">
        <f>IF(OR(N120="",R120=""),"",N120-R120)</f>
      </c>
    </row>
    <row r="121" spans="1:19">
      <c r="A121" s="85">
        <f>IF(B121="","",ROW()-6)</f>
      </c>
      <c r="B121" s="75"/>
      <c r="C121" s="78"/>
      <c r="D121" s="79"/>
      <c r="E121" s="75"/>
      <c r="F121" s="75"/>
      <c r="G121" s="75"/>
      <c r="H121" s="75"/>
      <c r="I121" s="77"/>
      <c r="J121" s="76">
        <f>IF(I121="","",MAX(0,TODAY()-I121))</f>
      </c>
      <c r="K121" s="75"/>
      <c r="L121" s="75"/>
      <c r="M121" s="80"/>
      <c r="N121" s="80"/>
      <c r="O121" s="80"/>
      <c r="P121" s="81">
        <f>IF(M121="","",'GİDER AYARLARI'!$B$10)</f>
      </c>
      <c r="Q121" s="81">
        <f>IF(OR(M121="",J121=""),"",M121*'GİDER AYARLARI'!$B$8*J121/30)</f>
      </c>
      <c r="R121" s="81">
        <f>IF(M121="","",M121+P121+Q121)</f>
      </c>
      <c r="S121" s="86">
        <f>IF(OR(N121="",R121=""),"",N121-R121)</f>
      </c>
    </row>
    <row r="122" spans="1:19">
      <c r="A122" s="85">
        <f>IF(B122="","",ROW()-6)</f>
      </c>
      <c r="B122" s="75"/>
      <c r="C122" s="78"/>
      <c r="D122" s="79"/>
      <c r="E122" s="75"/>
      <c r="F122" s="75"/>
      <c r="G122" s="75"/>
      <c r="H122" s="75"/>
      <c r="I122" s="77"/>
      <c r="J122" s="76">
        <f>IF(I122="","",MAX(0,TODAY()-I122))</f>
      </c>
      <c r="K122" s="75"/>
      <c r="L122" s="75"/>
      <c r="M122" s="80"/>
      <c r="N122" s="80"/>
      <c r="O122" s="80"/>
      <c r="P122" s="81">
        <f>IF(M122="","",'GİDER AYARLARI'!$B$10)</f>
      </c>
      <c r="Q122" s="81">
        <f>IF(OR(M122="",J122=""),"",M122*'GİDER AYARLARI'!$B$8*J122/30)</f>
      </c>
      <c r="R122" s="81">
        <f>IF(M122="","",M122+P122+Q122)</f>
      </c>
      <c r="S122" s="86">
        <f>IF(OR(N122="",R122=""),"",N122-R122)</f>
      </c>
    </row>
    <row r="123" spans="1:19">
      <c r="A123" s="85">
        <f>IF(B123="","",ROW()-6)</f>
      </c>
      <c r="B123" s="75"/>
      <c r="C123" s="78"/>
      <c r="D123" s="79"/>
      <c r="E123" s="75"/>
      <c r="F123" s="75"/>
      <c r="G123" s="75"/>
      <c r="H123" s="75"/>
      <c r="I123" s="77"/>
      <c r="J123" s="76">
        <f>IF(I123="","",MAX(0,TODAY()-I123))</f>
      </c>
      <c r="K123" s="75"/>
      <c r="L123" s="75"/>
      <c r="M123" s="80"/>
      <c r="N123" s="80"/>
      <c r="O123" s="80"/>
      <c r="P123" s="81">
        <f>IF(M123="","",'GİDER AYARLARI'!$B$10)</f>
      </c>
      <c r="Q123" s="81">
        <f>IF(OR(M123="",J123=""),"",M123*'GİDER AYARLARI'!$B$8*J123/30)</f>
      </c>
      <c r="R123" s="81">
        <f>IF(M123="","",M123+P123+Q123)</f>
      </c>
      <c r="S123" s="86">
        <f>IF(OR(N123="",R123=""),"",N123-R123)</f>
      </c>
    </row>
    <row r="124" spans="1:19">
      <c r="A124" s="85">
        <f>IF(B124="","",ROW()-6)</f>
      </c>
      <c r="B124" s="75"/>
      <c r="C124" s="78"/>
      <c r="D124" s="79"/>
      <c r="E124" s="75"/>
      <c r="F124" s="75"/>
      <c r="G124" s="75"/>
      <c r="H124" s="75"/>
      <c r="I124" s="77"/>
      <c r="J124" s="76">
        <f>IF(I124="","",MAX(0,TODAY()-I124))</f>
      </c>
      <c r="K124" s="75"/>
      <c r="L124" s="75"/>
      <c r="M124" s="80"/>
      <c r="N124" s="80"/>
      <c r="O124" s="80"/>
      <c r="P124" s="81">
        <f>IF(M124="","",'GİDER AYARLARI'!$B$10)</f>
      </c>
      <c r="Q124" s="81">
        <f>IF(OR(M124="",J124=""),"",M124*'GİDER AYARLARI'!$B$8*J124/30)</f>
      </c>
      <c r="R124" s="81">
        <f>IF(M124="","",M124+P124+Q124)</f>
      </c>
      <c r="S124" s="86">
        <f>IF(OR(N124="",R124=""),"",N124-R124)</f>
      </c>
    </row>
    <row r="125" spans="1:19">
      <c r="A125" s="85">
        <f>IF(B125="","",ROW()-6)</f>
      </c>
      <c r="B125" s="75"/>
      <c r="C125" s="78"/>
      <c r="D125" s="79"/>
      <c r="E125" s="75"/>
      <c r="F125" s="75"/>
      <c r="G125" s="75"/>
      <c r="H125" s="75"/>
      <c r="I125" s="77"/>
      <c r="J125" s="76">
        <f>IF(I125="","",MAX(0,TODAY()-I125))</f>
      </c>
      <c r="K125" s="75"/>
      <c r="L125" s="75"/>
      <c r="M125" s="80"/>
      <c r="N125" s="80"/>
      <c r="O125" s="80"/>
      <c r="P125" s="81">
        <f>IF(M125="","",'GİDER AYARLARI'!$B$10)</f>
      </c>
      <c r="Q125" s="81">
        <f>IF(OR(M125="",J125=""),"",M125*'GİDER AYARLARI'!$B$8*J125/30)</f>
      </c>
      <c r="R125" s="81">
        <f>IF(M125="","",M125+P125+Q125)</f>
      </c>
      <c r="S125" s="86">
        <f>IF(OR(N125="",R125=""),"",N125-R125)</f>
      </c>
    </row>
    <row r="126" spans="1:19">
      <c r="A126" s="85">
        <f>IF(B126="","",ROW()-6)</f>
      </c>
      <c r="B126" s="75"/>
      <c r="C126" s="78"/>
      <c r="D126" s="79"/>
      <c r="E126" s="75"/>
      <c r="F126" s="75"/>
      <c r="G126" s="75"/>
      <c r="H126" s="75"/>
      <c r="I126" s="77"/>
      <c r="J126" s="76">
        <f>IF(I126="","",MAX(0,TODAY()-I126))</f>
      </c>
      <c r="K126" s="75"/>
      <c r="L126" s="75"/>
      <c r="M126" s="80"/>
      <c r="N126" s="80"/>
      <c r="O126" s="80"/>
      <c r="P126" s="81">
        <f>IF(M126="","",'GİDER AYARLARI'!$B$10)</f>
      </c>
      <c r="Q126" s="81">
        <f>IF(OR(M126="",J126=""),"",M126*'GİDER AYARLARI'!$B$8*J126/30)</f>
      </c>
      <c r="R126" s="81">
        <f>IF(M126="","",M126+P126+Q126)</f>
      </c>
      <c r="S126" s="86">
        <f>IF(OR(N126="",R126=""),"",N126-R126)</f>
      </c>
    </row>
    <row r="127" spans="1:19">
      <c r="A127" s="85">
        <f>IF(B127="","",ROW()-6)</f>
      </c>
      <c r="B127" s="75"/>
      <c r="C127" s="78"/>
      <c r="D127" s="79"/>
      <c r="E127" s="75"/>
      <c r="F127" s="75"/>
      <c r="G127" s="75"/>
      <c r="H127" s="75"/>
      <c r="I127" s="77"/>
      <c r="J127" s="76">
        <f>IF(I127="","",MAX(0,TODAY()-I127))</f>
      </c>
      <c r="K127" s="75"/>
      <c r="L127" s="75"/>
      <c r="M127" s="80"/>
      <c r="N127" s="80"/>
      <c r="O127" s="80"/>
      <c r="P127" s="81">
        <f>IF(M127="","",'GİDER AYARLARI'!$B$10)</f>
      </c>
      <c r="Q127" s="81">
        <f>IF(OR(M127="",J127=""),"",M127*'GİDER AYARLARI'!$B$8*J127/30)</f>
      </c>
      <c r="R127" s="81">
        <f>IF(M127="","",M127+P127+Q127)</f>
      </c>
      <c r="S127" s="86">
        <f>IF(OR(N127="",R127=""),"",N127-R127)</f>
      </c>
    </row>
    <row r="128" spans="1:19">
      <c r="A128" s="85">
        <f>IF(B128="","",ROW()-6)</f>
      </c>
      <c r="B128" s="75"/>
      <c r="C128" s="78"/>
      <c r="D128" s="79"/>
      <c r="E128" s="75"/>
      <c r="F128" s="75"/>
      <c r="G128" s="75"/>
      <c r="H128" s="75"/>
      <c r="I128" s="77"/>
      <c r="J128" s="76">
        <f>IF(I128="","",MAX(0,TODAY()-I128))</f>
      </c>
      <c r="K128" s="75"/>
      <c r="L128" s="75"/>
      <c r="M128" s="80"/>
      <c r="N128" s="80"/>
      <c r="O128" s="80"/>
      <c r="P128" s="81">
        <f>IF(M128="","",'GİDER AYARLARI'!$B$10)</f>
      </c>
      <c r="Q128" s="81">
        <f>IF(OR(M128="",J128=""),"",M128*'GİDER AYARLARI'!$B$8*J128/30)</f>
      </c>
      <c r="R128" s="81">
        <f>IF(M128="","",M128+P128+Q128)</f>
      </c>
      <c r="S128" s="86">
        <f>IF(OR(N128="",R128=""),"",N128-R128)</f>
      </c>
    </row>
    <row r="129" spans="1:19">
      <c r="A129" s="85">
        <f>IF(B129="","",ROW()-6)</f>
      </c>
      <c r="B129" s="75"/>
      <c r="C129" s="78"/>
      <c r="D129" s="79"/>
      <c r="E129" s="75"/>
      <c r="F129" s="75"/>
      <c r="G129" s="75"/>
      <c r="H129" s="75"/>
      <c r="I129" s="77"/>
      <c r="J129" s="76">
        <f>IF(I129="","",MAX(0,TODAY()-I129))</f>
      </c>
      <c r="K129" s="75"/>
      <c r="L129" s="75"/>
      <c r="M129" s="80"/>
      <c r="N129" s="80"/>
      <c r="O129" s="80"/>
      <c r="P129" s="81">
        <f>IF(M129="","",'GİDER AYARLARI'!$B$10)</f>
      </c>
      <c r="Q129" s="81">
        <f>IF(OR(M129="",J129=""),"",M129*'GİDER AYARLARI'!$B$8*J129/30)</f>
      </c>
      <c r="R129" s="81">
        <f>IF(M129="","",M129+P129+Q129)</f>
      </c>
      <c r="S129" s="86">
        <f>IF(OR(N129="",R129=""),"",N129-R129)</f>
      </c>
    </row>
    <row r="130" spans="1:19">
      <c r="A130" s="85">
        <f>IF(B130="","",ROW()-6)</f>
      </c>
      <c r="B130" s="75"/>
      <c r="C130" s="78"/>
      <c r="D130" s="79"/>
      <c r="E130" s="75"/>
      <c r="F130" s="75"/>
      <c r="G130" s="75"/>
      <c r="H130" s="75"/>
      <c r="I130" s="77"/>
      <c r="J130" s="76">
        <f>IF(I130="","",MAX(0,TODAY()-I130))</f>
      </c>
      <c r="K130" s="75"/>
      <c r="L130" s="75"/>
      <c r="M130" s="80"/>
      <c r="N130" s="80"/>
      <c r="O130" s="80"/>
      <c r="P130" s="81">
        <f>IF(M130="","",'GİDER AYARLARI'!$B$10)</f>
      </c>
      <c r="Q130" s="81">
        <f>IF(OR(M130="",J130=""),"",M130*'GİDER AYARLARI'!$B$8*J130/30)</f>
      </c>
      <c r="R130" s="81">
        <f>IF(M130="","",M130+P130+Q130)</f>
      </c>
      <c r="S130" s="86">
        <f>IF(OR(N130="",R130=""),"",N130-R130)</f>
      </c>
    </row>
    <row r="131" spans="1:19">
      <c r="A131" s="85">
        <f>IF(B131="","",ROW()-6)</f>
      </c>
      <c r="B131" s="75"/>
      <c r="C131" s="78"/>
      <c r="D131" s="79"/>
      <c r="E131" s="75"/>
      <c r="F131" s="75"/>
      <c r="G131" s="75"/>
      <c r="H131" s="75"/>
      <c r="I131" s="77"/>
      <c r="J131" s="76">
        <f>IF(I131="","",MAX(0,TODAY()-I131))</f>
      </c>
      <c r="K131" s="75"/>
      <c r="L131" s="75"/>
      <c r="M131" s="80"/>
      <c r="N131" s="80"/>
      <c r="O131" s="80"/>
      <c r="P131" s="81">
        <f>IF(M131="","",'GİDER AYARLARI'!$B$10)</f>
      </c>
      <c r="Q131" s="81">
        <f>IF(OR(M131="",J131=""),"",M131*'GİDER AYARLARI'!$B$8*J131/30)</f>
      </c>
      <c r="R131" s="81">
        <f>IF(M131="","",M131+P131+Q131)</f>
      </c>
      <c r="S131" s="86">
        <f>IF(OR(N131="",R131=""),"",N131-R131)</f>
      </c>
    </row>
    <row r="132" spans="1:19">
      <c r="A132" s="85">
        <f>IF(B132="","",ROW()-6)</f>
      </c>
      <c r="B132" s="75"/>
      <c r="C132" s="78"/>
      <c r="D132" s="79"/>
      <c r="E132" s="75"/>
      <c r="F132" s="75"/>
      <c r="G132" s="75"/>
      <c r="H132" s="75"/>
      <c r="I132" s="77"/>
      <c r="J132" s="76">
        <f>IF(I132="","",MAX(0,TODAY()-I132))</f>
      </c>
      <c r="K132" s="75"/>
      <c r="L132" s="75"/>
      <c r="M132" s="80"/>
      <c r="N132" s="80"/>
      <c r="O132" s="80"/>
      <c r="P132" s="81">
        <f>IF(M132="","",'GİDER AYARLARI'!$B$10)</f>
      </c>
      <c r="Q132" s="81">
        <f>IF(OR(M132="",J132=""),"",M132*'GİDER AYARLARI'!$B$8*J132/30)</f>
      </c>
      <c r="R132" s="81">
        <f>IF(M132="","",M132+P132+Q132)</f>
      </c>
      <c r="S132" s="86">
        <f>IF(OR(N132="",R132=""),"",N132-R132)</f>
      </c>
    </row>
    <row r="133" spans="1:19">
      <c r="A133" s="85">
        <f>IF(B133="","",ROW()-6)</f>
      </c>
      <c r="B133" s="75"/>
      <c r="C133" s="78"/>
      <c r="D133" s="79"/>
      <c r="E133" s="75"/>
      <c r="F133" s="75"/>
      <c r="G133" s="75"/>
      <c r="H133" s="75"/>
      <c r="I133" s="77"/>
      <c r="J133" s="76">
        <f>IF(I133="","",MAX(0,TODAY()-I133))</f>
      </c>
      <c r="K133" s="75"/>
      <c r="L133" s="75"/>
      <c r="M133" s="80"/>
      <c r="N133" s="80"/>
      <c r="O133" s="80"/>
      <c r="P133" s="81">
        <f>IF(M133="","",'GİDER AYARLARI'!$B$10)</f>
      </c>
      <c r="Q133" s="81">
        <f>IF(OR(M133="",J133=""),"",M133*'GİDER AYARLARI'!$B$8*J133/30)</f>
      </c>
      <c r="R133" s="81">
        <f>IF(M133="","",M133+P133+Q133)</f>
      </c>
      <c r="S133" s="86">
        <f>IF(OR(N133="",R133=""),"",N133-R133)</f>
      </c>
    </row>
    <row r="134" spans="1:19">
      <c r="A134" s="85">
        <f>IF(B134="","",ROW()-6)</f>
      </c>
      <c r="B134" s="75"/>
      <c r="C134" s="78"/>
      <c r="D134" s="79"/>
      <c r="E134" s="75"/>
      <c r="F134" s="75"/>
      <c r="G134" s="75"/>
      <c r="H134" s="75"/>
      <c r="I134" s="77"/>
      <c r="J134" s="76">
        <f>IF(I134="","",MAX(0,TODAY()-I134))</f>
      </c>
      <c r="K134" s="75"/>
      <c r="L134" s="75"/>
      <c r="M134" s="80"/>
      <c r="N134" s="80"/>
      <c r="O134" s="80"/>
      <c r="P134" s="81">
        <f>IF(M134="","",'GİDER AYARLARI'!$B$10)</f>
      </c>
      <c r="Q134" s="81">
        <f>IF(OR(M134="",J134=""),"",M134*'GİDER AYARLARI'!$B$8*J134/30)</f>
      </c>
      <c r="R134" s="81">
        <f>IF(M134="","",M134+P134+Q134)</f>
      </c>
      <c r="S134" s="86">
        <f>IF(OR(N134="",R134=""),"",N134-R134)</f>
      </c>
    </row>
    <row r="135" spans="1:19">
      <c r="A135" s="85">
        <f>IF(B135="","",ROW()-6)</f>
      </c>
      <c r="B135" s="75"/>
      <c r="C135" s="78"/>
      <c r="D135" s="79"/>
      <c r="E135" s="75"/>
      <c r="F135" s="75"/>
      <c r="G135" s="75"/>
      <c r="H135" s="75"/>
      <c r="I135" s="77"/>
      <c r="J135" s="76">
        <f>IF(I135="","",MAX(0,TODAY()-I135))</f>
      </c>
      <c r="K135" s="75"/>
      <c r="L135" s="75"/>
      <c r="M135" s="80"/>
      <c r="N135" s="80"/>
      <c r="O135" s="80"/>
      <c r="P135" s="81">
        <f>IF(M135="","",'GİDER AYARLARI'!$B$10)</f>
      </c>
      <c r="Q135" s="81">
        <f>IF(OR(M135="",J135=""),"",M135*'GİDER AYARLARI'!$B$8*J135/30)</f>
      </c>
      <c r="R135" s="81">
        <f>IF(M135="","",M135+P135+Q135)</f>
      </c>
      <c r="S135" s="86">
        <f>IF(OR(N135="",R135=""),"",N135-R135)</f>
      </c>
    </row>
    <row r="136" spans="1:19">
      <c r="A136" s="85">
        <f>IF(B136="","",ROW()-6)</f>
      </c>
      <c r="B136" s="75"/>
      <c r="C136" s="78"/>
      <c r="D136" s="79"/>
      <c r="E136" s="75"/>
      <c r="F136" s="75"/>
      <c r="G136" s="75"/>
      <c r="H136" s="75"/>
      <c r="I136" s="77"/>
      <c r="J136" s="76">
        <f>IF(I136="","",MAX(0,TODAY()-I136))</f>
      </c>
      <c r="K136" s="75"/>
      <c r="L136" s="75"/>
      <c r="M136" s="80"/>
      <c r="N136" s="80"/>
      <c r="O136" s="80"/>
      <c r="P136" s="81">
        <f>IF(M136="","",'GİDER AYARLARI'!$B$10)</f>
      </c>
      <c r="Q136" s="81">
        <f>IF(OR(M136="",J136=""),"",M136*'GİDER AYARLARI'!$B$8*J136/30)</f>
      </c>
      <c r="R136" s="81">
        <f>IF(M136="","",M136+P136+Q136)</f>
      </c>
      <c r="S136" s="86">
        <f>IF(OR(N136="",R136=""),"",N136-R136)</f>
      </c>
    </row>
    <row r="137" spans="1:19">
      <c r="A137" s="85">
        <f>IF(B137="","",ROW()-6)</f>
      </c>
      <c r="B137" s="75"/>
      <c r="C137" s="78"/>
      <c r="D137" s="79"/>
      <c r="E137" s="75"/>
      <c r="F137" s="75"/>
      <c r="G137" s="75"/>
      <c r="H137" s="75"/>
      <c r="I137" s="77"/>
      <c r="J137" s="76">
        <f>IF(I137="","",MAX(0,TODAY()-I137))</f>
      </c>
      <c r="K137" s="75"/>
      <c r="L137" s="75"/>
      <c r="M137" s="80"/>
      <c r="N137" s="80"/>
      <c r="O137" s="80"/>
      <c r="P137" s="81">
        <f>IF(M137="","",'GİDER AYARLARI'!$B$10)</f>
      </c>
      <c r="Q137" s="81">
        <f>IF(OR(M137="",J137=""),"",M137*'GİDER AYARLARI'!$B$8*J137/30)</f>
      </c>
      <c r="R137" s="81">
        <f>IF(M137="","",M137+P137+Q137)</f>
      </c>
      <c r="S137" s="86">
        <f>IF(OR(N137="",R137=""),"",N137-R137)</f>
      </c>
    </row>
    <row r="138" spans="1:19">
      <c r="A138" s="85">
        <f>IF(B138="","",ROW()-6)</f>
      </c>
      <c r="B138" s="75"/>
      <c r="C138" s="78"/>
      <c r="D138" s="79"/>
      <c r="E138" s="75"/>
      <c r="F138" s="75"/>
      <c r="G138" s="75"/>
      <c r="H138" s="75"/>
      <c r="I138" s="77"/>
      <c r="J138" s="76">
        <f>IF(I138="","",MAX(0,TODAY()-I138))</f>
      </c>
      <c r="K138" s="75"/>
      <c r="L138" s="75"/>
      <c r="M138" s="80"/>
      <c r="N138" s="80"/>
      <c r="O138" s="80"/>
      <c r="P138" s="81">
        <f>IF(M138="","",'GİDER AYARLARI'!$B$10)</f>
      </c>
      <c r="Q138" s="81">
        <f>IF(OR(M138="",J138=""),"",M138*'GİDER AYARLARI'!$B$8*J138/30)</f>
      </c>
      <c r="R138" s="81">
        <f>IF(M138="","",M138+P138+Q138)</f>
      </c>
      <c r="S138" s="86">
        <f>IF(OR(N138="",R138=""),"",N138-R138)</f>
      </c>
    </row>
    <row r="139" spans="1:19">
      <c r="A139" s="85">
        <f>IF(B139="","",ROW()-6)</f>
      </c>
      <c r="B139" s="75"/>
      <c r="C139" s="78"/>
      <c r="D139" s="79"/>
      <c r="E139" s="75"/>
      <c r="F139" s="75"/>
      <c r="G139" s="75"/>
      <c r="H139" s="75"/>
      <c r="I139" s="77"/>
      <c r="J139" s="76">
        <f>IF(I139="","",MAX(0,TODAY()-I139))</f>
      </c>
      <c r="K139" s="75"/>
      <c r="L139" s="75"/>
      <c r="M139" s="80"/>
      <c r="N139" s="80"/>
      <c r="O139" s="80"/>
      <c r="P139" s="81">
        <f>IF(M139="","",'GİDER AYARLARI'!$B$10)</f>
      </c>
      <c r="Q139" s="81">
        <f>IF(OR(M139="",J139=""),"",M139*'GİDER AYARLARI'!$B$8*J139/30)</f>
      </c>
      <c r="R139" s="81">
        <f>IF(M139="","",M139+P139+Q139)</f>
      </c>
      <c r="S139" s="86">
        <f>IF(OR(N139="",R139=""),"",N139-R139)</f>
      </c>
    </row>
    <row r="140" spans="1:19">
      <c r="A140" s="85">
        <f>IF(B140="","",ROW()-6)</f>
      </c>
      <c r="B140" s="75"/>
      <c r="C140" s="78"/>
      <c r="D140" s="79"/>
      <c r="E140" s="75"/>
      <c r="F140" s="75"/>
      <c r="G140" s="75"/>
      <c r="H140" s="75"/>
      <c r="I140" s="77"/>
      <c r="J140" s="76">
        <f>IF(I140="","",MAX(0,TODAY()-I140))</f>
      </c>
      <c r="K140" s="75"/>
      <c r="L140" s="75"/>
      <c r="M140" s="80"/>
      <c r="N140" s="80"/>
      <c r="O140" s="80"/>
      <c r="P140" s="81">
        <f>IF(M140="","",'GİDER AYARLARI'!$B$10)</f>
      </c>
      <c r="Q140" s="81">
        <f>IF(OR(M140="",J140=""),"",M140*'GİDER AYARLARI'!$B$8*J140/30)</f>
      </c>
      <c r="R140" s="81">
        <f>IF(M140="","",M140+P140+Q140)</f>
      </c>
      <c r="S140" s="86">
        <f>IF(OR(N140="",R140=""),"",N140-R140)</f>
      </c>
    </row>
    <row r="141" spans="1:19">
      <c r="A141" s="85">
        <f>IF(B141="","",ROW()-6)</f>
      </c>
      <c r="B141" s="75"/>
      <c r="C141" s="78"/>
      <c r="D141" s="79"/>
      <c r="E141" s="75"/>
      <c r="F141" s="75"/>
      <c r="G141" s="75"/>
      <c r="H141" s="75"/>
      <c r="I141" s="77"/>
      <c r="J141" s="76">
        <f>IF(I141="","",MAX(0,TODAY()-I141))</f>
      </c>
      <c r="K141" s="75"/>
      <c r="L141" s="75"/>
      <c r="M141" s="80"/>
      <c r="N141" s="80"/>
      <c r="O141" s="80"/>
      <c r="P141" s="81">
        <f>IF(M141="","",'GİDER AYARLARI'!$B$10)</f>
      </c>
      <c r="Q141" s="81">
        <f>IF(OR(M141="",J141=""),"",M141*'GİDER AYARLARI'!$B$8*J141/30)</f>
      </c>
      <c r="R141" s="81">
        <f>IF(M141="","",M141+P141+Q141)</f>
      </c>
      <c r="S141" s="86">
        <f>IF(OR(N141="",R141=""),"",N141-R141)</f>
      </c>
    </row>
    <row r="142" spans="1:19">
      <c r="A142" s="85">
        <f>IF(B142="","",ROW()-6)</f>
      </c>
      <c r="B142" s="75"/>
      <c r="C142" s="78"/>
      <c r="D142" s="79"/>
      <c r="E142" s="75"/>
      <c r="F142" s="75"/>
      <c r="G142" s="75"/>
      <c r="H142" s="75"/>
      <c r="I142" s="77"/>
      <c r="J142" s="76">
        <f>IF(I142="","",MAX(0,TODAY()-I142))</f>
      </c>
      <c r="K142" s="75"/>
      <c r="L142" s="75"/>
      <c r="M142" s="80"/>
      <c r="N142" s="80"/>
      <c r="O142" s="80"/>
      <c r="P142" s="81">
        <f>IF(M142="","",'GİDER AYARLARI'!$B$10)</f>
      </c>
      <c r="Q142" s="81">
        <f>IF(OR(M142="",J142=""),"",M142*'GİDER AYARLARI'!$B$8*J142/30)</f>
      </c>
      <c r="R142" s="81">
        <f>IF(M142="","",M142+P142+Q142)</f>
      </c>
      <c r="S142" s="86">
        <f>IF(OR(N142="",R142=""),"",N142-R142)</f>
      </c>
    </row>
    <row r="143" spans="1:19">
      <c r="A143" s="85">
        <f>IF(B143="","",ROW()-6)</f>
      </c>
      <c r="B143" s="75"/>
      <c r="C143" s="78"/>
      <c r="D143" s="79"/>
      <c r="E143" s="75"/>
      <c r="F143" s="75"/>
      <c r="G143" s="75"/>
      <c r="H143" s="75"/>
      <c r="I143" s="77"/>
      <c r="J143" s="76">
        <f>IF(I143="","",MAX(0,TODAY()-I143))</f>
      </c>
      <c r="K143" s="75"/>
      <c r="L143" s="75"/>
      <c r="M143" s="80"/>
      <c r="N143" s="80"/>
      <c r="O143" s="80"/>
      <c r="P143" s="81">
        <f>IF(M143="","",'GİDER AYARLARI'!$B$10)</f>
      </c>
      <c r="Q143" s="81">
        <f>IF(OR(M143="",J143=""),"",M143*'GİDER AYARLARI'!$B$8*J143/30)</f>
      </c>
      <c r="R143" s="81">
        <f>IF(M143="","",M143+P143+Q143)</f>
      </c>
      <c r="S143" s="86">
        <f>IF(OR(N143="",R143=""),"",N143-R143)</f>
      </c>
    </row>
    <row r="144" spans="1:19">
      <c r="A144" s="85">
        <f>IF(B144="","",ROW()-6)</f>
      </c>
      <c r="B144" s="75"/>
      <c r="C144" s="78"/>
      <c r="D144" s="79"/>
      <c r="E144" s="75"/>
      <c r="F144" s="75"/>
      <c r="G144" s="75"/>
      <c r="H144" s="75"/>
      <c r="I144" s="77"/>
      <c r="J144" s="76">
        <f>IF(I144="","",MAX(0,TODAY()-I144))</f>
      </c>
      <c r="K144" s="75"/>
      <c r="L144" s="75"/>
      <c r="M144" s="80"/>
      <c r="N144" s="80"/>
      <c r="O144" s="80"/>
      <c r="P144" s="81">
        <f>IF(M144="","",'GİDER AYARLARI'!$B$10)</f>
      </c>
      <c r="Q144" s="81">
        <f>IF(OR(M144="",J144=""),"",M144*'GİDER AYARLARI'!$B$8*J144/30)</f>
      </c>
      <c r="R144" s="81">
        <f>IF(M144="","",M144+P144+Q144)</f>
      </c>
      <c r="S144" s="86">
        <f>IF(OR(N144="",R144=""),"",N144-R144)</f>
      </c>
    </row>
    <row r="145" spans="1:19">
      <c r="A145" s="85">
        <f>IF(B145="","",ROW()-6)</f>
      </c>
      <c r="B145" s="75"/>
      <c r="C145" s="78"/>
      <c r="D145" s="79"/>
      <c r="E145" s="75"/>
      <c r="F145" s="75"/>
      <c r="G145" s="75"/>
      <c r="H145" s="75"/>
      <c r="I145" s="77"/>
      <c r="J145" s="76">
        <f>IF(I145="","",MAX(0,TODAY()-I145))</f>
      </c>
      <c r="K145" s="75"/>
      <c r="L145" s="75"/>
      <c r="M145" s="80"/>
      <c r="N145" s="80"/>
      <c r="O145" s="80"/>
      <c r="P145" s="81">
        <f>IF(M145="","",'GİDER AYARLARI'!$B$10)</f>
      </c>
      <c r="Q145" s="81">
        <f>IF(OR(M145="",J145=""),"",M145*'GİDER AYARLARI'!$B$8*J145/30)</f>
      </c>
      <c r="R145" s="81">
        <f>IF(M145="","",M145+P145+Q145)</f>
      </c>
      <c r="S145" s="86">
        <f>IF(OR(N145="",R145=""),"",N145-R145)</f>
      </c>
    </row>
    <row r="146" spans="1:19">
      <c r="A146" s="85">
        <f>IF(B146="","",ROW()-6)</f>
      </c>
      <c r="B146" s="75"/>
      <c r="C146" s="78"/>
      <c r="D146" s="79"/>
      <c r="E146" s="75"/>
      <c r="F146" s="75"/>
      <c r="G146" s="75"/>
      <c r="H146" s="75"/>
      <c r="I146" s="77"/>
      <c r="J146" s="76">
        <f>IF(I146="","",MAX(0,TODAY()-I146))</f>
      </c>
      <c r="K146" s="75"/>
      <c r="L146" s="75"/>
      <c r="M146" s="80"/>
      <c r="N146" s="80"/>
      <c r="O146" s="80"/>
      <c r="P146" s="81">
        <f>IF(M146="","",'GİDER AYARLARI'!$B$10)</f>
      </c>
      <c r="Q146" s="81">
        <f>IF(OR(M146="",J146=""),"",M146*'GİDER AYARLARI'!$B$8*J146/30)</f>
      </c>
      <c r="R146" s="81">
        <f>IF(M146="","",M146+P146+Q146)</f>
      </c>
      <c r="S146" s="86">
        <f>IF(OR(N146="",R146=""),"",N146-R146)</f>
      </c>
    </row>
    <row r="147" spans="1:19">
      <c r="A147" s="85">
        <f>IF(B147="","",ROW()-6)</f>
      </c>
      <c r="B147" s="75"/>
      <c r="C147" s="78"/>
      <c r="D147" s="79"/>
      <c r="E147" s="75"/>
      <c r="F147" s="75"/>
      <c r="G147" s="75"/>
      <c r="H147" s="75"/>
      <c r="I147" s="77"/>
      <c r="J147" s="76">
        <f>IF(I147="","",MAX(0,TODAY()-I147))</f>
      </c>
      <c r="K147" s="75"/>
      <c r="L147" s="75"/>
      <c r="M147" s="80"/>
      <c r="N147" s="80"/>
      <c r="O147" s="80"/>
      <c r="P147" s="81">
        <f>IF(M147="","",'GİDER AYARLARI'!$B$10)</f>
      </c>
      <c r="Q147" s="81">
        <f>IF(OR(M147="",J147=""),"",M147*'GİDER AYARLARI'!$B$8*J147/30)</f>
      </c>
      <c r="R147" s="81">
        <f>IF(M147="","",M147+P147+Q147)</f>
      </c>
      <c r="S147" s="86">
        <f>IF(OR(N147="",R147=""),"",N147-R147)</f>
      </c>
    </row>
    <row r="148" spans="1:19">
      <c r="A148" s="85">
        <f>IF(B148="","",ROW()-6)</f>
      </c>
      <c r="B148" s="75"/>
      <c r="C148" s="78"/>
      <c r="D148" s="79"/>
      <c r="E148" s="75"/>
      <c r="F148" s="75"/>
      <c r="G148" s="75"/>
      <c r="H148" s="75"/>
      <c r="I148" s="77"/>
      <c r="J148" s="76">
        <f>IF(I148="","",MAX(0,TODAY()-I148))</f>
      </c>
      <c r="K148" s="75"/>
      <c r="L148" s="75"/>
      <c r="M148" s="80"/>
      <c r="N148" s="80"/>
      <c r="O148" s="80"/>
      <c r="P148" s="81">
        <f>IF(M148="","",'GİDER AYARLARI'!$B$10)</f>
      </c>
      <c r="Q148" s="81">
        <f>IF(OR(M148="",J148=""),"",M148*'GİDER AYARLARI'!$B$8*J148/30)</f>
      </c>
      <c r="R148" s="81">
        <f>IF(M148="","",M148+P148+Q148)</f>
      </c>
      <c r="S148" s="86">
        <f>IF(OR(N148="",R148=""),"",N148-R148)</f>
      </c>
    </row>
    <row r="149" spans="1:19">
      <c r="A149" s="85">
        <f>IF(B149="","",ROW()-6)</f>
      </c>
      <c r="B149" s="75"/>
      <c r="C149" s="78"/>
      <c r="D149" s="79"/>
      <c r="E149" s="75"/>
      <c r="F149" s="75"/>
      <c r="G149" s="75"/>
      <c r="H149" s="75"/>
      <c r="I149" s="77"/>
      <c r="J149" s="76">
        <f>IF(I149="","",MAX(0,TODAY()-I149))</f>
      </c>
      <c r="K149" s="75"/>
      <c r="L149" s="75"/>
      <c r="M149" s="80"/>
      <c r="N149" s="80"/>
      <c r="O149" s="80"/>
      <c r="P149" s="81">
        <f>IF(M149="","",'GİDER AYARLARI'!$B$10)</f>
      </c>
      <c r="Q149" s="81">
        <f>IF(OR(M149="",J149=""),"",M149*'GİDER AYARLARI'!$B$8*J149/30)</f>
      </c>
      <c r="R149" s="81">
        <f>IF(M149="","",M149+P149+Q149)</f>
      </c>
      <c r="S149" s="86">
        <f>IF(OR(N149="",R149=""),"",N149-R149)</f>
      </c>
    </row>
    <row r="150" spans="1:19">
      <c r="A150" s="85">
        <f>IF(B150="","",ROW()-6)</f>
      </c>
      <c r="B150" s="75"/>
      <c r="C150" s="78"/>
      <c r="D150" s="79"/>
      <c r="E150" s="75"/>
      <c r="F150" s="75"/>
      <c r="G150" s="75"/>
      <c r="H150" s="75"/>
      <c r="I150" s="77"/>
      <c r="J150" s="76">
        <f>IF(I150="","",MAX(0,TODAY()-I150))</f>
      </c>
      <c r="K150" s="75"/>
      <c r="L150" s="75"/>
      <c r="M150" s="80"/>
      <c r="N150" s="80"/>
      <c r="O150" s="80"/>
      <c r="P150" s="81">
        <f>IF(M150="","",'GİDER AYARLARI'!$B$10)</f>
      </c>
      <c r="Q150" s="81">
        <f>IF(OR(M150="",J150=""),"",M150*'GİDER AYARLARI'!$B$8*J150/30)</f>
      </c>
      <c r="R150" s="81">
        <f>IF(M150="","",M150+P150+Q150)</f>
      </c>
      <c r="S150" s="86">
        <f>IF(OR(N150="",R150=""),"",N150-R150)</f>
      </c>
    </row>
    <row r="151" spans="1:19">
      <c r="A151" s="85">
        <f>IF(B151="","",ROW()-6)</f>
      </c>
      <c r="B151" s="75"/>
      <c r="C151" s="78"/>
      <c r="D151" s="79"/>
      <c r="E151" s="75"/>
      <c r="F151" s="75"/>
      <c r="G151" s="75"/>
      <c r="H151" s="75"/>
      <c r="I151" s="77"/>
      <c r="J151" s="76">
        <f>IF(I151="","",MAX(0,TODAY()-I151))</f>
      </c>
      <c r="K151" s="75"/>
      <c r="L151" s="75"/>
      <c r="M151" s="80"/>
      <c r="N151" s="80"/>
      <c r="O151" s="80"/>
      <c r="P151" s="81">
        <f>IF(M151="","",'GİDER AYARLARI'!$B$10)</f>
      </c>
      <c r="Q151" s="81">
        <f>IF(OR(M151="",J151=""),"",M151*'GİDER AYARLARI'!$B$8*J151/30)</f>
      </c>
      <c r="R151" s="81">
        <f>IF(M151="","",M151+P151+Q151)</f>
      </c>
      <c r="S151" s="86">
        <f>IF(OR(N151="",R151=""),"",N151-R151)</f>
      </c>
    </row>
    <row r="152" spans="1:19">
      <c r="A152" s="85">
        <f>IF(B152="","",ROW()-6)</f>
      </c>
      <c r="B152" s="75"/>
      <c r="C152" s="78"/>
      <c r="D152" s="79"/>
      <c r="E152" s="75"/>
      <c r="F152" s="75"/>
      <c r="G152" s="75"/>
      <c r="H152" s="75"/>
      <c r="I152" s="77"/>
      <c r="J152" s="76">
        <f>IF(I152="","",MAX(0,TODAY()-I152))</f>
      </c>
      <c r="K152" s="75"/>
      <c r="L152" s="75"/>
      <c r="M152" s="80"/>
      <c r="N152" s="80"/>
      <c r="O152" s="80"/>
      <c r="P152" s="81">
        <f>IF(M152="","",'GİDER AYARLARI'!$B$10)</f>
      </c>
      <c r="Q152" s="81">
        <f>IF(OR(M152="",J152=""),"",M152*'GİDER AYARLARI'!$B$8*J152/30)</f>
      </c>
      <c r="R152" s="81">
        <f>IF(M152="","",M152+P152+Q152)</f>
      </c>
      <c r="S152" s="86">
        <f>IF(OR(N152="",R152=""),"",N152-R152)</f>
      </c>
    </row>
    <row r="153" spans="1:19">
      <c r="A153" s="85">
        <f>IF(B153="","",ROW()-6)</f>
      </c>
      <c r="B153" s="75"/>
      <c r="C153" s="78"/>
      <c r="D153" s="79"/>
      <c r="E153" s="75"/>
      <c r="F153" s="75"/>
      <c r="G153" s="75"/>
      <c r="H153" s="75"/>
      <c r="I153" s="77"/>
      <c r="J153" s="76">
        <f>IF(I153="","",MAX(0,TODAY()-I153))</f>
      </c>
      <c r="K153" s="75"/>
      <c r="L153" s="75"/>
      <c r="M153" s="80"/>
      <c r="N153" s="80"/>
      <c r="O153" s="80"/>
      <c r="P153" s="81">
        <f>IF(M153="","",'GİDER AYARLARI'!$B$10)</f>
      </c>
      <c r="Q153" s="81">
        <f>IF(OR(M153="",J153=""),"",M153*'GİDER AYARLARI'!$B$8*J153/30)</f>
      </c>
      <c r="R153" s="81">
        <f>IF(M153="","",M153+P153+Q153)</f>
      </c>
      <c r="S153" s="86">
        <f>IF(OR(N153="",R153=""),"",N153-R153)</f>
      </c>
    </row>
    <row r="154" spans="1:19">
      <c r="A154" s="85">
        <f>IF(B154="","",ROW()-6)</f>
      </c>
      <c r="B154" s="75"/>
      <c r="C154" s="78"/>
      <c r="D154" s="79"/>
      <c r="E154" s="75"/>
      <c r="F154" s="75"/>
      <c r="G154" s="75"/>
      <c r="H154" s="75"/>
      <c r="I154" s="77"/>
      <c r="J154" s="76">
        <f>IF(I154="","",MAX(0,TODAY()-I154))</f>
      </c>
      <c r="K154" s="75"/>
      <c r="L154" s="75"/>
      <c r="M154" s="80"/>
      <c r="N154" s="80"/>
      <c r="O154" s="80"/>
      <c r="P154" s="81">
        <f>IF(M154="","",'GİDER AYARLARI'!$B$10)</f>
      </c>
      <c r="Q154" s="81">
        <f>IF(OR(M154="",J154=""),"",M154*'GİDER AYARLARI'!$B$8*J154/30)</f>
      </c>
      <c r="R154" s="81">
        <f>IF(M154="","",M154+P154+Q154)</f>
      </c>
      <c r="S154" s="86">
        <f>IF(OR(N154="",R154=""),"",N154-R154)</f>
      </c>
    </row>
    <row r="155" spans="1:19">
      <c r="A155" s="85">
        <f>IF(B155="","",ROW()-6)</f>
      </c>
      <c r="B155" s="75"/>
      <c r="C155" s="78"/>
      <c r="D155" s="79"/>
      <c r="E155" s="75"/>
      <c r="F155" s="75"/>
      <c r="G155" s="75"/>
      <c r="H155" s="75"/>
      <c r="I155" s="77"/>
      <c r="J155" s="76">
        <f>IF(I155="","",MAX(0,TODAY()-I155))</f>
      </c>
      <c r="K155" s="75"/>
      <c r="L155" s="75"/>
      <c r="M155" s="80"/>
      <c r="N155" s="80"/>
      <c r="O155" s="80"/>
      <c r="P155" s="81">
        <f>IF(M155="","",'GİDER AYARLARI'!$B$10)</f>
      </c>
      <c r="Q155" s="81">
        <f>IF(OR(M155="",J155=""),"",M155*'GİDER AYARLARI'!$B$8*J155/30)</f>
      </c>
      <c r="R155" s="81">
        <f>IF(M155="","",M155+P155+Q155)</f>
      </c>
      <c r="S155" s="86">
        <f>IF(OR(N155="",R155=""),"",N155-R155)</f>
      </c>
    </row>
    <row r="156" spans="1:19">
      <c r="A156" s="85">
        <f>IF(B156="","",ROW()-6)</f>
      </c>
      <c r="B156" s="75"/>
      <c r="C156" s="78"/>
      <c r="D156" s="79"/>
      <c r="E156" s="75"/>
      <c r="F156" s="75"/>
      <c r="G156" s="75"/>
      <c r="H156" s="75"/>
      <c r="I156" s="77"/>
      <c r="J156" s="76">
        <f>IF(I156="","",MAX(0,TODAY()-I156))</f>
      </c>
      <c r="K156" s="75"/>
      <c r="L156" s="75"/>
      <c r="M156" s="80"/>
      <c r="N156" s="80"/>
      <c r="O156" s="80"/>
      <c r="P156" s="81">
        <f>IF(M156="","",'GİDER AYARLARI'!$B$10)</f>
      </c>
      <c r="Q156" s="81">
        <f>IF(OR(M156="",J156=""),"",M156*'GİDER AYARLARI'!$B$8*J156/30)</f>
      </c>
      <c r="R156" s="81">
        <f>IF(M156="","",M156+P156+Q156)</f>
      </c>
      <c r="S156" s="86">
        <f>IF(OR(N156="",R156=""),"",N156-R156)</f>
      </c>
    </row>
    <row r="157" spans="1:19">
      <c r="A157" s="85">
        <f>IF(B157="","",ROW()-6)</f>
      </c>
      <c r="B157" s="75"/>
      <c r="C157" s="78"/>
      <c r="D157" s="79"/>
      <c r="E157" s="75"/>
      <c r="F157" s="75"/>
      <c r="G157" s="75"/>
      <c r="H157" s="75"/>
      <c r="I157" s="77"/>
      <c r="J157" s="76">
        <f>IF(I157="","",MAX(0,TODAY()-I157))</f>
      </c>
      <c r="K157" s="75"/>
      <c r="L157" s="75"/>
      <c r="M157" s="80"/>
      <c r="N157" s="80"/>
      <c r="O157" s="80"/>
      <c r="P157" s="81">
        <f>IF(M157="","",'GİDER AYARLARI'!$B$10)</f>
      </c>
      <c r="Q157" s="81">
        <f>IF(OR(M157="",J157=""),"",M157*'GİDER AYARLARI'!$B$8*J157/30)</f>
      </c>
      <c r="R157" s="81">
        <f>IF(M157="","",M157+P157+Q157)</f>
      </c>
      <c r="S157" s="86">
        <f>IF(OR(N157="",R157=""),"",N157-R157)</f>
      </c>
    </row>
    <row r="158" spans="1:19">
      <c r="A158" s="85">
        <f>IF(B158="","",ROW()-6)</f>
      </c>
      <c r="B158" s="75"/>
      <c r="C158" s="78"/>
      <c r="D158" s="79"/>
      <c r="E158" s="75"/>
      <c r="F158" s="75"/>
      <c r="G158" s="75"/>
      <c r="H158" s="75"/>
      <c r="I158" s="77"/>
      <c r="J158" s="76">
        <f>IF(I158="","",MAX(0,TODAY()-I158))</f>
      </c>
      <c r="K158" s="75"/>
      <c r="L158" s="75"/>
      <c r="M158" s="80"/>
      <c r="N158" s="80"/>
      <c r="O158" s="80"/>
      <c r="P158" s="81">
        <f>IF(M158="","",'GİDER AYARLARI'!$B$10)</f>
      </c>
      <c r="Q158" s="81">
        <f>IF(OR(M158="",J158=""),"",M158*'GİDER AYARLARI'!$B$8*J158/30)</f>
      </c>
      <c r="R158" s="81">
        <f>IF(M158="","",M158+P158+Q158)</f>
      </c>
      <c r="S158" s="86">
        <f>IF(OR(N158="",R158=""),"",N158-R158)</f>
      </c>
    </row>
    <row r="159" spans="1:19">
      <c r="A159" s="85">
        <f>IF(B159="","",ROW()-6)</f>
      </c>
      <c r="B159" s="75"/>
      <c r="C159" s="78"/>
      <c r="D159" s="79"/>
      <c r="E159" s="75"/>
      <c r="F159" s="75"/>
      <c r="G159" s="75"/>
      <c r="H159" s="75"/>
      <c r="I159" s="77"/>
      <c r="J159" s="76">
        <f>IF(I159="","",MAX(0,TODAY()-I159))</f>
      </c>
      <c r="K159" s="75"/>
      <c r="L159" s="75"/>
      <c r="M159" s="80"/>
      <c r="N159" s="80"/>
      <c r="O159" s="80"/>
      <c r="P159" s="81">
        <f>IF(M159="","",'GİDER AYARLARI'!$B$10)</f>
      </c>
      <c r="Q159" s="81">
        <f>IF(OR(M159="",J159=""),"",M159*'GİDER AYARLARI'!$B$8*J159/30)</f>
      </c>
      <c r="R159" s="81">
        <f>IF(M159="","",M159+P159+Q159)</f>
      </c>
      <c r="S159" s="86">
        <f>IF(OR(N159="",R159=""),"",N159-R159)</f>
      </c>
    </row>
    <row r="160" spans="1:19">
      <c r="A160" s="85">
        <f>IF(B160="","",ROW()-6)</f>
      </c>
      <c r="B160" s="75"/>
      <c r="C160" s="78"/>
      <c r="D160" s="79"/>
      <c r="E160" s="75"/>
      <c r="F160" s="75"/>
      <c r="G160" s="75"/>
      <c r="H160" s="75"/>
      <c r="I160" s="77"/>
      <c r="J160" s="76">
        <f>IF(I160="","",MAX(0,TODAY()-I160))</f>
      </c>
      <c r="K160" s="75"/>
      <c r="L160" s="75"/>
      <c r="M160" s="80"/>
      <c r="N160" s="80"/>
      <c r="O160" s="80"/>
      <c r="P160" s="81">
        <f>IF(M160="","",'GİDER AYARLARI'!$B$10)</f>
      </c>
      <c r="Q160" s="81">
        <f>IF(OR(M160="",J160=""),"",M160*'GİDER AYARLARI'!$B$8*J160/30)</f>
      </c>
      <c r="R160" s="81">
        <f>IF(M160="","",M160+P160+Q160)</f>
      </c>
      <c r="S160" s="86">
        <f>IF(OR(N160="",R160=""),"",N160-R160)</f>
      </c>
    </row>
    <row r="161" spans="1:19">
      <c r="A161" s="85">
        <f>IF(B161="","",ROW()-6)</f>
      </c>
      <c r="B161" s="75"/>
      <c r="C161" s="78"/>
      <c r="D161" s="79"/>
      <c r="E161" s="75"/>
      <c r="F161" s="75"/>
      <c r="G161" s="75"/>
      <c r="H161" s="75"/>
      <c r="I161" s="77"/>
      <c r="J161" s="76">
        <f>IF(I161="","",MAX(0,TODAY()-I161))</f>
      </c>
      <c r="K161" s="75"/>
      <c r="L161" s="75"/>
      <c r="M161" s="80"/>
      <c r="N161" s="80"/>
      <c r="O161" s="80"/>
      <c r="P161" s="81">
        <f>IF(M161="","",'GİDER AYARLARI'!$B$10)</f>
      </c>
      <c r="Q161" s="81">
        <f>IF(OR(M161="",J161=""),"",M161*'GİDER AYARLARI'!$B$8*J161/30)</f>
      </c>
      <c r="R161" s="81">
        <f>IF(M161="","",M161+P161+Q161)</f>
      </c>
      <c r="S161" s="86">
        <f>IF(OR(N161="",R161=""),"",N161-R161)</f>
      </c>
    </row>
    <row r="162" spans="1:19">
      <c r="A162" s="85">
        <f>IF(B162="","",ROW()-6)</f>
      </c>
      <c r="B162" s="75"/>
      <c r="C162" s="78"/>
      <c r="D162" s="79"/>
      <c r="E162" s="75"/>
      <c r="F162" s="75"/>
      <c r="G162" s="75"/>
      <c r="H162" s="75"/>
      <c r="I162" s="77"/>
      <c r="J162" s="76">
        <f>IF(I162="","",MAX(0,TODAY()-I162))</f>
      </c>
      <c r="K162" s="75"/>
      <c r="L162" s="75"/>
      <c r="M162" s="80"/>
      <c r="N162" s="80"/>
      <c r="O162" s="80"/>
      <c r="P162" s="81">
        <f>IF(M162="","",'GİDER AYARLARI'!$B$10)</f>
      </c>
      <c r="Q162" s="81">
        <f>IF(OR(M162="",J162=""),"",M162*'GİDER AYARLARI'!$B$8*J162/30)</f>
      </c>
      <c r="R162" s="81">
        <f>IF(M162="","",M162+P162+Q162)</f>
      </c>
      <c r="S162" s="86">
        <f>IF(OR(N162="",R162=""),"",N162-R162)</f>
      </c>
    </row>
    <row r="163" spans="1:19">
      <c r="A163" s="85">
        <f>IF(B163="","",ROW()-6)</f>
      </c>
      <c r="B163" s="75"/>
      <c r="C163" s="78"/>
      <c r="D163" s="79"/>
      <c r="E163" s="75"/>
      <c r="F163" s="75"/>
      <c r="G163" s="75"/>
      <c r="H163" s="75"/>
      <c r="I163" s="77"/>
      <c r="J163" s="76">
        <f>IF(I163="","",MAX(0,TODAY()-I163))</f>
      </c>
      <c r="K163" s="75"/>
      <c r="L163" s="75"/>
      <c r="M163" s="80"/>
      <c r="N163" s="80"/>
      <c r="O163" s="80"/>
      <c r="P163" s="81">
        <f>IF(M163="","",'GİDER AYARLARI'!$B$10)</f>
      </c>
      <c r="Q163" s="81">
        <f>IF(OR(M163="",J163=""),"",M163*'GİDER AYARLARI'!$B$8*J163/30)</f>
      </c>
      <c r="R163" s="81">
        <f>IF(M163="","",M163+P163+Q163)</f>
      </c>
      <c r="S163" s="86">
        <f>IF(OR(N163="",R163=""),"",N163-R163)</f>
      </c>
    </row>
    <row r="164" spans="1:19">
      <c r="A164" s="85">
        <f>IF(B164="","",ROW()-6)</f>
      </c>
      <c r="B164" s="75"/>
      <c r="C164" s="78"/>
      <c r="D164" s="79"/>
      <c r="E164" s="75"/>
      <c r="F164" s="75"/>
      <c r="G164" s="75"/>
      <c r="H164" s="75"/>
      <c r="I164" s="77"/>
      <c r="J164" s="76">
        <f>IF(I164="","",MAX(0,TODAY()-I164))</f>
      </c>
      <c r="K164" s="75"/>
      <c r="L164" s="75"/>
      <c r="M164" s="80"/>
      <c r="N164" s="80"/>
      <c r="O164" s="80"/>
      <c r="P164" s="81">
        <f>IF(M164="","",'GİDER AYARLARI'!$B$10)</f>
      </c>
      <c r="Q164" s="81">
        <f>IF(OR(M164="",J164=""),"",M164*'GİDER AYARLARI'!$B$8*J164/30)</f>
      </c>
      <c r="R164" s="81">
        <f>IF(M164="","",M164+P164+Q164)</f>
      </c>
      <c r="S164" s="86">
        <f>IF(OR(N164="",R164=""),"",N164-R164)</f>
      </c>
    </row>
    <row r="165" spans="1:19">
      <c r="A165" s="85">
        <f>IF(B165="","",ROW()-6)</f>
      </c>
      <c r="B165" s="75"/>
      <c r="C165" s="78"/>
      <c r="D165" s="79"/>
      <c r="E165" s="75"/>
      <c r="F165" s="75"/>
      <c r="G165" s="75"/>
      <c r="H165" s="75"/>
      <c r="I165" s="77"/>
      <c r="J165" s="76">
        <f>IF(I165="","",MAX(0,TODAY()-I165))</f>
      </c>
      <c r="K165" s="75"/>
      <c r="L165" s="75"/>
      <c r="M165" s="80"/>
      <c r="N165" s="80"/>
      <c r="O165" s="80"/>
      <c r="P165" s="81">
        <f>IF(M165="","",'GİDER AYARLARI'!$B$10)</f>
      </c>
      <c r="Q165" s="81">
        <f>IF(OR(M165="",J165=""),"",M165*'GİDER AYARLARI'!$B$8*J165/30)</f>
      </c>
      <c r="R165" s="81">
        <f>IF(M165="","",M165+P165+Q165)</f>
      </c>
      <c r="S165" s="86">
        <f>IF(OR(N165="",R165=""),"",N165-R165)</f>
      </c>
    </row>
    <row r="166" spans="1:19">
      <c r="A166" s="85">
        <f>IF(B166="","",ROW()-6)</f>
      </c>
      <c r="B166" s="75"/>
      <c r="C166" s="78"/>
      <c r="D166" s="79"/>
      <c r="E166" s="75"/>
      <c r="F166" s="75"/>
      <c r="G166" s="75"/>
      <c r="H166" s="75"/>
      <c r="I166" s="77"/>
      <c r="J166" s="76">
        <f>IF(I166="","",MAX(0,TODAY()-I166))</f>
      </c>
      <c r="K166" s="75"/>
      <c r="L166" s="75"/>
      <c r="M166" s="80"/>
      <c r="N166" s="80"/>
      <c r="O166" s="80"/>
      <c r="P166" s="81">
        <f>IF(M166="","",'GİDER AYARLARI'!$B$10)</f>
      </c>
      <c r="Q166" s="81">
        <f>IF(OR(M166="",J166=""),"",M166*'GİDER AYARLARI'!$B$8*J166/30)</f>
      </c>
      <c r="R166" s="81">
        <f>IF(M166="","",M166+P166+Q166)</f>
      </c>
      <c r="S166" s="86">
        <f>IF(OR(N166="",R166=""),"",N166-R166)</f>
      </c>
    </row>
    <row r="167" spans="1:19">
      <c r="A167" s="85">
        <f>IF(B167="","",ROW()-6)</f>
      </c>
      <c r="B167" s="75"/>
      <c r="C167" s="78"/>
      <c r="D167" s="79"/>
      <c r="E167" s="75"/>
      <c r="F167" s="75"/>
      <c r="G167" s="75"/>
      <c r="H167" s="75"/>
      <c r="I167" s="77"/>
      <c r="J167" s="76">
        <f>IF(I167="","",MAX(0,TODAY()-I167))</f>
      </c>
      <c r="K167" s="75"/>
      <c r="L167" s="75"/>
      <c r="M167" s="80"/>
      <c r="N167" s="80"/>
      <c r="O167" s="80"/>
      <c r="P167" s="81">
        <f>IF(M167="","",'GİDER AYARLARI'!$B$10)</f>
      </c>
      <c r="Q167" s="81">
        <f>IF(OR(M167="",J167=""),"",M167*'GİDER AYARLARI'!$B$8*J167/30)</f>
      </c>
      <c r="R167" s="81">
        <f>IF(M167="","",M167+P167+Q167)</f>
      </c>
      <c r="S167" s="86">
        <f>IF(OR(N167="",R167=""),"",N167-R167)</f>
      </c>
    </row>
    <row r="168" spans="1:19">
      <c r="A168" s="85">
        <f>IF(B168="","",ROW()-6)</f>
      </c>
      <c r="B168" s="75"/>
      <c r="C168" s="78"/>
      <c r="D168" s="79"/>
      <c r="E168" s="75"/>
      <c r="F168" s="75"/>
      <c r="G168" s="75"/>
      <c r="H168" s="75"/>
      <c r="I168" s="77"/>
      <c r="J168" s="76">
        <f>IF(I168="","",MAX(0,TODAY()-I168))</f>
      </c>
      <c r="K168" s="75"/>
      <c r="L168" s="75"/>
      <c r="M168" s="80"/>
      <c r="N168" s="80"/>
      <c r="O168" s="80"/>
      <c r="P168" s="81">
        <f>IF(M168="","",'GİDER AYARLARI'!$B$10)</f>
      </c>
      <c r="Q168" s="81">
        <f>IF(OR(M168="",J168=""),"",M168*'GİDER AYARLARI'!$B$8*J168/30)</f>
      </c>
      <c r="R168" s="81">
        <f>IF(M168="","",M168+P168+Q168)</f>
      </c>
      <c r="S168" s="86">
        <f>IF(OR(N168="",R168=""),"",N168-R168)</f>
      </c>
    </row>
    <row r="169" spans="1:19">
      <c r="A169" s="85">
        <f>IF(B169="","",ROW()-6)</f>
      </c>
      <c r="B169" s="75"/>
      <c r="C169" s="78"/>
      <c r="D169" s="79"/>
      <c r="E169" s="75"/>
      <c r="F169" s="75"/>
      <c r="G169" s="75"/>
      <c r="H169" s="75"/>
      <c r="I169" s="77"/>
      <c r="J169" s="76">
        <f>IF(I169="","",MAX(0,TODAY()-I169))</f>
      </c>
      <c r="K169" s="75"/>
      <c r="L169" s="75"/>
      <c r="M169" s="80"/>
      <c r="N169" s="80"/>
      <c r="O169" s="80"/>
      <c r="P169" s="81">
        <f>IF(M169="","",'GİDER AYARLARI'!$B$10)</f>
      </c>
      <c r="Q169" s="81">
        <f>IF(OR(M169="",J169=""),"",M169*'GİDER AYARLARI'!$B$8*J169/30)</f>
      </c>
      <c r="R169" s="81">
        <f>IF(M169="","",M169+P169+Q169)</f>
      </c>
      <c r="S169" s="86">
        <f>IF(OR(N169="",R169=""),"",N169-R169)</f>
      </c>
    </row>
    <row r="170" spans="1:19">
      <c r="A170" s="85">
        <f>IF(B170="","",ROW()-6)</f>
      </c>
      <c r="B170" s="75"/>
      <c r="C170" s="78"/>
      <c r="D170" s="79"/>
      <c r="E170" s="75"/>
      <c r="F170" s="75"/>
      <c r="G170" s="75"/>
      <c r="H170" s="75"/>
      <c r="I170" s="77"/>
      <c r="J170" s="76">
        <f>IF(I170="","",MAX(0,TODAY()-I170))</f>
      </c>
      <c r="K170" s="75"/>
      <c r="L170" s="75"/>
      <c r="M170" s="80"/>
      <c r="N170" s="80"/>
      <c r="O170" s="80"/>
      <c r="P170" s="81">
        <f>IF(M170="","",'GİDER AYARLARI'!$B$10)</f>
      </c>
      <c r="Q170" s="81">
        <f>IF(OR(M170="",J170=""),"",M170*'GİDER AYARLARI'!$B$8*J170/30)</f>
      </c>
      <c r="R170" s="81">
        <f>IF(M170="","",M170+P170+Q170)</f>
      </c>
      <c r="S170" s="86">
        <f>IF(OR(N170="",R170=""),"",N170-R170)</f>
      </c>
    </row>
    <row r="171" spans="1:19">
      <c r="A171" s="85">
        <f>IF(B171="","",ROW()-6)</f>
      </c>
      <c r="B171" s="75"/>
      <c r="C171" s="78"/>
      <c r="D171" s="79"/>
      <c r="E171" s="75"/>
      <c r="F171" s="75"/>
      <c r="G171" s="75"/>
      <c r="H171" s="75"/>
      <c r="I171" s="77"/>
      <c r="J171" s="76">
        <f>IF(I171="","",MAX(0,TODAY()-I171))</f>
      </c>
      <c r="K171" s="75"/>
      <c r="L171" s="75"/>
      <c r="M171" s="80"/>
      <c r="N171" s="80"/>
      <c r="O171" s="80"/>
      <c r="P171" s="81">
        <f>IF(M171="","",'GİDER AYARLARI'!$B$10)</f>
      </c>
      <c r="Q171" s="81">
        <f>IF(OR(M171="",J171=""),"",M171*'GİDER AYARLARI'!$B$8*J171/30)</f>
      </c>
      <c r="R171" s="81">
        <f>IF(M171="","",M171+P171+Q171)</f>
      </c>
      <c r="S171" s="86">
        <f>IF(OR(N171="",R171=""),"",N171-R171)</f>
      </c>
    </row>
    <row r="172" spans="1:19">
      <c r="A172" s="85">
        <f>IF(B172="","",ROW()-6)</f>
      </c>
      <c r="B172" s="75"/>
      <c r="C172" s="78"/>
      <c r="D172" s="79"/>
      <c r="E172" s="75"/>
      <c r="F172" s="75"/>
      <c r="G172" s="75"/>
      <c r="H172" s="75"/>
      <c r="I172" s="77"/>
      <c r="J172" s="76">
        <f>IF(I172="","",MAX(0,TODAY()-I172))</f>
      </c>
      <c r="K172" s="75"/>
      <c r="L172" s="75"/>
      <c r="M172" s="80"/>
      <c r="N172" s="80"/>
      <c r="O172" s="80"/>
      <c r="P172" s="81">
        <f>IF(M172="","",'GİDER AYARLARI'!$B$10)</f>
      </c>
      <c r="Q172" s="81">
        <f>IF(OR(M172="",J172=""),"",M172*'GİDER AYARLARI'!$B$8*J172/30)</f>
      </c>
      <c r="R172" s="81">
        <f>IF(M172="","",M172+P172+Q172)</f>
      </c>
      <c r="S172" s="86">
        <f>IF(OR(N172="",R172=""),"",N172-R172)</f>
      </c>
    </row>
    <row r="173" spans="1:19">
      <c r="A173" s="85">
        <f>IF(B173="","",ROW()-6)</f>
      </c>
      <c r="B173" s="75"/>
      <c r="C173" s="78"/>
      <c r="D173" s="79"/>
      <c r="E173" s="75"/>
      <c r="F173" s="75"/>
      <c r="G173" s="75"/>
      <c r="H173" s="75"/>
      <c r="I173" s="77"/>
      <c r="J173" s="76">
        <f>IF(I173="","",MAX(0,TODAY()-I173))</f>
      </c>
      <c r="K173" s="75"/>
      <c r="L173" s="75"/>
      <c r="M173" s="80"/>
      <c r="N173" s="80"/>
      <c r="O173" s="80"/>
      <c r="P173" s="81">
        <f>IF(M173="","",'GİDER AYARLARI'!$B$10)</f>
      </c>
      <c r="Q173" s="81">
        <f>IF(OR(M173="",J173=""),"",M173*'GİDER AYARLARI'!$B$8*J173/30)</f>
      </c>
      <c r="R173" s="81">
        <f>IF(M173="","",M173+P173+Q173)</f>
      </c>
      <c r="S173" s="86">
        <f>IF(OR(N173="",R173=""),"",N173-R173)</f>
      </c>
    </row>
    <row r="174" spans="1:19">
      <c r="A174" s="85">
        <f>IF(B174="","",ROW()-6)</f>
      </c>
      <c r="B174" s="75"/>
      <c r="C174" s="78"/>
      <c r="D174" s="79"/>
      <c r="E174" s="75"/>
      <c r="F174" s="75"/>
      <c r="G174" s="75"/>
      <c r="H174" s="75"/>
      <c r="I174" s="77"/>
      <c r="J174" s="76">
        <f>IF(I174="","",MAX(0,TODAY()-I174))</f>
      </c>
      <c r="K174" s="75"/>
      <c r="L174" s="75"/>
      <c r="M174" s="80"/>
      <c r="N174" s="80"/>
      <c r="O174" s="80"/>
      <c r="P174" s="81">
        <f>IF(M174="","",'GİDER AYARLARI'!$B$10)</f>
      </c>
      <c r="Q174" s="81">
        <f>IF(OR(M174="",J174=""),"",M174*'GİDER AYARLARI'!$B$8*J174/30)</f>
      </c>
      <c r="R174" s="81">
        <f>IF(M174="","",M174+P174+Q174)</f>
      </c>
      <c r="S174" s="86">
        <f>IF(OR(N174="",R174=""),"",N174-R174)</f>
      </c>
    </row>
    <row r="175" spans="1:19">
      <c r="A175" s="85">
        <f>IF(B175="","",ROW()-6)</f>
      </c>
      <c r="B175" s="75"/>
      <c r="C175" s="78"/>
      <c r="D175" s="79"/>
      <c r="E175" s="75"/>
      <c r="F175" s="75"/>
      <c r="G175" s="75"/>
      <c r="H175" s="75"/>
      <c r="I175" s="77"/>
      <c r="J175" s="76">
        <f>IF(I175="","",MAX(0,TODAY()-I175))</f>
      </c>
      <c r="K175" s="75"/>
      <c r="L175" s="75"/>
      <c r="M175" s="80"/>
      <c r="N175" s="80"/>
      <c r="O175" s="80"/>
      <c r="P175" s="81">
        <f>IF(M175="","",'GİDER AYARLARI'!$B$10)</f>
      </c>
      <c r="Q175" s="81">
        <f>IF(OR(M175="",J175=""),"",M175*'GİDER AYARLARI'!$B$8*J175/30)</f>
      </c>
      <c r="R175" s="81">
        <f>IF(M175="","",M175+P175+Q175)</f>
      </c>
      <c r="S175" s="86">
        <f>IF(OR(N175="",R175=""),"",N175-R175)</f>
      </c>
    </row>
    <row r="176" spans="1:19">
      <c r="A176" s="85">
        <f>IF(B176="","",ROW()-6)</f>
      </c>
      <c r="B176" s="75"/>
      <c r="C176" s="78"/>
      <c r="D176" s="79"/>
      <c r="E176" s="75"/>
      <c r="F176" s="75"/>
      <c r="G176" s="75"/>
      <c r="H176" s="75"/>
      <c r="I176" s="77"/>
      <c r="J176" s="76">
        <f>IF(I176="","",MAX(0,TODAY()-I176))</f>
      </c>
      <c r="K176" s="75"/>
      <c r="L176" s="75"/>
      <c r="M176" s="80"/>
      <c r="N176" s="80"/>
      <c r="O176" s="80"/>
      <c r="P176" s="81">
        <f>IF(M176="","",'GİDER AYARLARI'!$B$10)</f>
      </c>
      <c r="Q176" s="81">
        <f>IF(OR(M176="",J176=""),"",M176*'GİDER AYARLARI'!$B$8*J176/30)</f>
      </c>
      <c r="R176" s="81">
        <f>IF(M176="","",M176+P176+Q176)</f>
      </c>
      <c r="S176" s="86">
        <f>IF(OR(N176="",R176=""),"",N176-R176)</f>
      </c>
    </row>
    <row r="177" spans="1:19">
      <c r="A177" s="85">
        <f>IF(B177="","",ROW()-6)</f>
      </c>
      <c r="B177" s="75"/>
      <c r="C177" s="78"/>
      <c r="D177" s="79"/>
      <c r="E177" s="75"/>
      <c r="F177" s="75"/>
      <c r="G177" s="75"/>
      <c r="H177" s="75"/>
      <c r="I177" s="77"/>
      <c r="J177" s="76">
        <f>IF(I177="","",MAX(0,TODAY()-I177))</f>
      </c>
      <c r="K177" s="75"/>
      <c r="L177" s="75"/>
      <c r="M177" s="80"/>
      <c r="N177" s="80"/>
      <c r="O177" s="80"/>
      <c r="P177" s="81">
        <f>IF(M177="","",'GİDER AYARLARI'!$B$10)</f>
      </c>
      <c r="Q177" s="81">
        <f>IF(OR(M177="",J177=""),"",M177*'GİDER AYARLARI'!$B$8*J177/30)</f>
      </c>
      <c r="R177" s="81">
        <f>IF(M177="","",M177+P177+Q177)</f>
      </c>
      <c r="S177" s="86">
        <f>IF(OR(N177="",R177=""),"",N177-R177)</f>
      </c>
    </row>
    <row r="178" spans="1:19">
      <c r="A178" s="85">
        <f>IF(B178="","",ROW()-6)</f>
      </c>
      <c r="B178" s="75"/>
      <c r="C178" s="78"/>
      <c r="D178" s="79"/>
      <c r="E178" s="75"/>
      <c r="F178" s="75"/>
      <c r="G178" s="75"/>
      <c r="H178" s="75"/>
      <c r="I178" s="77"/>
      <c r="J178" s="76">
        <f>IF(I178="","",MAX(0,TODAY()-I178))</f>
      </c>
      <c r="K178" s="75"/>
      <c r="L178" s="75"/>
      <c r="M178" s="80"/>
      <c r="N178" s="80"/>
      <c r="O178" s="80"/>
      <c r="P178" s="81">
        <f>IF(M178="","",'GİDER AYARLARI'!$B$10)</f>
      </c>
      <c r="Q178" s="81">
        <f>IF(OR(M178="",J178=""),"",M178*'GİDER AYARLARI'!$B$8*J178/30)</f>
      </c>
      <c r="R178" s="81">
        <f>IF(M178="","",M178+P178+Q178)</f>
      </c>
      <c r="S178" s="86">
        <f>IF(OR(N178="",R178=""),"",N178-R178)</f>
      </c>
    </row>
    <row r="179" spans="1:19">
      <c r="A179" s="85">
        <f>IF(B179="","",ROW()-6)</f>
      </c>
      <c r="B179" s="75"/>
      <c r="C179" s="78"/>
      <c r="D179" s="79"/>
      <c r="E179" s="75"/>
      <c r="F179" s="75"/>
      <c r="G179" s="75"/>
      <c r="H179" s="75"/>
      <c r="I179" s="77"/>
      <c r="J179" s="76">
        <f>IF(I179="","",MAX(0,TODAY()-I179))</f>
      </c>
      <c r="K179" s="75"/>
      <c r="L179" s="75"/>
      <c r="M179" s="80"/>
      <c r="N179" s="80"/>
      <c r="O179" s="80"/>
      <c r="P179" s="81">
        <f>IF(M179="","",'GİDER AYARLARI'!$B$10)</f>
      </c>
      <c r="Q179" s="81">
        <f>IF(OR(M179="",J179=""),"",M179*'GİDER AYARLARI'!$B$8*J179/30)</f>
      </c>
      <c r="R179" s="81">
        <f>IF(M179="","",M179+P179+Q179)</f>
      </c>
      <c r="S179" s="86">
        <f>IF(OR(N179="",R179=""),"",N179-R179)</f>
      </c>
    </row>
    <row r="180" spans="1:19">
      <c r="A180" s="85">
        <f>IF(B180="","",ROW()-6)</f>
      </c>
      <c r="B180" s="75"/>
      <c r="C180" s="78"/>
      <c r="D180" s="79"/>
      <c r="E180" s="75"/>
      <c r="F180" s="75"/>
      <c r="G180" s="75"/>
      <c r="H180" s="75"/>
      <c r="I180" s="77"/>
      <c r="J180" s="76">
        <f>IF(I180="","",MAX(0,TODAY()-I180))</f>
      </c>
      <c r="K180" s="75"/>
      <c r="L180" s="75"/>
      <c r="M180" s="80"/>
      <c r="N180" s="80"/>
      <c r="O180" s="80"/>
      <c r="P180" s="81">
        <f>IF(M180="","",'GİDER AYARLARI'!$B$10)</f>
      </c>
      <c r="Q180" s="81">
        <f>IF(OR(M180="",J180=""),"",M180*'GİDER AYARLARI'!$B$8*J180/30)</f>
      </c>
      <c r="R180" s="81">
        <f>IF(M180="","",M180+P180+Q180)</f>
      </c>
      <c r="S180" s="86">
        <f>IF(OR(N180="",R180=""),"",N180-R180)</f>
      </c>
    </row>
    <row r="181" spans="1:19">
      <c r="A181" s="85">
        <f>IF(B181="","",ROW()-6)</f>
      </c>
      <c r="B181" s="75"/>
      <c r="C181" s="78"/>
      <c r="D181" s="79"/>
      <c r="E181" s="75"/>
      <c r="F181" s="75"/>
      <c r="G181" s="75"/>
      <c r="H181" s="75"/>
      <c r="I181" s="77"/>
      <c r="J181" s="76">
        <f>IF(I181="","",MAX(0,TODAY()-I181))</f>
      </c>
      <c r="K181" s="75"/>
      <c r="L181" s="75"/>
      <c r="M181" s="80"/>
      <c r="N181" s="80"/>
      <c r="O181" s="80"/>
      <c r="P181" s="81">
        <f>IF(M181="","",'GİDER AYARLARI'!$B$10)</f>
      </c>
      <c r="Q181" s="81">
        <f>IF(OR(M181="",J181=""),"",M181*'GİDER AYARLARI'!$B$8*J181/30)</f>
      </c>
      <c r="R181" s="81">
        <f>IF(M181="","",M181+P181+Q181)</f>
      </c>
      <c r="S181" s="86">
        <f>IF(OR(N181="",R181=""),"",N181-R181)</f>
      </c>
    </row>
    <row r="182" spans="1:19">
      <c r="A182" s="85">
        <f>IF(B182="","",ROW()-6)</f>
      </c>
      <c r="B182" s="75"/>
      <c r="C182" s="78"/>
      <c r="D182" s="79"/>
      <c r="E182" s="75"/>
      <c r="F182" s="75"/>
      <c r="G182" s="75"/>
      <c r="H182" s="75"/>
      <c r="I182" s="77"/>
      <c r="J182" s="76">
        <f>IF(I182="","",MAX(0,TODAY()-I182))</f>
      </c>
      <c r="K182" s="75"/>
      <c r="L182" s="75"/>
      <c r="M182" s="80"/>
      <c r="N182" s="80"/>
      <c r="O182" s="80"/>
      <c r="P182" s="81">
        <f>IF(M182="","",'GİDER AYARLARI'!$B$10)</f>
      </c>
      <c r="Q182" s="81">
        <f>IF(OR(M182="",J182=""),"",M182*'GİDER AYARLARI'!$B$8*J182/30)</f>
      </c>
      <c r="R182" s="81">
        <f>IF(M182="","",M182+P182+Q182)</f>
      </c>
      <c r="S182" s="86">
        <f>IF(OR(N182="",R182=""),"",N182-R182)</f>
      </c>
    </row>
    <row r="183" spans="1:19">
      <c r="A183" s="85">
        <f>IF(B183="","",ROW()-6)</f>
      </c>
      <c r="B183" s="75"/>
      <c r="C183" s="78"/>
      <c r="D183" s="79"/>
      <c r="E183" s="75"/>
      <c r="F183" s="75"/>
      <c r="G183" s="75"/>
      <c r="H183" s="75"/>
      <c r="I183" s="77"/>
      <c r="J183" s="76">
        <f>IF(I183="","",MAX(0,TODAY()-I183))</f>
      </c>
      <c r="K183" s="75"/>
      <c r="L183" s="75"/>
      <c r="M183" s="80"/>
      <c r="N183" s="80"/>
      <c r="O183" s="80"/>
      <c r="P183" s="81">
        <f>IF(M183="","",'GİDER AYARLARI'!$B$10)</f>
      </c>
      <c r="Q183" s="81">
        <f>IF(OR(M183="",J183=""),"",M183*'GİDER AYARLARI'!$B$8*J183/30)</f>
      </c>
      <c r="R183" s="81">
        <f>IF(M183="","",M183+P183+Q183)</f>
      </c>
      <c r="S183" s="86">
        <f>IF(OR(N183="",R183=""),"",N183-R183)</f>
      </c>
    </row>
    <row r="184" spans="1:19">
      <c r="A184" s="85">
        <f>IF(B184="","",ROW()-6)</f>
      </c>
      <c r="B184" s="75"/>
      <c r="C184" s="78"/>
      <c r="D184" s="79"/>
      <c r="E184" s="75"/>
      <c r="F184" s="75"/>
      <c r="G184" s="75"/>
      <c r="H184" s="75"/>
      <c r="I184" s="77"/>
      <c r="J184" s="76">
        <f>IF(I184="","",MAX(0,TODAY()-I184))</f>
      </c>
      <c r="K184" s="75"/>
      <c r="L184" s="75"/>
      <c r="M184" s="80"/>
      <c r="N184" s="80"/>
      <c r="O184" s="80"/>
      <c r="P184" s="81">
        <f>IF(M184="","",'GİDER AYARLARI'!$B$10)</f>
      </c>
      <c r="Q184" s="81">
        <f>IF(OR(M184="",J184=""),"",M184*'GİDER AYARLARI'!$B$8*J184/30)</f>
      </c>
      <c r="R184" s="81">
        <f>IF(M184="","",M184+P184+Q184)</f>
      </c>
      <c r="S184" s="86">
        <f>IF(OR(N184="",R184=""),"",N184-R184)</f>
      </c>
    </row>
    <row r="185" spans="1:19">
      <c r="A185" s="85">
        <f>IF(B185="","",ROW()-6)</f>
      </c>
      <c r="B185" s="75"/>
      <c r="C185" s="78"/>
      <c r="D185" s="79"/>
      <c r="E185" s="75"/>
      <c r="F185" s="75"/>
      <c r="G185" s="75"/>
      <c r="H185" s="75"/>
      <c r="I185" s="77"/>
      <c r="J185" s="76">
        <f>IF(I185="","",MAX(0,TODAY()-I185))</f>
      </c>
      <c r="K185" s="75"/>
      <c r="L185" s="75"/>
      <c r="M185" s="80"/>
      <c r="N185" s="80"/>
      <c r="O185" s="80"/>
      <c r="P185" s="81">
        <f>IF(M185="","",'GİDER AYARLARI'!$B$10)</f>
      </c>
      <c r="Q185" s="81">
        <f>IF(OR(M185="",J185=""),"",M185*'GİDER AYARLARI'!$B$8*J185/30)</f>
      </c>
      <c r="R185" s="81">
        <f>IF(M185="","",M185+P185+Q185)</f>
      </c>
      <c r="S185" s="86">
        <f>IF(OR(N185="",R185=""),"",N185-R185)</f>
      </c>
    </row>
    <row r="186" spans="1:19">
      <c r="A186" s="85">
        <f>IF(B186="","",ROW()-6)</f>
      </c>
      <c r="B186" s="75"/>
      <c r="C186" s="78"/>
      <c r="D186" s="79"/>
      <c r="E186" s="75"/>
      <c r="F186" s="75"/>
      <c r="G186" s="75"/>
      <c r="H186" s="75"/>
      <c r="I186" s="77"/>
      <c r="J186" s="76">
        <f>IF(I186="","",MAX(0,TODAY()-I186))</f>
      </c>
      <c r="K186" s="75"/>
      <c r="L186" s="75"/>
      <c r="M186" s="80"/>
      <c r="N186" s="80"/>
      <c r="O186" s="80"/>
      <c r="P186" s="81">
        <f>IF(M186="","",'GİDER AYARLARI'!$B$10)</f>
      </c>
      <c r="Q186" s="81">
        <f>IF(OR(M186="",J186=""),"",M186*'GİDER AYARLARI'!$B$8*J186/30)</f>
      </c>
      <c r="R186" s="81">
        <f>IF(M186="","",M186+P186+Q186)</f>
      </c>
      <c r="S186" s="86">
        <f>IF(OR(N186="",R186=""),"",N186-R186)</f>
      </c>
    </row>
    <row r="187" spans="1:19">
      <c r="A187" s="85">
        <f>IF(B187="","",ROW()-6)</f>
      </c>
      <c r="B187" s="75"/>
      <c r="C187" s="78"/>
      <c r="D187" s="79"/>
      <c r="E187" s="75"/>
      <c r="F187" s="75"/>
      <c r="G187" s="75"/>
      <c r="H187" s="75"/>
      <c r="I187" s="77"/>
      <c r="J187" s="76">
        <f>IF(I187="","",MAX(0,TODAY()-I187))</f>
      </c>
      <c r="K187" s="75"/>
      <c r="L187" s="75"/>
      <c r="M187" s="80"/>
      <c r="N187" s="80"/>
      <c r="O187" s="80"/>
      <c r="P187" s="81">
        <f>IF(M187="","",'GİDER AYARLARI'!$B$10)</f>
      </c>
      <c r="Q187" s="81">
        <f>IF(OR(M187="",J187=""),"",M187*'GİDER AYARLARI'!$B$8*J187/30)</f>
      </c>
      <c r="R187" s="81">
        <f>IF(M187="","",M187+P187+Q187)</f>
      </c>
      <c r="S187" s="86">
        <f>IF(OR(N187="",R187=""),"",N187-R187)</f>
      </c>
    </row>
    <row r="188" spans="1:19">
      <c r="A188" s="85">
        <f>IF(B188="","",ROW()-6)</f>
      </c>
      <c r="B188" s="75"/>
      <c r="C188" s="78"/>
      <c r="D188" s="79"/>
      <c r="E188" s="75"/>
      <c r="F188" s="75"/>
      <c r="G188" s="75"/>
      <c r="H188" s="75"/>
      <c r="I188" s="77"/>
      <c r="J188" s="76">
        <f>IF(I188="","",MAX(0,TODAY()-I188))</f>
      </c>
      <c r="K188" s="75"/>
      <c r="L188" s="75"/>
      <c r="M188" s="80"/>
      <c r="N188" s="80"/>
      <c r="O188" s="80"/>
      <c r="P188" s="81">
        <f>IF(M188="","",'GİDER AYARLARI'!$B$10)</f>
      </c>
      <c r="Q188" s="81">
        <f>IF(OR(M188="",J188=""),"",M188*'GİDER AYARLARI'!$B$8*J188/30)</f>
      </c>
      <c r="R188" s="81">
        <f>IF(M188="","",M188+P188+Q188)</f>
      </c>
      <c r="S188" s="86">
        <f>IF(OR(N188="",R188=""),"",N188-R188)</f>
      </c>
    </row>
    <row r="189" spans="1:19">
      <c r="A189" s="85">
        <f>IF(B189="","",ROW()-6)</f>
      </c>
      <c r="B189" s="75"/>
      <c r="C189" s="78"/>
      <c r="D189" s="79"/>
      <c r="E189" s="75"/>
      <c r="F189" s="75"/>
      <c r="G189" s="75"/>
      <c r="H189" s="75"/>
      <c r="I189" s="77"/>
      <c r="J189" s="76">
        <f>IF(I189="","",MAX(0,TODAY()-I189))</f>
      </c>
      <c r="K189" s="75"/>
      <c r="L189" s="75"/>
      <c r="M189" s="80"/>
      <c r="N189" s="80"/>
      <c r="O189" s="80"/>
      <c r="P189" s="81">
        <f>IF(M189="","",'GİDER AYARLARI'!$B$10)</f>
      </c>
      <c r="Q189" s="81">
        <f>IF(OR(M189="",J189=""),"",M189*'GİDER AYARLARI'!$B$8*J189/30)</f>
      </c>
      <c r="R189" s="81">
        <f>IF(M189="","",M189+P189+Q189)</f>
      </c>
      <c r="S189" s="86">
        <f>IF(OR(N189="",R189=""),"",N189-R189)</f>
      </c>
    </row>
    <row r="190" spans="1:19">
      <c r="A190" s="85">
        <f>IF(B190="","",ROW()-6)</f>
      </c>
      <c r="B190" s="75"/>
      <c r="C190" s="78"/>
      <c r="D190" s="79"/>
      <c r="E190" s="75"/>
      <c r="F190" s="75"/>
      <c r="G190" s="75"/>
      <c r="H190" s="75"/>
      <c r="I190" s="77"/>
      <c r="J190" s="76">
        <f>IF(I190="","",MAX(0,TODAY()-I190))</f>
      </c>
      <c r="K190" s="75"/>
      <c r="L190" s="75"/>
      <c r="M190" s="80"/>
      <c r="N190" s="80"/>
      <c r="O190" s="80"/>
      <c r="P190" s="81">
        <f>IF(M190="","",'GİDER AYARLARI'!$B$10)</f>
      </c>
      <c r="Q190" s="81">
        <f>IF(OR(M190="",J190=""),"",M190*'GİDER AYARLARI'!$B$8*J190/30)</f>
      </c>
      <c r="R190" s="81">
        <f>IF(M190="","",M190+P190+Q190)</f>
      </c>
      <c r="S190" s="86">
        <f>IF(OR(N190="",R190=""),"",N190-R190)</f>
      </c>
    </row>
    <row r="191" spans="1:19">
      <c r="A191" s="85">
        <f>IF(B191="","",ROW()-6)</f>
      </c>
      <c r="B191" s="75"/>
      <c r="C191" s="78"/>
      <c r="D191" s="79"/>
      <c r="E191" s="75"/>
      <c r="F191" s="75"/>
      <c r="G191" s="75"/>
      <c r="H191" s="75"/>
      <c r="I191" s="77"/>
      <c r="J191" s="76">
        <f>IF(I191="","",MAX(0,TODAY()-I191))</f>
      </c>
      <c r="K191" s="75"/>
      <c r="L191" s="75"/>
      <c r="M191" s="80"/>
      <c r="N191" s="80"/>
      <c r="O191" s="80"/>
      <c r="P191" s="81">
        <f>IF(M191="","",'GİDER AYARLARI'!$B$10)</f>
      </c>
      <c r="Q191" s="81">
        <f>IF(OR(M191="",J191=""),"",M191*'GİDER AYARLARI'!$B$8*J191/30)</f>
      </c>
      <c r="R191" s="81">
        <f>IF(M191="","",M191+P191+Q191)</f>
      </c>
      <c r="S191" s="86">
        <f>IF(OR(N191="",R191=""),"",N191-R191)</f>
      </c>
    </row>
    <row r="192" spans="1:19">
      <c r="A192" s="85">
        <f>IF(B192="","",ROW()-6)</f>
      </c>
      <c r="B192" s="75"/>
      <c r="C192" s="78"/>
      <c r="D192" s="79"/>
      <c r="E192" s="75"/>
      <c r="F192" s="75"/>
      <c r="G192" s="75"/>
      <c r="H192" s="75"/>
      <c r="I192" s="77"/>
      <c r="J192" s="76">
        <f>IF(I192="","",MAX(0,TODAY()-I192))</f>
      </c>
      <c r="K192" s="75"/>
      <c r="L192" s="75"/>
      <c r="M192" s="80"/>
      <c r="N192" s="80"/>
      <c r="O192" s="80"/>
      <c r="P192" s="81">
        <f>IF(M192="","",'GİDER AYARLARI'!$B$10)</f>
      </c>
      <c r="Q192" s="81">
        <f>IF(OR(M192="",J192=""),"",M192*'GİDER AYARLARI'!$B$8*J192/30)</f>
      </c>
      <c r="R192" s="81">
        <f>IF(M192="","",M192+P192+Q192)</f>
      </c>
      <c r="S192" s="86">
        <f>IF(OR(N192="",R192=""),"",N192-R192)</f>
      </c>
    </row>
    <row r="193" spans="1:19">
      <c r="A193" s="85">
        <f>IF(B193="","",ROW()-6)</f>
      </c>
      <c r="B193" s="75"/>
      <c r="C193" s="78"/>
      <c r="D193" s="79"/>
      <c r="E193" s="75"/>
      <c r="F193" s="75"/>
      <c r="G193" s="75"/>
      <c r="H193" s="75"/>
      <c r="I193" s="77"/>
      <c r="J193" s="76">
        <f>IF(I193="","",MAX(0,TODAY()-I193))</f>
      </c>
      <c r="K193" s="75"/>
      <c r="L193" s="75"/>
      <c r="M193" s="80"/>
      <c r="N193" s="80"/>
      <c r="O193" s="80"/>
      <c r="P193" s="81">
        <f>IF(M193="","",'GİDER AYARLARI'!$B$10)</f>
      </c>
      <c r="Q193" s="81">
        <f>IF(OR(M193="",J193=""),"",M193*'GİDER AYARLARI'!$B$8*J193/30)</f>
      </c>
      <c r="R193" s="81">
        <f>IF(M193="","",M193+P193+Q193)</f>
      </c>
      <c r="S193" s="86">
        <f>IF(OR(N193="",R193=""),"",N193-R193)</f>
      </c>
    </row>
    <row r="194" spans="1:19">
      <c r="A194" s="85">
        <f>IF(B194="","",ROW()-6)</f>
      </c>
      <c r="B194" s="75"/>
      <c r="C194" s="78"/>
      <c r="D194" s="79"/>
      <c r="E194" s="75"/>
      <c r="F194" s="75"/>
      <c r="G194" s="75"/>
      <c r="H194" s="75"/>
      <c r="I194" s="77"/>
      <c r="J194" s="76">
        <f>IF(I194="","",MAX(0,TODAY()-I194))</f>
      </c>
      <c r="K194" s="75"/>
      <c r="L194" s="75"/>
      <c r="M194" s="80"/>
      <c r="N194" s="80"/>
      <c r="O194" s="80"/>
      <c r="P194" s="81">
        <f>IF(M194="","",'GİDER AYARLARI'!$B$10)</f>
      </c>
      <c r="Q194" s="81">
        <f>IF(OR(M194="",J194=""),"",M194*'GİDER AYARLARI'!$B$8*J194/30)</f>
      </c>
      <c r="R194" s="81">
        <f>IF(M194="","",M194+P194+Q194)</f>
      </c>
      <c r="S194" s="86">
        <f>IF(OR(N194="",R194=""),"",N194-R194)</f>
      </c>
    </row>
    <row r="195" spans="1:19">
      <c r="A195" s="85">
        <f>IF(B195="","",ROW()-6)</f>
      </c>
      <c r="B195" s="75"/>
      <c r="C195" s="78"/>
      <c r="D195" s="79"/>
      <c r="E195" s="75"/>
      <c r="F195" s="75"/>
      <c r="G195" s="75"/>
      <c r="H195" s="75"/>
      <c r="I195" s="77"/>
      <c r="J195" s="76">
        <f>IF(I195="","",MAX(0,TODAY()-I195))</f>
      </c>
      <c r="K195" s="75"/>
      <c r="L195" s="75"/>
      <c r="M195" s="80"/>
      <c r="N195" s="80"/>
      <c r="O195" s="80"/>
      <c r="P195" s="81">
        <f>IF(M195="","",'GİDER AYARLARI'!$B$10)</f>
      </c>
      <c r="Q195" s="81">
        <f>IF(OR(M195="",J195=""),"",M195*'GİDER AYARLARI'!$B$8*J195/30)</f>
      </c>
      <c r="R195" s="81">
        <f>IF(M195="","",M195+P195+Q195)</f>
      </c>
      <c r="S195" s="86">
        <f>IF(OR(N195="",R195=""),"",N195-R195)</f>
      </c>
    </row>
    <row r="196" spans="1:19">
      <c r="A196" s="85">
        <f>IF(B196="","",ROW()-6)</f>
      </c>
      <c r="B196" s="75"/>
      <c r="C196" s="78"/>
      <c r="D196" s="79"/>
      <c r="E196" s="75"/>
      <c r="F196" s="75"/>
      <c r="G196" s="75"/>
      <c r="H196" s="75"/>
      <c r="I196" s="77"/>
      <c r="J196" s="76">
        <f>IF(I196="","",MAX(0,TODAY()-I196))</f>
      </c>
      <c r="K196" s="75"/>
      <c r="L196" s="75"/>
      <c r="M196" s="80"/>
      <c r="N196" s="80"/>
      <c r="O196" s="80"/>
      <c r="P196" s="81">
        <f>IF(M196="","",'GİDER AYARLARI'!$B$10)</f>
      </c>
      <c r="Q196" s="81">
        <f>IF(OR(M196="",J196=""),"",M196*'GİDER AYARLARI'!$B$8*J196/30)</f>
      </c>
      <c r="R196" s="81">
        <f>IF(M196="","",M196+P196+Q196)</f>
      </c>
      <c r="S196" s="86">
        <f>IF(OR(N196="",R196=""),"",N196-R196)</f>
      </c>
    </row>
    <row r="197" spans="1:19">
      <c r="A197" s="85">
        <f>IF(B197="","",ROW()-6)</f>
      </c>
      <c r="B197" s="75"/>
      <c r="C197" s="78"/>
      <c r="D197" s="79"/>
      <c r="E197" s="75"/>
      <c r="F197" s="75"/>
      <c r="G197" s="75"/>
      <c r="H197" s="75"/>
      <c r="I197" s="77"/>
      <c r="J197" s="76">
        <f>IF(I197="","",MAX(0,TODAY()-I197))</f>
      </c>
      <c r="K197" s="75"/>
      <c r="L197" s="75"/>
      <c r="M197" s="80"/>
      <c r="N197" s="80"/>
      <c r="O197" s="80"/>
      <c r="P197" s="81">
        <f>IF(M197="","",'GİDER AYARLARI'!$B$10)</f>
      </c>
      <c r="Q197" s="81">
        <f>IF(OR(M197="",J197=""),"",M197*'GİDER AYARLARI'!$B$8*J197/30)</f>
      </c>
      <c r="R197" s="81">
        <f>IF(M197="","",M197+P197+Q197)</f>
      </c>
      <c r="S197" s="86">
        <f>IF(OR(N197="",R197=""),"",N197-R197)</f>
      </c>
    </row>
    <row r="198" spans="1:19">
      <c r="A198" s="85">
        <f>IF(B198="","",ROW()-6)</f>
      </c>
      <c r="B198" s="75"/>
      <c r="C198" s="78"/>
      <c r="D198" s="79"/>
      <c r="E198" s="75"/>
      <c r="F198" s="75"/>
      <c r="G198" s="75"/>
      <c r="H198" s="75"/>
      <c r="I198" s="77"/>
      <c r="J198" s="76">
        <f>IF(I198="","",MAX(0,TODAY()-I198))</f>
      </c>
      <c r="K198" s="75"/>
      <c r="L198" s="75"/>
      <c r="M198" s="80"/>
      <c r="N198" s="80"/>
      <c r="O198" s="80"/>
      <c r="P198" s="81">
        <f>IF(M198="","",'GİDER AYARLARI'!$B$10)</f>
      </c>
      <c r="Q198" s="81">
        <f>IF(OR(M198="",J198=""),"",M198*'GİDER AYARLARI'!$B$8*J198/30)</f>
      </c>
      <c r="R198" s="81">
        <f>IF(M198="","",M198+P198+Q198)</f>
      </c>
      <c r="S198" s="86">
        <f>IF(OR(N198="",R198=""),"",N198-R198)</f>
      </c>
    </row>
    <row r="199" spans="1:19">
      <c r="A199" s="85">
        <f>IF(B199="","",ROW()-6)</f>
      </c>
      <c r="B199" s="75"/>
      <c r="C199" s="78"/>
      <c r="D199" s="79"/>
      <c r="E199" s="75"/>
      <c r="F199" s="75"/>
      <c r="G199" s="75"/>
      <c r="H199" s="75"/>
      <c r="I199" s="77"/>
      <c r="J199" s="76">
        <f>IF(I199="","",MAX(0,TODAY()-I199))</f>
      </c>
      <c r="K199" s="75"/>
      <c r="L199" s="75"/>
      <c r="M199" s="80"/>
      <c r="N199" s="80"/>
      <c r="O199" s="80"/>
      <c r="P199" s="81">
        <f>IF(M199="","",'GİDER AYARLARI'!$B$10)</f>
      </c>
      <c r="Q199" s="81">
        <f>IF(OR(M199="",J199=""),"",M199*'GİDER AYARLARI'!$B$8*J199/30)</f>
      </c>
      <c r="R199" s="81">
        <f>IF(M199="","",M199+P199+Q199)</f>
      </c>
      <c r="S199" s="86">
        <f>IF(OR(N199="",R199=""),"",N199-R199)</f>
      </c>
    </row>
    <row r="200" spans="1:19">
      <c r="A200" s="85">
        <f>IF(B200="","",ROW()-6)</f>
      </c>
      <c r="B200" s="75"/>
      <c r="C200" s="78"/>
      <c r="D200" s="79"/>
      <c r="E200" s="75"/>
      <c r="F200" s="75"/>
      <c r="G200" s="75"/>
      <c r="H200" s="75"/>
      <c r="I200" s="77"/>
      <c r="J200" s="76">
        <f>IF(I200="","",MAX(0,TODAY()-I200))</f>
      </c>
      <c r="K200" s="75"/>
      <c r="L200" s="75"/>
      <c r="M200" s="80"/>
      <c r="N200" s="80"/>
      <c r="O200" s="80"/>
      <c r="P200" s="81">
        <f>IF(M200="","",'GİDER AYARLARI'!$B$10)</f>
      </c>
      <c r="Q200" s="81">
        <f>IF(OR(M200="",J200=""),"",M200*'GİDER AYARLARI'!$B$8*J200/30)</f>
      </c>
      <c r="R200" s="81">
        <f>IF(M200="","",M200+P200+Q200)</f>
      </c>
      <c r="S200" s="86">
        <f>IF(OR(N200="",R200=""),"",N200-R200)</f>
      </c>
    </row>
    <row r="201" spans="1:19">
      <c r="A201" s="85">
        <f>IF(B201="","",ROW()-6)</f>
      </c>
      <c r="B201" s="75"/>
      <c r="C201" s="78"/>
      <c r="D201" s="79"/>
      <c r="E201" s="75"/>
      <c r="F201" s="75"/>
      <c r="G201" s="75"/>
      <c r="H201" s="75"/>
      <c r="I201" s="77"/>
      <c r="J201" s="76">
        <f>IF(I201="","",MAX(0,TODAY()-I201))</f>
      </c>
      <c r="K201" s="75"/>
      <c r="L201" s="75"/>
      <c r="M201" s="80"/>
      <c r="N201" s="80"/>
      <c r="O201" s="80"/>
      <c r="P201" s="81">
        <f>IF(M201="","",'GİDER AYARLARI'!$B$10)</f>
      </c>
      <c r="Q201" s="81">
        <f>IF(OR(M201="",J201=""),"",M201*'GİDER AYARLARI'!$B$8*J201/30)</f>
      </c>
      <c r="R201" s="81">
        <f>IF(M201="","",M201+P201+Q201)</f>
      </c>
      <c r="S201" s="86">
        <f>IF(OR(N201="",R201=""),"",N201-R201)</f>
      </c>
    </row>
    <row r="202" spans="1:19">
      <c r="A202" s="85">
        <f>IF(B202="","",ROW()-6)</f>
      </c>
      <c r="B202" s="75"/>
      <c r="C202" s="78"/>
      <c r="D202" s="79"/>
      <c r="E202" s="75"/>
      <c r="F202" s="75"/>
      <c r="G202" s="75"/>
      <c r="H202" s="75"/>
      <c r="I202" s="77"/>
      <c r="J202" s="76">
        <f>IF(I202="","",MAX(0,TODAY()-I202))</f>
      </c>
      <c r="K202" s="75"/>
      <c r="L202" s="75"/>
      <c r="M202" s="80"/>
      <c r="N202" s="80"/>
      <c r="O202" s="80"/>
      <c r="P202" s="81">
        <f>IF(M202="","",'GİDER AYARLARI'!$B$10)</f>
      </c>
      <c r="Q202" s="81">
        <f>IF(OR(M202="",J202=""),"",M202*'GİDER AYARLARI'!$B$8*J202/30)</f>
      </c>
      <c r="R202" s="81">
        <f>IF(M202="","",M202+P202+Q202)</f>
      </c>
      <c r="S202" s="86">
        <f>IF(OR(N202="",R202=""),"",N202-R202)</f>
      </c>
    </row>
    <row r="203" spans="1:19">
      <c r="A203" s="85">
        <f>IF(B203="","",ROW()-6)</f>
      </c>
      <c r="B203" s="75"/>
      <c r="C203" s="78"/>
      <c r="D203" s="79"/>
      <c r="E203" s="75"/>
      <c r="F203" s="75"/>
      <c r="G203" s="75"/>
      <c r="H203" s="75"/>
      <c r="I203" s="77"/>
      <c r="J203" s="76">
        <f>IF(I203="","",MAX(0,TODAY()-I203))</f>
      </c>
      <c r="K203" s="75"/>
      <c r="L203" s="75"/>
      <c r="M203" s="80"/>
      <c r="N203" s="80"/>
      <c r="O203" s="80"/>
      <c r="P203" s="81">
        <f>IF(M203="","",'GİDER AYARLARI'!$B$10)</f>
      </c>
      <c r="Q203" s="81">
        <f>IF(OR(M203="",J203=""),"",M203*'GİDER AYARLARI'!$B$8*J203/30)</f>
      </c>
      <c r="R203" s="81">
        <f>IF(M203="","",M203+P203+Q203)</f>
      </c>
      <c r="S203" s="86">
        <f>IF(OR(N203="",R203=""),"",N203-R203)</f>
      </c>
    </row>
    <row r="204" spans="1:19">
      <c r="A204" s="85">
        <f>IF(B204="","",ROW()-6)</f>
      </c>
      <c r="B204" s="75"/>
      <c r="C204" s="78"/>
      <c r="D204" s="79"/>
      <c r="E204" s="75"/>
      <c r="F204" s="75"/>
      <c r="G204" s="75"/>
      <c r="H204" s="75"/>
      <c r="I204" s="77"/>
      <c r="J204" s="76">
        <f>IF(I204="","",MAX(0,TODAY()-I204))</f>
      </c>
      <c r="K204" s="75"/>
      <c r="L204" s="75"/>
      <c r="M204" s="80"/>
      <c r="N204" s="80"/>
      <c r="O204" s="80"/>
      <c r="P204" s="81">
        <f>IF(M204="","",'GİDER AYARLARI'!$B$10)</f>
      </c>
      <c r="Q204" s="81">
        <f>IF(OR(M204="",J204=""),"",M204*'GİDER AYARLARI'!$B$8*J204/30)</f>
      </c>
      <c r="R204" s="81">
        <f>IF(M204="","",M204+P204+Q204)</f>
      </c>
      <c r="S204" s="86">
        <f>IF(OR(N204="",R204=""),"",N204-R204)</f>
      </c>
    </row>
    <row r="205" spans="1:19">
      <c r="A205" s="85">
        <f>IF(B205="","",ROW()-6)</f>
      </c>
      <c r="B205" s="75"/>
      <c r="C205" s="78"/>
      <c r="D205" s="79"/>
      <c r="E205" s="75"/>
      <c r="F205" s="75"/>
      <c r="G205" s="75"/>
      <c r="H205" s="75"/>
      <c r="I205" s="77"/>
      <c r="J205" s="76">
        <f>IF(I205="","",MAX(0,TODAY()-I205))</f>
      </c>
      <c r="K205" s="75"/>
      <c r="L205" s="75"/>
      <c r="M205" s="80"/>
      <c r="N205" s="80"/>
      <c r="O205" s="80"/>
      <c r="P205" s="81">
        <f>IF(M205="","",'GİDER AYARLARI'!$B$10)</f>
      </c>
      <c r="Q205" s="81">
        <f>IF(OR(M205="",J205=""),"",M205*'GİDER AYARLARI'!$B$8*J205/30)</f>
      </c>
      <c r="R205" s="81">
        <f>IF(M205="","",M205+P205+Q205)</f>
      </c>
      <c r="S205" s="86">
        <f>IF(OR(N205="",R205=""),"",N205-R205)</f>
      </c>
    </row>
    <row r="206" spans="1:19">
      <c r="A206" s="85">
        <f>IF(B206="","",ROW()-6)</f>
      </c>
      <c r="B206" s="75"/>
      <c r="C206" s="78"/>
      <c r="D206" s="79"/>
      <c r="E206" s="75"/>
      <c r="F206" s="75"/>
      <c r="G206" s="75"/>
      <c r="H206" s="75"/>
      <c r="I206" s="77"/>
      <c r="J206" s="76">
        <f>IF(I206="","",MAX(0,TODAY()-I206))</f>
      </c>
      <c r="K206" s="75"/>
      <c r="L206" s="75"/>
      <c r="M206" s="80"/>
      <c r="N206" s="80"/>
      <c r="O206" s="80"/>
      <c r="P206" s="81">
        <f>IF(M206="","",'GİDER AYARLARI'!$B$10)</f>
      </c>
      <c r="Q206" s="81">
        <f>IF(OR(M206="",J206=""),"",M206*'GİDER AYARLARI'!$B$8*J206/30)</f>
      </c>
      <c r="R206" s="81">
        <f>IF(M206="","",M206+P206+Q206)</f>
      </c>
      <c r="S206" s="86">
        <f>IF(OR(N206="",R206=""),"",N206-R206)</f>
      </c>
    </row>
    <row r="207" spans="1:19">
      <c r="A207" s="85">
        <f>IF(B207="","",ROW()-6)</f>
      </c>
      <c r="B207" s="75"/>
      <c r="C207" s="78"/>
      <c r="D207" s="79"/>
      <c r="E207" s="75"/>
      <c r="F207" s="75"/>
      <c r="G207" s="75"/>
      <c r="H207" s="75"/>
      <c r="I207" s="77"/>
      <c r="J207" s="76">
        <f>IF(I207="","",MAX(0,TODAY()-I207))</f>
      </c>
      <c r="K207" s="75"/>
      <c r="L207" s="75"/>
      <c r="M207" s="80"/>
      <c r="N207" s="80"/>
      <c r="O207" s="80"/>
      <c r="P207" s="81">
        <f>IF(M207="","",'GİDER AYARLARI'!$B$10)</f>
      </c>
      <c r="Q207" s="81">
        <f>IF(OR(M207="",J207=""),"",M207*'GİDER AYARLARI'!$B$8*J207/30)</f>
      </c>
      <c r="R207" s="81">
        <f>IF(M207="","",M207+P207+Q207)</f>
      </c>
      <c r="S207" s="86">
        <f>IF(OR(N207="",R207=""),"",N207-R207)</f>
      </c>
    </row>
    <row r="208" spans="1:19">
      <c r="A208" s="85">
        <f>IF(B208="","",ROW()-6)</f>
      </c>
      <c r="B208" s="75"/>
      <c r="C208" s="78"/>
      <c r="D208" s="79"/>
      <c r="E208" s="75"/>
      <c r="F208" s="75"/>
      <c r="G208" s="75"/>
      <c r="H208" s="75"/>
      <c r="I208" s="77"/>
      <c r="J208" s="76">
        <f>IF(I208="","",MAX(0,TODAY()-I208))</f>
      </c>
      <c r="K208" s="75"/>
      <c r="L208" s="75"/>
      <c r="M208" s="80"/>
      <c r="N208" s="80"/>
      <c r="O208" s="80"/>
      <c r="P208" s="81">
        <f>IF(M208="","",'GİDER AYARLARI'!$B$10)</f>
      </c>
      <c r="Q208" s="81">
        <f>IF(OR(M208="",J208=""),"",M208*'GİDER AYARLARI'!$B$8*J208/30)</f>
      </c>
      <c r="R208" s="81">
        <f>IF(M208="","",M208+P208+Q208)</f>
      </c>
      <c r="S208" s="86">
        <f>IF(OR(N208="",R208=""),"",N208-R208)</f>
      </c>
    </row>
    <row r="209" spans="1:19">
      <c r="A209" s="85">
        <f>IF(B209="","",ROW()-6)</f>
      </c>
      <c r="B209" s="75"/>
      <c r="C209" s="78"/>
      <c r="D209" s="79"/>
      <c r="E209" s="75"/>
      <c r="F209" s="75"/>
      <c r="G209" s="75"/>
      <c r="H209" s="75"/>
      <c r="I209" s="77"/>
      <c r="J209" s="76">
        <f>IF(I209="","",MAX(0,TODAY()-I209))</f>
      </c>
      <c r="K209" s="75"/>
      <c r="L209" s="75"/>
      <c r="M209" s="80"/>
      <c r="N209" s="80"/>
      <c r="O209" s="80"/>
      <c r="P209" s="81">
        <f>IF(M209="","",'GİDER AYARLARI'!$B$10)</f>
      </c>
      <c r="Q209" s="81">
        <f>IF(OR(M209="",J209=""),"",M209*'GİDER AYARLARI'!$B$8*J209/30)</f>
      </c>
      <c r="R209" s="81">
        <f>IF(M209="","",M209+P209+Q209)</f>
      </c>
      <c r="S209" s="86">
        <f>IF(OR(N209="",R209=""),"",N209-R209)</f>
      </c>
    </row>
    <row r="210" spans="1:19">
      <c r="A210" s="85">
        <f>IF(B210="","",ROW()-6)</f>
      </c>
      <c r="B210" s="75"/>
      <c r="C210" s="78"/>
      <c r="D210" s="79"/>
      <c r="E210" s="75"/>
      <c r="F210" s="75"/>
      <c r="G210" s="75"/>
      <c r="H210" s="75"/>
      <c r="I210" s="77"/>
      <c r="J210" s="76">
        <f>IF(I210="","",MAX(0,TODAY()-I210))</f>
      </c>
      <c r="K210" s="75"/>
      <c r="L210" s="75"/>
      <c r="M210" s="80"/>
      <c r="N210" s="80"/>
      <c r="O210" s="80"/>
      <c r="P210" s="81">
        <f>IF(M210="","",'GİDER AYARLARI'!$B$10)</f>
      </c>
      <c r="Q210" s="81">
        <f>IF(OR(M210="",J210=""),"",M210*'GİDER AYARLARI'!$B$8*J210/30)</f>
      </c>
      <c r="R210" s="81">
        <f>IF(M210="","",M210+P210+Q210)</f>
      </c>
      <c r="S210" s="86">
        <f>IF(OR(N210="",R210=""),"",N210-R210)</f>
      </c>
    </row>
    <row r="211" spans="1:19">
      <c r="A211" s="85">
        <f>IF(B211="","",ROW()-6)</f>
      </c>
      <c r="B211" s="75"/>
      <c r="C211" s="78"/>
      <c r="D211" s="79"/>
      <c r="E211" s="75"/>
      <c r="F211" s="75"/>
      <c r="G211" s="75"/>
      <c r="H211" s="75"/>
      <c r="I211" s="77"/>
      <c r="J211" s="76">
        <f>IF(I211="","",MAX(0,TODAY()-I211))</f>
      </c>
      <c r="K211" s="75"/>
      <c r="L211" s="75"/>
      <c r="M211" s="80"/>
      <c r="N211" s="80"/>
      <c r="O211" s="80"/>
      <c r="P211" s="81">
        <f>IF(M211="","",'GİDER AYARLARI'!$B$10)</f>
      </c>
      <c r="Q211" s="81">
        <f>IF(OR(M211="",J211=""),"",M211*'GİDER AYARLARI'!$B$8*J211/30)</f>
      </c>
      <c r="R211" s="81">
        <f>IF(M211="","",M211+P211+Q211)</f>
      </c>
      <c r="S211" s="86">
        <f>IF(OR(N211="",R211=""),"",N211-R211)</f>
      </c>
    </row>
    <row r="212" spans="1:19">
      <c r="A212" s="85">
        <f>IF(B212="","",ROW()-6)</f>
      </c>
      <c r="B212" s="75"/>
      <c r="C212" s="78"/>
      <c r="D212" s="79"/>
      <c r="E212" s="75"/>
      <c r="F212" s="75"/>
      <c r="G212" s="75"/>
      <c r="H212" s="75"/>
      <c r="I212" s="77"/>
      <c r="J212" s="76">
        <f>IF(I212="","",MAX(0,TODAY()-I212))</f>
      </c>
      <c r="K212" s="75"/>
      <c r="L212" s="75"/>
      <c r="M212" s="80"/>
      <c r="N212" s="80"/>
      <c r="O212" s="80"/>
      <c r="P212" s="81">
        <f>IF(M212="","",'GİDER AYARLARI'!$B$10)</f>
      </c>
      <c r="Q212" s="81">
        <f>IF(OR(M212="",J212=""),"",M212*'GİDER AYARLARI'!$B$8*J212/30)</f>
      </c>
      <c r="R212" s="81">
        <f>IF(M212="","",M212+P212+Q212)</f>
      </c>
      <c r="S212" s="86">
        <f>IF(OR(N212="",R212=""),"",N212-R212)</f>
      </c>
    </row>
    <row r="213" spans="1:19">
      <c r="A213" s="85">
        <f>IF(B213="","",ROW()-6)</f>
      </c>
      <c r="B213" s="75"/>
      <c r="C213" s="78"/>
      <c r="D213" s="79"/>
      <c r="E213" s="75"/>
      <c r="F213" s="75"/>
      <c r="G213" s="75"/>
      <c r="H213" s="75"/>
      <c r="I213" s="77"/>
      <c r="J213" s="76">
        <f>IF(I213="","",MAX(0,TODAY()-I213))</f>
      </c>
      <c r="K213" s="75"/>
      <c r="L213" s="75"/>
      <c r="M213" s="80"/>
      <c r="N213" s="80"/>
      <c r="O213" s="80"/>
      <c r="P213" s="81">
        <f>IF(M213="","",'GİDER AYARLARI'!$B$10)</f>
      </c>
      <c r="Q213" s="81">
        <f>IF(OR(M213="",J213=""),"",M213*'GİDER AYARLARI'!$B$8*J213/30)</f>
      </c>
      <c r="R213" s="81">
        <f>IF(M213="","",M213+P213+Q213)</f>
      </c>
      <c r="S213" s="86">
        <f>IF(OR(N213="",R213=""),"",N213-R213)</f>
      </c>
    </row>
    <row r="214" spans="1:19">
      <c r="A214" s="85">
        <f>IF(B214="","",ROW()-6)</f>
      </c>
      <c r="B214" s="75"/>
      <c r="C214" s="78"/>
      <c r="D214" s="79"/>
      <c r="E214" s="75"/>
      <c r="F214" s="75"/>
      <c r="G214" s="75"/>
      <c r="H214" s="75"/>
      <c r="I214" s="77"/>
      <c r="J214" s="76">
        <f>IF(I214="","",MAX(0,TODAY()-I214))</f>
      </c>
      <c r="K214" s="75"/>
      <c r="L214" s="75"/>
      <c r="M214" s="80"/>
      <c r="N214" s="80"/>
      <c r="O214" s="80"/>
      <c r="P214" s="81">
        <f>IF(M214="","",'GİDER AYARLARI'!$B$10)</f>
      </c>
      <c r="Q214" s="81">
        <f>IF(OR(M214="",J214=""),"",M214*'GİDER AYARLARI'!$B$8*J214/30)</f>
      </c>
      <c r="R214" s="81">
        <f>IF(M214="","",M214+P214+Q214)</f>
      </c>
      <c r="S214" s="86">
        <f>IF(OR(N214="",R214=""),"",N214-R214)</f>
      </c>
    </row>
    <row r="215" spans="1:19">
      <c r="A215" s="85">
        <f>IF(B215="","",ROW()-6)</f>
      </c>
      <c r="B215" s="75"/>
      <c r="C215" s="78"/>
      <c r="D215" s="79"/>
      <c r="E215" s="75"/>
      <c r="F215" s="75"/>
      <c r="G215" s="75"/>
      <c r="H215" s="75"/>
      <c r="I215" s="77"/>
      <c r="J215" s="76">
        <f>IF(I215="","",MAX(0,TODAY()-I215))</f>
      </c>
      <c r="K215" s="75"/>
      <c r="L215" s="75"/>
      <c r="M215" s="80"/>
      <c r="N215" s="80"/>
      <c r="O215" s="80"/>
      <c r="P215" s="81">
        <f>IF(M215="","",'GİDER AYARLARI'!$B$10)</f>
      </c>
      <c r="Q215" s="81">
        <f>IF(OR(M215="",J215=""),"",M215*'GİDER AYARLARI'!$B$8*J215/30)</f>
      </c>
      <c r="R215" s="81">
        <f>IF(M215="","",M215+P215+Q215)</f>
      </c>
      <c r="S215" s="86">
        <f>IF(OR(N215="",R215=""),"",N215-R215)</f>
      </c>
    </row>
    <row r="216" spans="1:19">
      <c r="A216" s="85">
        <f>IF(B216="","",ROW()-6)</f>
      </c>
      <c r="B216" s="75"/>
      <c r="C216" s="78"/>
      <c r="D216" s="79"/>
      <c r="E216" s="75"/>
      <c r="F216" s="75"/>
      <c r="G216" s="75"/>
      <c r="H216" s="75"/>
      <c r="I216" s="77"/>
      <c r="J216" s="76">
        <f>IF(I216="","",MAX(0,TODAY()-I216))</f>
      </c>
      <c r="K216" s="75"/>
      <c r="L216" s="75"/>
      <c r="M216" s="80"/>
      <c r="N216" s="80"/>
      <c r="O216" s="80"/>
      <c r="P216" s="81">
        <f>IF(M216="","",'GİDER AYARLARI'!$B$10)</f>
      </c>
      <c r="Q216" s="81">
        <f>IF(OR(M216="",J216=""),"",M216*'GİDER AYARLARI'!$B$8*J216/30)</f>
      </c>
      <c r="R216" s="81">
        <f>IF(M216="","",M216+P216+Q216)</f>
      </c>
      <c r="S216" s="86">
        <f>IF(OR(N216="",R216=""),"",N216-R216)</f>
      </c>
    </row>
    <row r="217" spans="1:19">
      <c r="A217" s="85">
        <f>IF(B217="","",ROW()-6)</f>
      </c>
      <c r="B217" s="75"/>
      <c r="C217" s="78"/>
      <c r="D217" s="79"/>
      <c r="E217" s="75"/>
      <c r="F217" s="75"/>
      <c r="G217" s="75"/>
      <c r="H217" s="75"/>
      <c r="I217" s="77"/>
      <c r="J217" s="76">
        <f>IF(I217="","",MAX(0,TODAY()-I217))</f>
      </c>
      <c r="K217" s="75"/>
      <c r="L217" s="75"/>
      <c r="M217" s="80"/>
      <c r="N217" s="80"/>
      <c r="O217" s="80"/>
      <c r="P217" s="81">
        <f>IF(M217="","",'GİDER AYARLARI'!$B$10)</f>
      </c>
      <c r="Q217" s="81">
        <f>IF(OR(M217="",J217=""),"",M217*'GİDER AYARLARI'!$B$8*J217/30)</f>
      </c>
      <c r="R217" s="81">
        <f>IF(M217="","",M217+P217+Q217)</f>
      </c>
      <c r="S217" s="86">
        <f>IF(OR(N217="",R217=""),"",N217-R217)</f>
      </c>
    </row>
    <row r="218" spans="1:19">
      <c r="A218" s="85">
        <f>IF(B218="","",ROW()-6)</f>
      </c>
      <c r="B218" s="75"/>
      <c r="C218" s="78"/>
      <c r="D218" s="79"/>
      <c r="E218" s="75"/>
      <c r="F218" s="75"/>
      <c r="G218" s="75"/>
      <c r="H218" s="75"/>
      <c r="I218" s="77"/>
      <c r="J218" s="76">
        <f>IF(I218="","",MAX(0,TODAY()-I218))</f>
      </c>
      <c r="K218" s="75"/>
      <c r="L218" s="75"/>
      <c r="M218" s="80"/>
      <c r="N218" s="80"/>
      <c r="O218" s="80"/>
      <c r="P218" s="81">
        <f>IF(M218="","",'GİDER AYARLARI'!$B$10)</f>
      </c>
      <c r="Q218" s="81">
        <f>IF(OR(M218="",J218=""),"",M218*'GİDER AYARLARI'!$B$8*J218/30)</f>
      </c>
      <c r="R218" s="81">
        <f>IF(M218="","",M218+P218+Q218)</f>
      </c>
      <c r="S218" s="86">
        <f>IF(OR(N218="",R218=""),"",N218-R218)</f>
      </c>
    </row>
    <row r="219" spans="1:19">
      <c r="A219" s="85">
        <f>IF(B219="","",ROW()-6)</f>
      </c>
      <c r="B219" s="75"/>
      <c r="C219" s="78"/>
      <c r="D219" s="79"/>
      <c r="E219" s="75"/>
      <c r="F219" s="75"/>
      <c r="G219" s="75"/>
      <c r="H219" s="75"/>
      <c r="I219" s="77"/>
      <c r="J219" s="76">
        <f>IF(I219="","",MAX(0,TODAY()-I219))</f>
      </c>
      <c r="K219" s="75"/>
      <c r="L219" s="75"/>
      <c r="M219" s="80"/>
      <c r="N219" s="80"/>
      <c r="O219" s="80"/>
      <c r="P219" s="81">
        <f>IF(M219="","",'GİDER AYARLARI'!$B$10)</f>
      </c>
      <c r="Q219" s="81">
        <f>IF(OR(M219="",J219=""),"",M219*'GİDER AYARLARI'!$B$8*J219/30)</f>
      </c>
      <c r="R219" s="81">
        <f>IF(M219="","",M219+P219+Q219)</f>
      </c>
      <c r="S219" s="86">
        <f>IF(OR(N219="",R219=""),"",N219-R219)</f>
      </c>
    </row>
    <row r="220" spans="1:19">
      <c r="A220" s="85">
        <f>IF(B220="","",ROW()-6)</f>
      </c>
      <c r="B220" s="75"/>
      <c r="C220" s="78"/>
      <c r="D220" s="79"/>
      <c r="E220" s="75"/>
      <c r="F220" s="75"/>
      <c r="G220" s="75"/>
      <c r="H220" s="75"/>
      <c r="I220" s="77"/>
      <c r="J220" s="76">
        <f>IF(I220="","",MAX(0,TODAY()-I220))</f>
      </c>
      <c r="K220" s="75"/>
      <c r="L220" s="75"/>
      <c r="M220" s="80"/>
      <c r="N220" s="80"/>
      <c r="O220" s="80"/>
      <c r="P220" s="81">
        <f>IF(M220="","",'GİDER AYARLARI'!$B$10)</f>
      </c>
      <c r="Q220" s="81">
        <f>IF(OR(M220="",J220=""),"",M220*'GİDER AYARLARI'!$B$8*J220/30)</f>
      </c>
      <c r="R220" s="81">
        <f>IF(M220="","",M220+P220+Q220)</f>
      </c>
      <c r="S220" s="86">
        <f>IF(OR(N220="",R220=""),"",N220-R220)</f>
      </c>
    </row>
    <row r="221" spans="1:19">
      <c r="A221" s="85">
        <f>IF(B221="","",ROW()-6)</f>
      </c>
      <c r="B221" s="75"/>
      <c r="C221" s="78"/>
      <c r="D221" s="79"/>
      <c r="E221" s="75"/>
      <c r="F221" s="75"/>
      <c r="G221" s="75"/>
      <c r="H221" s="75"/>
      <c r="I221" s="77"/>
      <c r="J221" s="76">
        <f>IF(I221="","",MAX(0,TODAY()-I221))</f>
      </c>
      <c r="K221" s="75"/>
      <c r="L221" s="75"/>
      <c r="M221" s="80"/>
      <c r="N221" s="80"/>
      <c r="O221" s="80"/>
      <c r="P221" s="81">
        <f>IF(M221="","",'GİDER AYARLARI'!$B$10)</f>
      </c>
      <c r="Q221" s="81">
        <f>IF(OR(M221="",J221=""),"",M221*'GİDER AYARLARI'!$B$8*J221/30)</f>
      </c>
      <c r="R221" s="81">
        <f>IF(M221="","",M221+P221+Q221)</f>
      </c>
      <c r="S221" s="86">
        <f>IF(OR(N221="",R221=""),"",N221-R221)</f>
      </c>
    </row>
    <row r="222" spans="1:19">
      <c r="A222" s="85">
        <f>IF(B222="","",ROW()-6)</f>
      </c>
      <c r="B222" s="75"/>
      <c r="C222" s="78"/>
      <c r="D222" s="79"/>
      <c r="E222" s="75"/>
      <c r="F222" s="75"/>
      <c r="G222" s="75"/>
      <c r="H222" s="75"/>
      <c r="I222" s="77"/>
      <c r="J222" s="76">
        <f>IF(I222="","",MAX(0,TODAY()-I222))</f>
      </c>
      <c r="K222" s="75"/>
      <c r="L222" s="75"/>
      <c r="M222" s="80"/>
      <c r="N222" s="80"/>
      <c r="O222" s="80"/>
      <c r="P222" s="81">
        <f>IF(M222="","",'GİDER AYARLARI'!$B$10)</f>
      </c>
      <c r="Q222" s="81">
        <f>IF(OR(M222="",J222=""),"",M222*'GİDER AYARLARI'!$B$8*J222/30)</f>
      </c>
      <c r="R222" s="81">
        <f>IF(M222="","",M222+P222+Q222)</f>
      </c>
      <c r="S222" s="86">
        <f>IF(OR(N222="",R222=""),"",N222-R222)</f>
      </c>
    </row>
    <row r="223" spans="1:19">
      <c r="A223" s="85">
        <f>IF(B223="","",ROW()-6)</f>
      </c>
      <c r="B223" s="75"/>
      <c r="C223" s="78"/>
      <c r="D223" s="79"/>
      <c r="E223" s="75"/>
      <c r="F223" s="75"/>
      <c r="G223" s="75"/>
      <c r="H223" s="75"/>
      <c r="I223" s="77"/>
      <c r="J223" s="76">
        <f>IF(I223="","",MAX(0,TODAY()-I223))</f>
      </c>
      <c r="K223" s="75"/>
      <c r="L223" s="75"/>
      <c r="M223" s="80"/>
      <c r="N223" s="80"/>
      <c r="O223" s="80"/>
      <c r="P223" s="81">
        <f>IF(M223="","",'GİDER AYARLARI'!$B$10)</f>
      </c>
      <c r="Q223" s="81">
        <f>IF(OR(M223="",J223=""),"",M223*'GİDER AYARLARI'!$B$8*J223/30)</f>
      </c>
      <c r="R223" s="81">
        <f>IF(M223="","",M223+P223+Q223)</f>
      </c>
      <c r="S223" s="86">
        <f>IF(OR(N223="",R223=""),"",N223-R223)</f>
      </c>
    </row>
    <row r="224" spans="1:19">
      <c r="A224" s="85">
        <f>IF(B224="","",ROW()-6)</f>
      </c>
      <c r="B224" s="75"/>
      <c r="C224" s="78"/>
      <c r="D224" s="79"/>
      <c r="E224" s="75"/>
      <c r="F224" s="75"/>
      <c r="G224" s="75"/>
      <c r="H224" s="75"/>
      <c r="I224" s="77"/>
      <c r="J224" s="76">
        <f>IF(I224="","",MAX(0,TODAY()-I224))</f>
      </c>
      <c r="K224" s="75"/>
      <c r="L224" s="75"/>
      <c r="M224" s="80"/>
      <c r="N224" s="80"/>
      <c r="O224" s="80"/>
      <c r="P224" s="81">
        <f>IF(M224="","",'GİDER AYARLARI'!$B$10)</f>
      </c>
      <c r="Q224" s="81">
        <f>IF(OR(M224="",J224=""),"",M224*'GİDER AYARLARI'!$B$8*J224/30)</f>
      </c>
      <c r="R224" s="81">
        <f>IF(M224="","",M224+P224+Q224)</f>
      </c>
      <c r="S224" s="86">
        <f>IF(OR(N224="",R224=""),"",N224-R224)</f>
      </c>
    </row>
    <row r="225" spans="1:19">
      <c r="A225" s="85">
        <f>IF(B225="","",ROW()-6)</f>
      </c>
      <c r="B225" s="75"/>
      <c r="C225" s="78"/>
      <c r="D225" s="79"/>
      <c r="E225" s="75"/>
      <c r="F225" s="75"/>
      <c r="G225" s="75"/>
      <c r="H225" s="75"/>
      <c r="I225" s="77"/>
      <c r="J225" s="76">
        <f>IF(I225="","",MAX(0,TODAY()-I225))</f>
      </c>
      <c r="K225" s="75"/>
      <c r="L225" s="75"/>
      <c r="M225" s="80"/>
      <c r="N225" s="80"/>
      <c r="O225" s="80"/>
      <c r="P225" s="81">
        <f>IF(M225="","",'GİDER AYARLARI'!$B$10)</f>
      </c>
      <c r="Q225" s="81">
        <f>IF(OR(M225="",J225=""),"",M225*'GİDER AYARLARI'!$B$8*J225/30)</f>
      </c>
      <c r="R225" s="81">
        <f>IF(M225="","",M225+P225+Q225)</f>
      </c>
      <c r="S225" s="86">
        <f>IF(OR(N225="",R225=""),"",N225-R225)</f>
      </c>
    </row>
    <row r="226" spans="1:19">
      <c r="A226" s="85">
        <f>IF(B226="","",ROW()-6)</f>
      </c>
      <c r="B226" s="75"/>
      <c r="C226" s="78"/>
      <c r="D226" s="79"/>
      <c r="E226" s="75"/>
      <c r="F226" s="75"/>
      <c r="G226" s="75"/>
      <c r="H226" s="75"/>
      <c r="I226" s="77"/>
      <c r="J226" s="76">
        <f>IF(I226="","",MAX(0,TODAY()-I226))</f>
      </c>
      <c r="K226" s="75"/>
      <c r="L226" s="75"/>
      <c r="M226" s="80"/>
      <c r="N226" s="80"/>
      <c r="O226" s="80"/>
      <c r="P226" s="81">
        <f>IF(M226="","",'GİDER AYARLARI'!$B$10)</f>
      </c>
      <c r="Q226" s="81">
        <f>IF(OR(M226="",J226=""),"",M226*'GİDER AYARLARI'!$B$8*J226/30)</f>
      </c>
      <c r="R226" s="81">
        <f>IF(M226="","",M226+P226+Q226)</f>
      </c>
      <c r="S226" s="86">
        <f>IF(OR(N226="",R226=""),"",N226-R226)</f>
      </c>
    </row>
    <row r="227" spans="1:19">
      <c r="A227" s="85">
        <f>IF(B227="","",ROW()-6)</f>
      </c>
      <c r="B227" s="75"/>
      <c r="C227" s="78"/>
      <c r="D227" s="79"/>
      <c r="E227" s="75"/>
      <c r="F227" s="75"/>
      <c r="G227" s="75"/>
      <c r="H227" s="75"/>
      <c r="I227" s="77"/>
      <c r="J227" s="76">
        <f>IF(I227="","",MAX(0,TODAY()-I227))</f>
      </c>
      <c r="K227" s="75"/>
      <c r="L227" s="75"/>
      <c r="M227" s="80"/>
      <c r="N227" s="80"/>
      <c r="O227" s="80"/>
      <c r="P227" s="81">
        <f>IF(M227="","",'GİDER AYARLARI'!$B$10)</f>
      </c>
      <c r="Q227" s="81">
        <f>IF(OR(M227="",J227=""),"",M227*'GİDER AYARLARI'!$B$8*J227/30)</f>
      </c>
      <c r="R227" s="81">
        <f>IF(M227="","",M227+P227+Q227)</f>
      </c>
      <c r="S227" s="86">
        <f>IF(OR(N227="",R227=""),"",N227-R227)</f>
      </c>
    </row>
    <row r="228" spans="1:19">
      <c r="A228" s="85">
        <f>IF(B228="","",ROW()-6)</f>
      </c>
      <c r="B228" s="75"/>
      <c r="C228" s="78"/>
      <c r="D228" s="79"/>
      <c r="E228" s="75"/>
      <c r="F228" s="75"/>
      <c r="G228" s="75"/>
      <c r="H228" s="75"/>
      <c r="I228" s="77"/>
      <c r="J228" s="76">
        <f>IF(I228="","",MAX(0,TODAY()-I228))</f>
      </c>
      <c r="K228" s="75"/>
      <c r="L228" s="75"/>
      <c r="M228" s="80"/>
      <c r="N228" s="80"/>
      <c r="O228" s="80"/>
      <c r="P228" s="81">
        <f>IF(M228="","",'GİDER AYARLARI'!$B$10)</f>
      </c>
      <c r="Q228" s="81">
        <f>IF(OR(M228="",J228=""),"",M228*'GİDER AYARLARI'!$B$8*J228/30)</f>
      </c>
      <c r="R228" s="81">
        <f>IF(M228="","",M228+P228+Q228)</f>
      </c>
      <c r="S228" s="86">
        <f>IF(OR(N228="",R228=""),"",N228-R228)</f>
      </c>
    </row>
    <row r="229" spans="1:19">
      <c r="A229" s="85">
        <f>IF(B229="","",ROW()-6)</f>
      </c>
      <c r="B229" s="75"/>
      <c r="C229" s="78"/>
      <c r="D229" s="79"/>
      <c r="E229" s="75"/>
      <c r="F229" s="75"/>
      <c r="G229" s="75"/>
      <c r="H229" s="75"/>
      <c r="I229" s="77"/>
      <c r="J229" s="76">
        <f>IF(I229="","",MAX(0,TODAY()-I229))</f>
      </c>
      <c r="K229" s="75"/>
      <c r="L229" s="75"/>
      <c r="M229" s="80"/>
      <c r="N229" s="80"/>
      <c r="O229" s="80"/>
      <c r="P229" s="81">
        <f>IF(M229="","",'GİDER AYARLARI'!$B$10)</f>
      </c>
      <c r="Q229" s="81">
        <f>IF(OR(M229="",J229=""),"",M229*'GİDER AYARLARI'!$B$8*J229/30)</f>
      </c>
      <c r="R229" s="81">
        <f>IF(M229="","",M229+P229+Q229)</f>
      </c>
      <c r="S229" s="86">
        <f>IF(OR(N229="",R229=""),"",N229-R229)</f>
      </c>
    </row>
    <row r="230" spans="1:19">
      <c r="A230" s="85">
        <f>IF(B230="","",ROW()-6)</f>
      </c>
      <c r="B230" s="75"/>
      <c r="C230" s="78"/>
      <c r="D230" s="79"/>
      <c r="E230" s="75"/>
      <c r="F230" s="75"/>
      <c r="G230" s="75"/>
      <c r="H230" s="75"/>
      <c r="I230" s="77"/>
      <c r="J230" s="76">
        <f>IF(I230="","",MAX(0,TODAY()-I230))</f>
      </c>
      <c r="K230" s="75"/>
      <c r="L230" s="75"/>
      <c r="M230" s="80"/>
      <c r="N230" s="80"/>
      <c r="O230" s="80"/>
      <c r="P230" s="81">
        <f>IF(M230="","",'GİDER AYARLARI'!$B$10)</f>
      </c>
      <c r="Q230" s="81">
        <f>IF(OR(M230="",J230=""),"",M230*'GİDER AYARLARI'!$B$8*J230/30)</f>
      </c>
      <c r="R230" s="81">
        <f>IF(M230="","",M230+P230+Q230)</f>
      </c>
      <c r="S230" s="86">
        <f>IF(OR(N230="",R230=""),"",N230-R230)</f>
      </c>
    </row>
    <row r="231" spans="1:19">
      <c r="A231" s="85">
        <f>IF(B231="","",ROW()-6)</f>
      </c>
      <c r="B231" s="75"/>
      <c r="C231" s="78"/>
      <c r="D231" s="79"/>
      <c r="E231" s="75"/>
      <c r="F231" s="75"/>
      <c r="G231" s="75"/>
      <c r="H231" s="75"/>
      <c r="I231" s="77"/>
      <c r="J231" s="76">
        <f>IF(I231="","",MAX(0,TODAY()-I231))</f>
      </c>
      <c r="K231" s="75"/>
      <c r="L231" s="75"/>
      <c r="M231" s="80"/>
      <c r="N231" s="80"/>
      <c r="O231" s="80"/>
      <c r="P231" s="81">
        <f>IF(M231="","",'GİDER AYARLARI'!$B$10)</f>
      </c>
      <c r="Q231" s="81">
        <f>IF(OR(M231="",J231=""),"",M231*'GİDER AYARLARI'!$B$8*J231/30)</f>
      </c>
      <c r="R231" s="81">
        <f>IF(M231="","",M231+P231+Q231)</f>
      </c>
      <c r="S231" s="86">
        <f>IF(OR(N231="",R231=""),"",N231-R231)</f>
      </c>
    </row>
    <row r="232" spans="1:19">
      <c r="A232" s="85">
        <f>IF(B232="","",ROW()-6)</f>
      </c>
      <c r="B232" s="75"/>
      <c r="C232" s="78"/>
      <c r="D232" s="79"/>
      <c r="E232" s="75"/>
      <c r="F232" s="75"/>
      <c r="G232" s="75"/>
      <c r="H232" s="75"/>
      <c r="I232" s="77"/>
      <c r="J232" s="76">
        <f>IF(I232="","",MAX(0,TODAY()-I232))</f>
      </c>
      <c r="K232" s="75"/>
      <c r="L232" s="75"/>
      <c r="M232" s="80"/>
      <c r="N232" s="80"/>
      <c r="O232" s="80"/>
      <c r="P232" s="81">
        <f>IF(M232="","",'GİDER AYARLARI'!$B$10)</f>
      </c>
      <c r="Q232" s="81">
        <f>IF(OR(M232="",J232=""),"",M232*'GİDER AYARLARI'!$B$8*J232/30)</f>
      </c>
      <c r="R232" s="81">
        <f>IF(M232="","",M232+P232+Q232)</f>
      </c>
      <c r="S232" s="86">
        <f>IF(OR(N232="",R232=""),"",N232-R232)</f>
      </c>
    </row>
    <row r="233" spans="1:19">
      <c r="A233" s="85">
        <f>IF(B233="","",ROW()-6)</f>
      </c>
      <c r="B233" s="75"/>
      <c r="C233" s="78"/>
      <c r="D233" s="79"/>
      <c r="E233" s="75"/>
      <c r="F233" s="75"/>
      <c r="G233" s="75"/>
      <c r="H233" s="75"/>
      <c r="I233" s="77"/>
      <c r="J233" s="76">
        <f>IF(I233="","",MAX(0,TODAY()-I233))</f>
      </c>
      <c r="K233" s="75"/>
      <c r="L233" s="75"/>
      <c r="M233" s="80"/>
      <c r="N233" s="80"/>
      <c r="O233" s="80"/>
      <c r="P233" s="81">
        <f>IF(M233="","",'GİDER AYARLARI'!$B$10)</f>
      </c>
      <c r="Q233" s="81">
        <f>IF(OR(M233="",J233=""),"",M233*'GİDER AYARLARI'!$B$8*J233/30)</f>
      </c>
      <c r="R233" s="81">
        <f>IF(M233="","",M233+P233+Q233)</f>
      </c>
      <c r="S233" s="86">
        <f>IF(OR(N233="",R233=""),"",N233-R233)</f>
      </c>
    </row>
    <row r="234" spans="1:19">
      <c r="A234" s="85">
        <f>IF(B234="","",ROW()-6)</f>
      </c>
      <c r="B234" s="75"/>
      <c r="C234" s="78"/>
      <c r="D234" s="79"/>
      <c r="E234" s="75"/>
      <c r="F234" s="75"/>
      <c r="G234" s="75"/>
      <c r="H234" s="75"/>
      <c r="I234" s="77"/>
      <c r="J234" s="76">
        <f>IF(I234="","",MAX(0,TODAY()-I234))</f>
      </c>
      <c r="K234" s="75"/>
      <c r="L234" s="75"/>
      <c r="M234" s="80"/>
      <c r="N234" s="80"/>
      <c r="O234" s="80"/>
      <c r="P234" s="81">
        <f>IF(M234="","",'GİDER AYARLARI'!$B$10)</f>
      </c>
      <c r="Q234" s="81">
        <f>IF(OR(M234="",J234=""),"",M234*'GİDER AYARLARI'!$B$8*J234/30)</f>
      </c>
      <c r="R234" s="81">
        <f>IF(M234="","",M234+P234+Q234)</f>
      </c>
      <c r="S234" s="86">
        <f>IF(OR(N234="",R234=""),"",N234-R234)</f>
      </c>
    </row>
    <row r="235" spans="1:19">
      <c r="A235" s="85">
        <f>IF(B235="","",ROW()-6)</f>
      </c>
      <c r="B235" s="75"/>
      <c r="C235" s="78"/>
      <c r="D235" s="79"/>
      <c r="E235" s="75"/>
      <c r="F235" s="75"/>
      <c r="G235" s="75"/>
      <c r="H235" s="75"/>
      <c r="I235" s="77"/>
      <c r="J235" s="76">
        <f>IF(I235="","",MAX(0,TODAY()-I235))</f>
      </c>
      <c r="K235" s="75"/>
      <c r="L235" s="75"/>
      <c r="M235" s="80"/>
      <c r="N235" s="80"/>
      <c r="O235" s="80"/>
      <c r="P235" s="81">
        <f>IF(M235="","",'GİDER AYARLARI'!$B$10)</f>
      </c>
      <c r="Q235" s="81">
        <f>IF(OR(M235="",J235=""),"",M235*'GİDER AYARLARI'!$B$8*J235/30)</f>
      </c>
      <c r="R235" s="81">
        <f>IF(M235="","",M235+P235+Q235)</f>
      </c>
      <c r="S235" s="86">
        <f>IF(OR(N235="",R235=""),"",N235-R235)</f>
      </c>
    </row>
    <row r="236" spans="1:19">
      <c r="A236" s="85">
        <f>IF(B236="","",ROW()-6)</f>
      </c>
      <c r="B236" s="75"/>
      <c r="C236" s="78"/>
      <c r="D236" s="79"/>
      <c r="E236" s="75"/>
      <c r="F236" s="75"/>
      <c r="G236" s="75"/>
      <c r="H236" s="75"/>
      <c r="I236" s="77"/>
      <c r="J236" s="76">
        <f>IF(I236="","",MAX(0,TODAY()-I236))</f>
      </c>
      <c r="K236" s="75"/>
      <c r="L236" s="75"/>
      <c r="M236" s="80"/>
      <c r="N236" s="80"/>
      <c r="O236" s="80"/>
      <c r="P236" s="81">
        <f>IF(M236="","",'GİDER AYARLARI'!$B$10)</f>
      </c>
      <c r="Q236" s="81">
        <f>IF(OR(M236="",J236=""),"",M236*'GİDER AYARLARI'!$B$8*J236/30)</f>
      </c>
      <c r="R236" s="81">
        <f>IF(M236="","",M236+P236+Q236)</f>
      </c>
      <c r="S236" s="86">
        <f>IF(OR(N236="",R236=""),"",N236-R236)</f>
      </c>
    </row>
    <row r="237" spans="1:19">
      <c r="A237" s="85">
        <f>IF(B237="","",ROW()-6)</f>
      </c>
      <c r="B237" s="75"/>
      <c r="C237" s="78"/>
      <c r="D237" s="79"/>
      <c r="E237" s="75"/>
      <c r="F237" s="75"/>
      <c r="G237" s="75"/>
      <c r="H237" s="75"/>
      <c r="I237" s="77"/>
      <c r="J237" s="76">
        <f>IF(I237="","",MAX(0,TODAY()-I237))</f>
      </c>
      <c r="K237" s="75"/>
      <c r="L237" s="75"/>
      <c r="M237" s="80"/>
      <c r="N237" s="80"/>
      <c r="O237" s="80"/>
      <c r="P237" s="81">
        <f>IF(M237="","",'GİDER AYARLARI'!$B$10)</f>
      </c>
      <c r="Q237" s="81">
        <f>IF(OR(M237="",J237=""),"",M237*'GİDER AYARLARI'!$B$8*J237/30)</f>
      </c>
      <c r="R237" s="81">
        <f>IF(M237="","",M237+P237+Q237)</f>
      </c>
      <c r="S237" s="86">
        <f>IF(OR(N237="",R237=""),"",N237-R237)</f>
      </c>
    </row>
    <row r="238" spans="1:19">
      <c r="A238" s="85">
        <f>IF(B238="","",ROW()-6)</f>
      </c>
      <c r="B238" s="75"/>
      <c r="C238" s="78"/>
      <c r="D238" s="79"/>
      <c r="E238" s="75"/>
      <c r="F238" s="75"/>
      <c r="G238" s="75"/>
      <c r="H238" s="75"/>
      <c r="I238" s="77"/>
      <c r="J238" s="76">
        <f>IF(I238="","",MAX(0,TODAY()-I238))</f>
      </c>
      <c r="K238" s="75"/>
      <c r="L238" s="75"/>
      <c r="M238" s="80"/>
      <c r="N238" s="80"/>
      <c r="O238" s="80"/>
      <c r="P238" s="81">
        <f>IF(M238="","",'GİDER AYARLARI'!$B$10)</f>
      </c>
      <c r="Q238" s="81">
        <f>IF(OR(M238="",J238=""),"",M238*'GİDER AYARLARI'!$B$8*J238/30)</f>
      </c>
      <c r="R238" s="81">
        <f>IF(M238="","",M238+P238+Q238)</f>
      </c>
      <c r="S238" s="86">
        <f>IF(OR(N238="",R238=""),"",N238-R238)</f>
      </c>
    </row>
    <row r="239" spans="1:19">
      <c r="A239" s="85">
        <f>IF(B239="","",ROW()-6)</f>
      </c>
      <c r="B239" s="75"/>
      <c r="C239" s="78"/>
      <c r="D239" s="79"/>
      <c r="E239" s="75"/>
      <c r="F239" s="75"/>
      <c r="G239" s="75"/>
      <c r="H239" s="75"/>
      <c r="I239" s="77"/>
      <c r="J239" s="76">
        <f>IF(I239="","",MAX(0,TODAY()-I239))</f>
      </c>
      <c r="K239" s="75"/>
      <c r="L239" s="75"/>
      <c r="M239" s="80"/>
      <c r="N239" s="80"/>
      <c r="O239" s="80"/>
      <c r="P239" s="81">
        <f>IF(M239="","",'GİDER AYARLARI'!$B$10)</f>
      </c>
      <c r="Q239" s="81">
        <f>IF(OR(M239="",J239=""),"",M239*'GİDER AYARLARI'!$B$8*J239/30)</f>
      </c>
      <c r="R239" s="81">
        <f>IF(M239="","",M239+P239+Q239)</f>
      </c>
      <c r="S239" s="86">
        <f>IF(OR(N239="",R239=""),"",N239-R239)</f>
      </c>
    </row>
    <row r="240" spans="1:19">
      <c r="A240" s="85">
        <f>IF(B240="","",ROW()-6)</f>
      </c>
      <c r="B240" s="75"/>
      <c r="C240" s="78"/>
      <c r="D240" s="79"/>
      <c r="E240" s="75"/>
      <c r="F240" s="75"/>
      <c r="G240" s="75"/>
      <c r="H240" s="75"/>
      <c r="I240" s="77"/>
      <c r="J240" s="76">
        <f>IF(I240="","",MAX(0,TODAY()-I240))</f>
      </c>
      <c r="K240" s="75"/>
      <c r="L240" s="75"/>
      <c r="M240" s="80"/>
      <c r="N240" s="80"/>
      <c r="O240" s="80"/>
      <c r="P240" s="81">
        <f>IF(M240="","",'GİDER AYARLARI'!$B$10)</f>
      </c>
      <c r="Q240" s="81">
        <f>IF(OR(M240="",J240=""),"",M240*'GİDER AYARLARI'!$B$8*J240/30)</f>
      </c>
      <c r="R240" s="81">
        <f>IF(M240="","",M240+P240+Q240)</f>
      </c>
      <c r="S240" s="86">
        <f>IF(OR(N240="",R240=""),"",N240-R240)</f>
      </c>
    </row>
    <row r="241" spans="1:19">
      <c r="A241" s="85">
        <f>IF(B241="","",ROW()-6)</f>
      </c>
      <c r="B241" s="75"/>
      <c r="C241" s="78"/>
      <c r="D241" s="79"/>
      <c r="E241" s="75"/>
      <c r="F241" s="75"/>
      <c r="G241" s="75"/>
      <c r="H241" s="75"/>
      <c r="I241" s="77"/>
      <c r="J241" s="76">
        <f>IF(I241="","",MAX(0,TODAY()-I241))</f>
      </c>
      <c r="K241" s="75"/>
      <c r="L241" s="75"/>
      <c r="M241" s="80"/>
      <c r="N241" s="80"/>
      <c r="O241" s="80"/>
      <c r="P241" s="81">
        <f>IF(M241="","",'GİDER AYARLARI'!$B$10)</f>
      </c>
      <c r="Q241" s="81">
        <f>IF(OR(M241="",J241=""),"",M241*'GİDER AYARLARI'!$B$8*J241/30)</f>
      </c>
      <c r="R241" s="81">
        <f>IF(M241="","",M241+P241+Q241)</f>
      </c>
      <c r="S241" s="86">
        <f>IF(OR(N241="",R241=""),"",N241-R241)</f>
      </c>
    </row>
    <row r="242" spans="1:19">
      <c r="A242" s="85">
        <f>IF(B242="","",ROW()-6)</f>
      </c>
      <c r="B242" s="75"/>
      <c r="C242" s="78"/>
      <c r="D242" s="79"/>
      <c r="E242" s="75"/>
      <c r="F242" s="75"/>
      <c r="G242" s="75"/>
      <c r="H242" s="75"/>
      <c r="I242" s="77"/>
      <c r="J242" s="76">
        <f>IF(I242="","",MAX(0,TODAY()-I242))</f>
      </c>
      <c r="K242" s="75"/>
      <c r="L242" s="75"/>
      <c r="M242" s="80"/>
      <c r="N242" s="80"/>
      <c r="O242" s="80"/>
      <c r="P242" s="81">
        <f>IF(M242="","",'GİDER AYARLARI'!$B$10)</f>
      </c>
      <c r="Q242" s="81">
        <f>IF(OR(M242="",J242=""),"",M242*'GİDER AYARLARI'!$B$8*J242/30)</f>
      </c>
      <c r="R242" s="81">
        <f>IF(M242="","",M242+P242+Q242)</f>
      </c>
      <c r="S242" s="86">
        <f>IF(OR(N242="",R242=""),"",N242-R242)</f>
      </c>
    </row>
    <row r="243" spans="1:19">
      <c r="A243" s="85">
        <f>IF(B243="","",ROW()-6)</f>
      </c>
      <c r="B243" s="75"/>
      <c r="C243" s="78"/>
      <c r="D243" s="79"/>
      <c r="E243" s="75"/>
      <c r="F243" s="75"/>
      <c r="G243" s="75"/>
      <c r="H243" s="75"/>
      <c r="I243" s="77"/>
      <c r="J243" s="76">
        <f>IF(I243="","",MAX(0,TODAY()-I243))</f>
      </c>
      <c r="K243" s="75"/>
      <c r="L243" s="75"/>
      <c r="M243" s="80"/>
      <c r="N243" s="80"/>
      <c r="O243" s="80"/>
      <c r="P243" s="81">
        <f>IF(M243="","",'GİDER AYARLARI'!$B$10)</f>
      </c>
      <c r="Q243" s="81">
        <f>IF(OR(M243="",J243=""),"",M243*'GİDER AYARLARI'!$B$8*J243/30)</f>
      </c>
      <c r="R243" s="81">
        <f>IF(M243="","",M243+P243+Q243)</f>
      </c>
      <c r="S243" s="86">
        <f>IF(OR(N243="",R243=""),"",N243-R243)</f>
      </c>
    </row>
    <row r="244" spans="1:19">
      <c r="A244" s="85">
        <f>IF(B244="","",ROW()-6)</f>
      </c>
      <c r="B244" s="75"/>
      <c r="C244" s="78"/>
      <c r="D244" s="79"/>
      <c r="E244" s="75"/>
      <c r="F244" s="75"/>
      <c r="G244" s="75"/>
      <c r="H244" s="75"/>
      <c r="I244" s="77"/>
      <c r="J244" s="76">
        <f>IF(I244="","",MAX(0,TODAY()-I244))</f>
      </c>
      <c r="K244" s="75"/>
      <c r="L244" s="75"/>
      <c r="M244" s="80"/>
      <c r="N244" s="80"/>
      <c r="O244" s="80"/>
      <c r="P244" s="81">
        <f>IF(M244="","",'GİDER AYARLARI'!$B$10)</f>
      </c>
      <c r="Q244" s="81">
        <f>IF(OR(M244="",J244=""),"",M244*'GİDER AYARLARI'!$B$8*J244/30)</f>
      </c>
      <c r="R244" s="81">
        <f>IF(M244="","",M244+P244+Q244)</f>
      </c>
      <c r="S244" s="86">
        <f>IF(OR(N244="",R244=""),"",N244-R244)</f>
      </c>
    </row>
    <row r="245" spans="1:19">
      <c r="A245" s="85">
        <f>IF(B245="","",ROW()-6)</f>
      </c>
      <c r="B245" s="75"/>
      <c r="C245" s="78"/>
      <c r="D245" s="79"/>
      <c r="E245" s="75"/>
      <c r="F245" s="75"/>
      <c r="G245" s="75"/>
      <c r="H245" s="75"/>
      <c r="I245" s="77"/>
      <c r="J245" s="76">
        <f>IF(I245="","",MAX(0,TODAY()-I245))</f>
      </c>
      <c r="K245" s="75"/>
      <c r="L245" s="75"/>
      <c r="M245" s="80"/>
      <c r="N245" s="80"/>
      <c r="O245" s="80"/>
      <c r="P245" s="81">
        <f>IF(M245="","",'GİDER AYARLARI'!$B$10)</f>
      </c>
      <c r="Q245" s="81">
        <f>IF(OR(M245="",J245=""),"",M245*'GİDER AYARLARI'!$B$8*J245/30)</f>
      </c>
      <c r="R245" s="81">
        <f>IF(M245="","",M245+P245+Q245)</f>
      </c>
      <c r="S245" s="86">
        <f>IF(OR(N245="",R245=""),"",N245-R245)</f>
      </c>
    </row>
    <row r="246" spans="1:19">
      <c r="A246" s="85">
        <f>IF(B246="","",ROW()-6)</f>
      </c>
      <c r="B246" s="75"/>
      <c r="C246" s="78"/>
      <c r="D246" s="79"/>
      <c r="E246" s="75"/>
      <c r="F246" s="75"/>
      <c r="G246" s="75"/>
      <c r="H246" s="75"/>
      <c r="I246" s="77"/>
      <c r="J246" s="76">
        <f>IF(I246="","",MAX(0,TODAY()-I246))</f>
      </c>
      <c r="K246" s="75"/>
      <c r="L246" s="75"/>
      <c r="M246" s="80"/>
      <c r="N246" s="80"/>
      <c r="O246" s="80"/>
      <c r="P246" s="81">
        <f>IF(M246="","",'GİDER AYARLARI'!$B$10)</f>
      </c>
      <c r="Q246" s="81">
        <f>IF(OR(M246="",J246=""),"",M246*'GİDER AYARLARI'!$B$8*J246/30)</f>
      </c>
      <c r="R246" s="81">
        <f>IF(M246="","",M246+P246+Q246)</f>
      </c>
      <c r="S246" s="86">
        <f>IF(OR(N246="",R246=""),"",N246-R246)</f>
      </c>
    </row>
    <row r="247" spans="1:19">
      <c r="A247" s="85">
        <f>IF(B247="","",ROW()-6)</f>
      </c>
      <c r="B247" s="75"/>
      <c r="C247" s="78"/>
      <c r="D247" s="79"/>
      <c r="E247" s="75"/>
      <c r="F247" s="75"/>
      <c r="G247" s="75"/>
      <c r="H247" s="75"/>
      <c r="I247" s="77"/>
      <c r="J247" s="76">
        <f>IF(I247="","",MAX(0,TODAY()-I247))</f>
      </c>
      <c r="K247" s="75"/>
      <c r="L247" s="75"/>
      <c r="M247" s="80"/>
      <c r="N247" s="80"/>
      <c r="O247" s="80"/>
      <c r="P247" s="81">
        <f>IF(M247="","",'GİDER AYARLARI'!$B$10)</f>
      </c>
      <c r="Q247" s="81">
        <f>IF(OR(M247="",J247=""),"",M247*'GİDER AYARLARI'!$B$8*J247/30)</f>
      </c>
      <c r="R247" s="81">
        <f>IF(M247="","",M247+P247+Q247)</f>
      </c>
      <c r="S247" s="86">
        <f>IF(OR(N247="",R247=""),"",N247-R247)</f>
      </c>
    </row>
    <row r="248" spans="1:19">
      <c r="A248" s="85">
        <f>IF(B248="","",ROW()-6)</f>
      </c>
      <c r="B248" s="75"/>
      <c r="C248" s="78"/>
      <c r="D248" s="79"/>
      <c r="E248" s="75"/>
      <c r="F248" s="75"/>
      <c r="G248" s="75"/>
      <c r="H248" s="75"/>
      <c r="I248" s="77"/>
      <c r="J248" s="76">
        <f>IF(I248="","",MAX(0,TODAY()-I248))</f>
      </c>
      <c r="K248" s="75"/>
      <c r="L248" s="75"/>
      <c r="M248" s="80"/>
      <c r="N248" s="80"/>
      <c r="O248" s="80"/>
      <c r="P248" s="81">
        <f>IF(M248="","",'GİDER AYARLARI'!$B$10)</f>
      </c>
      <c r="Q248" s="81">
        <f>IF(OR(M248="",J248=""),"",M248*'GİDER AYARLARI'!$B$8*J248/30)</f>
      </c>
      <c r="R248" s="81">
        <f>IF(M248="","",M248+P248+Q248)</f>
      </c>
      <c r="S248" s="86">
        <f>IF(OR(N248="",R248=""),"",N248-R248)</f>
      </c>
    </row>
    <row r="249" spans="1:19">
      <c r="A249" s="85">
        <f>IF(B249="","",ROW()-6)</f>
      </c>
      <c r="B249" s="75"/>
      <c r="C249" s="78"/>
      <c r="D249" s="79"/>
      <c r="E249" s="75"/>
      <c r="F249" s="75"/>
      <c r="G249" s="75"/>
      <c r="H249" s="75"/>
      <c r="I249" s="77"/>
      <c r="J249" s="76">
        <f>IF(I249="","",MAX(0,TODAY()-I249))</f>
      </c>
      <c r="K249" s="75"/>
      <c r="L249" s="75"/>
      <c r="M249" s="80"/>
      <c r="N249" s="80"/>
      <c r="O249" s="80"/>
      <c r="P249" s="81">
        <f>IF(M249="","",'GİDER AYARLARI'!$B$10)</f>
      </c>
      <c r="Q249" s="81">
        <f>IF(OR(M249="",J249=""),"",M249*'GİDER AYARLARI'!$B$8*J249/30)</f>
      </c>
      <c r="R249" s="81">
        <f>IF(M249="","",M249+P249+Q249)</f>
      </c>
      <c r="S249" s="86">
        <f>IF(OR(N249="",R249=""),"",N249-R249)</f>
      </c>
    </row>
    <row r="250" spans="1:19">
      <c r="A250" s="85">
        <f>IF(B250="","",ROW()-6)</f>
      </c>
      <c r="B250" s="75"/>
      <c r="C250" s="78"/>
      <c r="D250" s="79"/>
      <c r="E250" s="75"/>
      <c r="F250" s="75"/>
      <c r="G250" s="75"/>
      <c r="H250" s="75"/>
      <c r="I250" s="77"/>
      <c r="J250" s="76">
        <f>IF(I250="","",MAX(0,TODAY()-I250))</f>
      </c>
      <c r="K250" s="75"/>
      <c r="L250" s="75"/>
      <c r="M250" s="80"/>
      <c r="N250" s="80"/>
      <c r="O250" s="80"/>
      <c r="P250" s="81">
        <f>IF(M250="","",'GİDER AYARLARI'!$B$10)</f>
      </c>
      <c r="Q250" s="81">
        <f>IF(OR(M250="",J250=""),"",M250*'GİDER AYARLARI'!$B$8*J250/30)</f>
      </c>
      <c r="R250" s="81">
        <f>IF(M250="","",M250+P250+Q250)</f>
      </c>
      <c r="S250" s="86">
        <f>IF(OR(N250="",R250=""),"",N250-R250)</f>
      </c>
    </row>
    <row r="251" spans="1:19">
      <c r="A251" s="85">
        <f>IF(B251="","",ROW()-6)</f>
      </c>
      <c r="B251" s="75"/>
      <c r="C251" s="78"/>
      <c r="D251" s="79"/>
      <c r="E251" s="75"/>
      <c r="F251" s="75"/>
      <c r="G251" s="75"/>
      <c r="H251" s="75"/>
      <c r="I251" s="77"/>
      <c r="J251" s="76">
        <f>IF(I251="","",MAX(0,TODAY()-I251))</f>
      </c>
      <c r="K251" s="75"/>
      <c r="L251" s="75"/>
      <c r="M251" s="80"/>
      <c r="N251" s="80"/>
      <c r="O251" s="80"/>
      <c r="P251" s="81">
        <f>IF(M251="","",'GİDER AYARLARI'!$B$10)</f>
      </c>
      <c r="Q251" s="81">
        <f>IF(OR(M251="",J251=""),"",M251*'GİDER AYARLARI'!$B$8*J251/30)</f>
      </c>
      <c r="R251" s="81">
        <f>IF(M251="","",M251+P251+Q251)</f>
      </c>
      <c r="S251" s="86">
        <f>IF(OR(N251="",R251=""),"",N251-R251)</f>
      </c>
    </row>
    <row r="252" spans="1:19">
      <c r="A252" s="85">
        <f>IF(B252="","",ROW()-6)</f>
      </c>
      <c r="B252" s="75"/>
      <c r="C252" s="78"/>
      <c r="D252" s="79"/>
      <c r="E252" s="75"/>
      <c r="F252" s="75"/>
      <c r="G252" s="75"/>
      <c r="H252" s="75"/>
      <c r="I252" s="77"/>
      <c r="J252" s="76">
        <f>IF(I252="","",MAX(0,TODAY()-I252))</f>
      </c>
      <c r="K252" s="75"/>
      <c r="L252" s="75"/>
      <c r="M252" s="80"/>
      <c r="N252" s="80"/>
      <c r="O252" s="80"/>
      <c r="P252" s="81">
        <f>IF(M252="","",'GİDER AYARLARI'!$B$10)</f>
      </c>
      <c r="Q252" s="81">
        <f>IF(OR(M252="",J252=""),"",M252*'GİDER AYARLARI'!$B$8*J252/30)</f>
      </c>
      <c r="R252" s="81">
        <f>IF(M252="","",M252+P252+Q252)</f>
      </c>
      <c r="S252" s="86">
        <f>IF(OR(N252="",R252=""),"",N252-R252)</f>
      </c>
    </row>
    <row r="253" spans="1:19">
      <c r="A253" s="85">
        <f>IF(B253="","",ROW()-6)</f>
      </c>
      <c r="B253" s="75"/>
      <c r="C253" s="78"/>
      <c r="D253" s="79"/>
      <c r="E253" s="75"/>
      <c r="F253" s="75"/>
      <c r="G253" s="75"/>
      <c r="H253" s="75"/>
      <c r="I253" s="77"/>
      <c r="J253" s="76">
        <f>IF(I253="","",MAX(0,TODAY()-I253))</f>
      </c>
      <c r="K253" s="75"/>
      <c r="L253" s="75"/>
      <c r="M253" s="80"/>
      <c r="N253" s="80"/>
      <c r="O253" s="80"/>
      <c r="P253" s="81">
        <f>IF(M253="","",'GİDER AYARLARI'!$B$10)</f>
      </c>
      <c r="Q253" s="81">
        <f>IF(OR(M253="",J253=""),"",M253*'GİDER AYARLARI'!$B$8*J253/30)</f>
      </c>
      <c r="R253" s="81">
        <f>IF(M253="","",M253+P253+Q253)</f>
      </c>
      <c r="S253" s="86">
        <f>IF(OR(N253="",R253=""),"",N253-R253)</f>
      </c>
    </row>
    <row r="254" spans="1:19">
      <c r="A254" s="85">
        <f>IF(B254="","",ROW()-6)</f>
      </c>
      <c r="B254" s="75"/>
      <c r="C254" s="78"/>
      <c r="D254" s="79"/>
      <c r="E254" s="75"/>
      <c r="F254" s="75"/>
      <c r="G254" s="75"/>
      <c r="H254" s="75"/>
      <c r="I254" s="77"/>
      <c r="J254" s="76">
        <f>IF(I254="","",MAX(0,TODAY()-I254))</f>
      </c>
      <c r="K254" s="75"/>
      <c r="L254" s="75"/>
      <c r="M254" s="80"/>
      <c r="N254" s="80"/>
      <c r="O254" s="80"/>
      <c r="P254" s="81">
        <f>IF(M254="","",'GİDER AYARLARI'!$B$10)</f>
      </c>
      <c r="Q254" s="81">
        <f>IF(OR(M254="",J254=""),"",M254*'GİDER AYARLARI'!$B$8*J254/30)</f>
      </c>
      <c r="R254" s="81">
        <f>IF(M254="","",M254+P254+Q254)</f>
      </c>
      <c r="S254" s="86">
        <f>IF(OR(N254="",R254=""),"",N254-R254)</f>
      </c>
    </row>
    <row r="255" spans="1:19">
      <c r="A255" s="85">
        <f>IF(B255="","",ROW()-6)</f>
      </c>
      <c r="B255" s="75"/>
      <c r="C255" s="78"/>
      <c r="D255" s="79"/>
      <c r="E255" s="75"/>
      <c r="F255" s="75"/>
      <c r="G255" s="75"/>
      <c r="H255" s="75"/>
      <c r="I255" s="77"/>
      <c r="J255" s="76">
        <f>IF(I255="","",MAX(0,TODAY()-I255))</f>
      </c>
      <c r="K255" s="75"/>
      <c r="L255" s="75"/>
      <c r="M255" s="80"/>
      <c r="N255" s="80"/>
      <c r="O255" s="80"/>
      <c r="P255" s="81">
        <f>IF(M255="","",'GİDER AYARLARI'!$B$10)</f>
      </c>
      <c r="Q255" s="81">
        <f>IF(OR(M255="",J255=""),"",M255*'GİDER AYARLARI'!$B$8*J255/30)</f>
      </c>
      <c r="R255" s="81">
        <f>IF(M255="","",M255+P255+Q255)</f>
      </c>
      <c r="S255" s="86">
        <f>IF(OR(N255="",R255=""),"",N255-R255)</f>
      </c>
    </row>
    <row r="256" spans="1:19">
      <c r="A256" s="85">
        <f>IF(B256="","",ROW()-6)</f>
      </c>
      <c r="B256" s="75"/>
      <c r="C256" s="78"/>
      <c r="D256" s="79"/>
      <c r="E256" s="75"/>
      <c r="F256" s="75"/>
      <c r="G256" s="75"/>
      <c r="H256" s="75"/>
      <c r="I256" s="77"/>
      <c r="J256" s="76">
        <f>IF(I256="","",MAX(0,TODAY()-I256))</f>
      </c>
      <c r="K256" s="75"/>
      <c r="L256" s="75"/>
      <c r="M256" s="80"/>
      <c r="N256" s="80"/>
      <c r="O256" s="80"/>
      <c r="P256" s="81">
        <f>IF(M256="","",'GİDER AYARLARI'!$B$10)</f>
      </c>
      <c r="Q256" s="81">
        <f>IF(OR(M256="",J256=""),"",M256*'GİDER AYARLARI'!$B$8*J256/30)</f>
      </c>
      <c r="R256" s="81">
        <f>IF(M256="","",M256+P256+Q256)</f>
      </c>
      <c r="S256" s="86">
        <f>IF(OR(N256="",R256=""),"",N256-R256)</f>
      </c>
    </row>
    <row r="257" spans="1:19">
      <c r="A257" s="85">
        <f>IF(B257="","",ROW()-6)</f>
      </c>
      <c r="B257" s="75"/>
      <c r="C257" s="78"/>
      <c r="D257" s="79"/>
      <c r="E257" s="75"/>
      <c r="F257" s="75"/>
      <c r="G257" s="75"/>
      <c r="H257" s="75"/>
      <c r="I257" s="77"/>
      <c r="J257" s="76">
        <f>IF(I257="","",MAX(0,TODAY()-I257))</f>
      </c>
      <c r="K257" s="75"/>
      <c r="L257" s="75"/>
      <c r="M257" s="80"/>
      <c r="N257" s="80"/>
      <c r="O257" s="80"/>
      <c r="P257" s="81">
        <f>IF(M257="","",'GİDER AYARLARI'!$B$10)</f>
      </c>
      <c r="Q257" s="81">
        <f>IF(OR(M257="",J257=""),"",M257*'GİDER AYARLARI'!$B$8*J257/30)</f>
      </c>
      <c r="R257" s="81">
        <f>IF(M257="","",M257+P257+Q257)</f>
      </c>
      <c r="S257" s="86">
        <f>IF(OR(N257="",R257=""),"",N257-R257)</f>
      </c>
    </row>
    <row r="258" spans="1:19">
      <c r="A258" s="85">
        <f>IF(B258="","",ROW()-6)</f>
      </c>
      <c r="B258" s="75"/>
      <c r="C258" s="78"/>
      <c r="D258" s="79"/>
      <c r="E258" s="75"/>
      <c r="F258" s="75"/>
      <c r="G258" s="75"/>
      <c r="H258" s="75"/>
      <c r="I258" s="77"/>
      <c r="J258" s="76">
        <f>IF(I258="","",MAX(0,TODAY()-I258))</f>
      </c>
      <c r="K258" s="75"/>
      <c r="L258" s="75"/>
      <c r="M258" s="80"/>
      <c r="N258" s="80"/>
      <c r="O258" s="80"/>
      <c r="P258" s="81">
        <f>IF(M258="","",'GİDER AYARLARI'!$B$10)</f>
      </c>
      <c r="Q258" s="81">
        <f>IF(OR(M258="",J258=""),"",M258*'GİDER AYARLARI'!$B$8*J258/30)</f>
      </c>
      <c r="R258" s="81">
        <f>IF(M258="","",M258+P258+Q258)</f>
      </c>
      <c r="S258" s="86">
        <f>IF(OR(N258="",R258=""),"",N258-R258)</f>
      </c>
    </row>
    <row r="259" spans="1:19">
      <c r="A259" s="85">
        <f>IF(B259="","",ROW()-6)</f>
      </c>
      <c r="B259" s="75"/>
      <c r="C259" s="78"/>
      <c r="D259" s="79"/>
      <c r="E259" s="75"/>
      <c r="F259" s="75"/>
      <c r="G259" s="75"/>
      <c r="H259" s="75"/>
      <c r="I259" s="77"/>
      <c r="J259" s="76">
        <f>IF(I259="","",MAX(0,TODAY()-I259))</f>
      </c>
      <c r="K259" s="75"/>
      <c r="L259" s="75"/>
      <c r="M259" s="80"/>
      <c r="N259" s="80"/>
      <c r="O259" s="80"/>
      <c r="P259" s="81">
        <f>IF(M259="","",'GİDER AYARLARI'!$B$10)</f>
      </c>
      <c r="Q259" s="81">
        <f>IF(OR(M259="",J259=""),"",M259*'GİDER AYARLARI'!$B$8*J259/30)</f>
      </c>
      <c r="R259" s="81">
        <f>IF(M259="","",M259+P259+Q259)</f>
      </c>
      <c r="S259" s="86">
        <f>IF(OR(N259="",R259=""),"",N259-R259)</f>
      </c>
    </row>
    <row r="260" spans="1:19">
      <c r="A260" s="85">
        <f>IF(B260="","",ROW()-6)</f>
      </c>
      <c r="B260" s="75"/>
      <c r="C260" s="78"/>
      <c r="D260" s="79"/>
      <c r="E260" s="75"/>
      <c r="F260" s="75"/>
      <c r="G260" s="75"/>
      <c r="H260" s="75"/>
      <c r="I260" s="77"/>
      <c r="J260" s="76">
        <f>IF(I260="","",MAX(0,TODAY()-I260))</f>
      </c>
      <c r="K260" s="75"/>
      <c r="L260" s="75"/>
      <c r="M260" s="80"/>
      <c r="N260" s="80"/>
      <c r="O260" s="80"/>
      <c r="P260" s="81">
        <f>IF(M260="","",'GİDER AYARLARI'!$B$10)</f>
      </c>
      <c r="Q260" s="81">
        <f>IF(OR(M260="",J260=""),"",M260*'GİDER AYARLARI'!$B$8*J260/30)</f>
      </c>
      <c r="R260" s="81">
        <f>IF(M260="","",M260+P260+Q260)</f>
      </c>
      <c r="S260" s="86">
        <f>IF(OR(N260="",R260=""),"",N260-R260)</f>
      </c>
    </row>
    <row r="261" spans="1:19">
      <c r="A261" s="85">
        <f>IF(B261="","",ROW()-6)</f>
      </c>
      <c r="B261" s="75"/>
      <c r="C261" s="78"/>
      <c r="D261" s="79"/>
      <c r="E261" s="75"/>
      <c r="F261" s="75"/>
      <c r="G261" s="75"/>
      <c r="H261" s="75"/>
      <c r="I261" s="77"/>
      <c r="J261" s="76">
        <f>IF(I261="","",MAX(0,TODAY()-I261))</f>
      </c>
      <c r="K261" s="75"/>
      <c r="L261" s="75"/>
      <c r="M261" s="80"/>
      <c r="N261" s="80"/>
      <c r="O261" s="80"/>
      <c r="P261" s="81">
        <f>IF(M261="","",'GİDER AYARLARI'!$B$10)</f>
      </c>
      <c r="Q261" s="81">
        <f>IF(OR(M261="",J261=""),"",M261*'GİDER AYARLARI'!$B$8*J261/30)</f>
      </c>
      <c r="R261" s="81">
        <f>IF(M261="","",M261+P261+Q261)</f>
      </c>
      <c r="S261" s="86">
        <f>IF(OR(N261="",R261=""),"",N261-R261)</f>
      </c>
    </row>
    <row r="262" spans="1:19">
      <c r="A262" s="85">
        <f>IF(B262="","",ROW()-6)</f>
      </c>
      <c r="B262" s="75"/>
      <c r="C262" s="78"/>
      <c r="D262" s="79"/>
      <c r="E262" s="75"/>
      <c r="F262" s="75"/>
      <c r="G262" s="75"/>
      <c r="H262" s="75"/>
      <c r="I262" s="77"/>
      <c r="J262" s="76">
        <f>IF(I262="","",MAX(0,TODAY()-I262))</f>
      </c>
      <c r="K262" s="75"/>
      <c r="L262" s="75"/>
      <c r="M262" s="80"/>
      <c r="N262" s="80"/>
      <c r="O262" s="80"/>
      <c r="P262" s="81">
        <f>IF(M262="","",'GİDER AYARLARI'!$B$10)</f>
      </c>
      <c r="Q262" s="81">
        <f>IF(OR(M262="",J262=""),"",M262*'GİDER AYARLARI'!$B$8*J262/30)</f>
      </c>
      <c r="R262" s="81">
        <f>IF(M262="","",M262+P262+Q262)</f>
      </c>
      <c r="S262" s="86">
        <f>IF(OR(N262="",R262=""),"",N262-R262)</f>
      </c>
    </row>
    <row r="263" spans="1:19">
      <c r="A263" s="85">
        <f>IF(B263="","",ROW()-6)</f>
      </c>
      <c r="B263" s="75"/>
      <c r="C263" s="78"/>
      <c r="D263" s="79"/>
      <c r="E263" s="75"/>
      <c r="F263" s="75"/>
      <c r="G263" s="75"/>
      <c r="H263" s="75"/>
      <c r="I263" s="77"/>
      <c r="J263" s="76">
        <f>IF(I263="","",MAX(0,TODAY()-I263))</f>
      </c>
      <c r="K263" s="75"/>
      <c r="L263" s="75"/>
      <c r="M263" s="80"/>
      <c r="N263" s="80"/>
      <c r="O263" s="80"/>
      <c r="P263" s="81">
        <f>IF(M263="","",'GİDER AYARLARI'!$B$10)</f>
      </c>
      <c r="Q263" s="81">
        <f>IF(OR(M263="",J263=""),"",M263*'GİDER AYARLARI'!$B$8*J263/30)</f>
      </c>
      <c r="R263" s="81">
        <f>IF(M263="","",M263+P263+Q263)</f>
      </c>
      <c r="S263" s="86">
        <f>IF(OR(N263="",R263=""),"",N263-R263)</f>
      </c>
    </row>
    <row r="264" spans="1:19">
      <c r="A264" s="85">
        <f>IF(B264="","",ROW()-6)</f>
      </c>
      <c r="B264" s="75"/>
      <c r="C264" s="78"/>
      <c r="D264" s="79"/>
      <c r="E264" s="75"/>
      <c r="F264" s="75"/>
      <c r="G264" s="75"/>
      <c r="H264" s="75"/>
      <c r="I264" s="77"/>
      <c r="J264" s="76">
        <f>IF(I264="","",MAX(0,TODAY()-I264))</f>
      </c>
      <c r="K264" s="75"/>
      <c r="L264" s="75"/>
      <c r="M264" s="80"/>
      <c r="N264" s="80"/>
      <c r="O264" s="80"/>
      <c r="P264" s="81">
        <f>IF(M264="","",'GİDER AYARLARI'!$B$10)</f>
      </c>
      <c r="Q264" s="81">
        <f>IF(OR(M264="",J264=""),"",M264*'GİDER AYARLARI'!$B$8*J264/30)</f>
      </c>
      <c r="R264" s="81">
        <f>IF(M264="","",M264+P264+Q264)</f>
      </c>
      <c r="S264" s="86">
        <f>IF(OR(N264="",R264=""),"",N264-R264)</f>
      </c>
    </row>
    <row r="265" spans="1:19">
      <c r="A265" s="85">
        <f>IF(B265="","",ROW()-6)</f>
      </c>
      <c r="B265" s="75"/>
      <c r="C265" s="78"/>
      <c r="D265" s="79"/>
      <c r="E265" s="75"/>
      <c r="F265" s="75"/>
      <c r="G265" s="75"/>
      <c r="H265" s="75"/>
      <c r="I265" s="77"/>
      <c r="J265" s="76">
        <f>IF(I265="","",MAX(0,TODAY()-I265))</f>
      </c>
      <c r="K265" s="75"/>
      <c r="L265" s="75"/>
      <c r="M265" s="80"/>
      <c r="N265" s="80"/>
      <c r="O265" s="80"/>
      <c r="P265" s="81">
        <f>IF(M265="","",'GİDER AYARLARI'!$B$10)</f>
      </c>
      <c r="Q265" s="81">
        <f>IF(OR(M265="",J265=""),"",M265*'GİDER AYARLARI'!$B$8*J265/30)</f>
      </c>
      <c r="R265" s="81">
        <f>IF(M265="","",M265+P265+Q265)</f>
      </c>
      <c r="S265" s="86">
        <f>IF(OR(N265="",R265=""),"",N265-R265)</f>
      </c>
    </row>
    <row r="266" spans="1:19">
      <c r="A266" s="85">
        <f>IF(B266="","",ROW()-6)</f>
      </c>
      <c r="B266" s="75"/>
      <c r="C266" s="78"/>
      <c r="D266" s="79"/>
      <c r="E266" s="75"/>
      <c r="F266" s="75"/>
      <c r="G266" s="75"/>
      <c r="H266" s="75"/>
      <c r="I266" s="77"/>
      <c r="J266" s="76">
        <f>IF(I266="","",MAX(0,TODAY()-I266))</f>
      </c>
      <c r="K266" s="75"/>
      <c r="L266" s="75"/>
      <c r="M266" s="80"/>
      <c r="N266" s="80"/>
      <c r="O266" s="80"/>
      <c r="P266" s="81">
        <f>IF(M266="","",'GİDER AYARLARI'!$B$10)</f>
      </c>
      <c r="Q266" s="81">
        <f>IF(OR(M266="",J266=""),"",M266*'GİDER AYARLARI'!$B$8*J266/30)</f>
      </c>
      <c r="R266" s="81">
        <f>IF(M266="","",M266+P266+Q266)</f>
      </c>
      <c r="S266" s="86">
        <f>IF(OR(N266="",R266=""),"",N266-R266)</f>
      </c>
    </row>
    <row r="267" spans="1:19">
      <c r="A267" s="85">
        <f>IF(B267="","",ROW()-6)</f>
      </c>
      <c r="B267" s="75"/>
      <c r="C267" s="78"/>
      <c r="D267" s="79"/>
      <c r="E267" s="75"/>
      <c r="F267" s="75"/>
      <c r="G267" s="75"/>
      <c r="H267" s="75"/>
      <c r="I267" s="77"/>
      <c r="J267" s="76">
        <f>IF(I267="","",MAX(0,TODAY()-I267))</f>
      </c>
      <c r="K267" s="75"/>
      <c r="L267" s="75"/>
      <c r="M267" s="80"/>
      <c r="N267" s="80"/>
      <c r="O267" s="80"/>
      <c r="P267" s="81">
        <f>IF(M267="","",'GİDER AYARLARI'!$B$10)</f>
      </c>
      <c r="Q267" s="81">
        <f>IF(OR(M267="",J267=""),"",M267*'GİDER AYARLARI'!$B$8*J267/30)</f>
      </c>
      <c r="R267" s="81">
        <f>IF(M267="","",M267+P267+Q267)</f>
      </c>
      <c r="S267" s="86">
        <f>IF(OR(N267="",R267=""),"",N267-R267)</f>
      </c>
    </row>
    <row r="268" spans="1:19">
      <c r="A268" s="85">
        <f>IF(B268="","",ROW()-6)</f>
      </c>
      <c r="B268" s="75"/>
      <c r="C268" s="78"/>
      <c r="D268" s="79"/>
      <c r="E268" s="75"/>
      <c r="F268" s="75"/>
      <c r="G268" s="75"/>
      <c r="H268" s="75"/>
      <c r="I268" s="77"/>
      <c r="J268" s="76">
        <f>IF(I268="","",MAX(0,TODAY()-I268))</f>
      </c>
      <c r="K268" s="75"/>
      <c r="L268" s="75"/>
      <c r="M268" s="80"/>
      <c r="N268" s="80"/>
      <c r="O268" s="80"/>
      <c r="P268" s="81">
        <f>IF(M268="","",'GİDER AYARLARI'!$B$10)</f>
      </c>
      <c r="Q268" s="81">
        <f>IF(OR(M268="",J268=""),"",M268*'GİDER AYARLARI'!$B$8*J268/30)</f>
      </c>
      <c r="R268" s="81">
        <f>IF(M268="","",M268+P268+Q268)</f>
      </c>
      <c r="S268" s="86">
        <f>IF(OR(N268="",R268=""),"",N268-R268)</f>
      </c>
    </row>
    <row r="269" spans="1:19">
      <c r="A269" s="85">
        <f>IF(B269="","",ROW()-6)</f>
      </c>
      <c r="B269" s="75"/>
      <c r="C269" s="78"/>
      <c r="D269" s="79"/>
      <c r="E269" s="75"/>
      <c r="F269" s="75"/>
      <c r="G269" s="75"/>
      <c r="H269" s="75"/>
      <c r="I269" s="77"/>
      <c r="J269" s="76">
        <f>IF(I269="","",MAX(0,TODAY()-I269))</f>
      </c>
      <c r="K269" s="75"/>
      <c r="L269" s="75"/>
      <c r="M269" s="80"/>
      <c r="N269" s="80"/>
      <c r="O269" s="80"/>
      <c r="P269" s="81">
        <f>IF(M269="","",'GİDER AYARLARI'!$B$10)</f>
      </c>
      <c r="Q269" s="81">
        <f>IF(OR(M269="",J269=""),"",M269*'GİDER AYARLARI'!$B$8*J269/30)</f>
      </c>
      <c r="R269" s="81">
        <f>IF(M269="","",M269+P269+Q269)</f>
      </c>
      <c r="S269" s="86">
        <f>IF(OR(N269="",R269=""),"",N269-R269)</f>
      </c>
    </row>
    <row r="270" spans="1:19">
      <c r="A270" s="85">
        <f>IF(B270="","",ROW()-6)</f>
      </c>
      <c r="B270" s="75"/>
      <c r="C270" s="78"/>
      <c r="D270" s="79"/>
      <c r="E270" s="75"/>
      <c r="F270" s="75"/>
      <c r="G270" s="75"/>
      <c r="H270" s="75"/>
      <c r="I270" s="77"/>
      <c r="J270" s="76">
        <f>IF(I270="","",MAX(0,TODAY()-I270))</f>
      </c>
      <c r="K270" s="75"/>
      <c r="L270" s="75"/>
      <c r="M270" s="80"/>
      <c r="N270" s="80"/>
      <c r="O270" s="80"/>
      <c r="P270" s="81">
        <f>IF(M270="","",'GİDER AYARLARI'!$B$10)</f>
      </c>
      <c r="Q270" s="81">
        <f>IF(OR(M270="",J270=""),"",M270*'GİDER AYARLARI'!$B$8*J270/30)</f>
      </c>
      <c r="R270" s="81">
        <f>IF(M270="","",M270+P270+Q270)</f>
      </c>
      <c r="S270" s="86">
        <f>IF(OR(N270="",R270=""),"",N270-R270)</f>
      </c>
    </row>
    <row r="271" spans="1:19">
      <c r="A271" s="85">
        <f>IF(B271="","",ROW()-6)</f>
      </c>
      <c r="B271" s="75"/>
      <c r="C271" s="78"/>
      <c r="D271" s="79"/>
      <c r="E271" s="75"/>
      <c r="F271" s="75"/>
      <c r="G271" s="75"/>
      <c r="H271" s="75"/>
      <c r="I271" s="77"/>
      <c r="J271" s="76">
        <f>IF(I271="","",MAX(0,TODAY()-I271))</f>
      </c>
      <c r="K271" s="75"/>
      <c r="L271" s="75"/>
      <c r="M271" s="80"/>
      <c r="N271" s="80"/>
      <c r="O271" s="80"/>
      <c r="P271" s="81">
        <f>IF(M271="","",'GİDER AYARLARI'!$B$10)</f>
      </c>
      <c r="Q271" s="81">
        <f>IF(OR(M271="",J271=""),"",M271*'GİDER AYARLARI'!$B$8*J271/30)</f>
      </c>
      <c r="R271" s="81">
        <f>IF(M271="","",M271+P271+Q271)</f>
      </c>
      <c r="S271" s="86">
        <f>IF(OR(N271="",R271=""),"",N271-R271)</f>
      </c>
    </row>
    <row r="272" spans="1:19">
      <c r="A272" s="85">
        <f>IF(B272="","",ROW()-6)</f>
      </c>
      <c r="B272" s="75"/>
      <c r="C272" s="78"/>
      <c r="D272" s="79"/>
      <c r="E272" s="75"/>
      <c r="F272" s="75"/>
      <c r="G272" s="75"/>
      <c r="H272" s="75"/>
      <c r="I272" s="77"/>
      <c r="J272" s="76">
        <f>IF(I272="","",MAX(0,TODAY()-I272))</f>
      </c>
      <c r="K272" s="75"/>
      <c r="L272" s="75"/>
      <c r="M272" s="80"/>
      <c r="N272" s="80"/>
      <c r="O272" s="80"/>
      <c r="P272" s="81">
        <f>IF(M272="","",'GİDER AYARLARI'!$B$10)</f>
      </c>
      <c r="Q272" s="81">
        <f>IF(OR(M272="",J272=""),"",M272*'GİDER AYARLARI'!$B$8*J272/30)</f>
      </c>
      <c r="R272" s="81">
        <f>IF(M272="","",M272+P272+Q272)</f>
      </c>
      <c r="S272" s="86">
        <f>IF(OR(N272="",R272=""),"",N272-R272)</f>
      </c>
    </row>
    <row r="273" spans="1:19">
      <c r="A273" s="85">
        <f>IF(B273="","",ROW()-6)</f>
      </c>
      <c r="B273" s="75"/>
      <c r="C273" s="78"/>
      <c r="D273" s="79"/>
      <c r="E273" s="75"/>
      <c r="F273" s="75"/>
      <c r="G273" s="75"/>
      <c r="H273" s="75"/>
      <c r="I273" s="77"/>
      <c r="J273" s="76">
        <f>IF(I273="","",MAX(0,TODAY()-I273))</f>
      </c>
      <c r="K273" s="75"/>
      <c r="L273" s="75"/>
      <c r="M273" s="80"/>
      <c r="N273" s="80"/>
      <c r="O273" s="80"/>
      <c r="P273" s="81">
        <f>IF(M273="","",'GİDER AYARLARI'!$B$10)</f>
      </c>
      <c r="Q273" s="81">
        <f>IF(OR(M273="",J273=""),"",M273*'GİDER AYARLARI'!$B$8*J273/30)</f>
      </c>
      <c r="R273" s="81">
        <f>IF(M273="","",M273+P273+Q273)</f>
      </c>
      <c r="S273" s="86">
        <f>IF(OR(N273="",R273=""),"",N273-R273)</f>
      </c>
    </row>
    <row r="274" spans="1:19">
      <c r="A274" s="85">
        <f>IF(B274="","",ROW()-6)</f>
      </c>
      <c r="B274" s="75"/>
      <c r="C274" s="78"/>
      <c r="D274" s="79"/>
      <c r="E274" s="75"/>
      <c r="F274" s="75"/>
      <c r="G274" s="75"/>
      <c r="H274" s="75"/>
      <c r="I274" s="77"/>
      <c r="J274" s="76">
        <f>IF(I274="","",MAX(0,TODAY()-I274))</f>
      </c>
      <c r="K274" s="75"/>
      <c r="L274" s="75"/>
      <c r="M274" s="80"/>
      <c r="N274" s="80"/>
      <c r="O274" s="80"/>
      <c r="P274" s="81">
        <f>IF(M274="","",'GİDER AYARLARI'!$B$10)</f>
      </c>
      <c r="Q274" s="81">
        <f>IF(OR(M274="",J274=""),"",M274*'GİDER AYARLARI'!$B$8*J274/30)</f>
      </c>
      <c r="R274" s="81">
        <f>IF(M274="","",M274+P274+Q274)</f>
      </c>
      <c r="S274" s="86">
        <f>IF(OR(N274="",R274=""),"",N274-R274)</f>
      </c>
    </row>
    <row r="275" spans="1:19">
      <c r="A275" s="85">
        <f>IF(B275="","",ROW()-6)</f>
      </c>
      <c r="B275" s="75"/>
      <c r="C275" s="78"/>
      <c r="D275" s="79"/>
      <c r="E275" s="75"/>
      <c r="F275" s="75"/>
      <c r="G275" s="75"/>
      <c r="H275" s="75"/>
      <c r="I275" s="77"/>
      <c r="J275" s="76">
        <f>IF(I275="","",MAX(0,TODAY()-I275))</f>
      </c>
      <c r="K275" s="75"/>
      <c r="L275" s="75"/>
      <c r="M275" s="80"/>
      <c r="N275" s="80"/>
      <c r="O275" s="80"/>
      <c r="P275" s="81">
        <f>IF(M275="","",'GİDER AYARLARI'!$B$10)</f>
      </c>
      <c r="Q275" s="81">
        <f>IF(OR(M275="",J275=""),"",M275*'GİDER AYARLARI'!$B$8*J275/30)</f>
      </c>
      <c r="R275" s="81">
        <f>IF(M275="","",M275+P275+Q275)</f>
      </c>
      <c r="S275" s="86">
        <f>IF(OR(N275="",R275=""),"",N275-R275)</f>
      </c>
    </row>
    <row r="276" spans="1:19">
      <c r="A276" s="85">
        <f>IF(B276="","",ROW()-6)</f>
      </c>
      <c r="B276" s="75"/>
      <c r="C276" s="78"/>
      <c r="D276" s="79"/>
      <c r="E276" s="75"/>
      <c r="F276" s="75"/>
      <c r="G276" s="75"/>
      <c r="H276" s="75"/>
      <c r="I276" s="77"/>
      <c r="J276" s="76">
        <f>IF(I276="","",MAX(0,TODAY()-I276))</f>
      </c>
      <c r="K276" s="75"/>
      <c r="L276" s="75"/>
      <c r="M276" s="80"/>
      <c r="N276" s="80"/>
      <c r="O276" s="80"/>
      <c r="P276" s="81">
        <f>IF(M276="","",'GİDER AYARLARI'!$B$10)</f>
      </c>
      <c r="Q276" s="81">
        <f>IF(OR(M276="",J276=""),"",M276*'GİDER AYARLARI'!$B$8*J276/30)</f>
      </c>
      <c r="R276" s="81">
        <f>IF(M276="","",M276+P276+Q276)</f>
      </c>
      <c r="S276" s="86">
        <f>IF(OR(N276="",R276=""),"",N276-R276)</f>
      </c>
    </row>
    <row r="277" spans="1:19">
      <c r="A277" s="85">
        <f>IF(B277="","",ROW()-6)</f>
      </c>
      <c r="B277" s="75"/>
      <c r="C277" s="78"/>
      <c r="D277" s="79"/>
      <c r="E277" s="75"/>
      <c r="F277" s="75"/>
      <c r="G277" s="75"/>
      <c r="H277" s="75"/>
      <c r="I277" s="77"/>
      <c r="J277" s="76">
        <f>IF(I277="","",MAX(0,TODAY()-I277))</f>
      </c>
      <c r="K277" s="75"/>
      <c r="L277" s="75"/>
      <c r="M277" s="80"/>
      <c r="N277" s="80"/>
      <c r="O277" s="80"/>
      <c r="P277" s="81">
        <f>IF(M277="","",'GİDER AYARLARI'!$B$10)</f>
      </c>
      <c r="Q277" s="81">
        <f>IF(OR(M277="",J277=""),"",M277*'GİDER AYARLARI'!$B$8*J277/30)</f>
      </c>
      <c r="R277" s="81">
        <f>IF(M277="","",M277+P277+Q277)</f>
      </c>
      <c r="S277" s="86">
        <f>IF(OR(N277="",R277=""),"",N277-R277)</f>
      </c>
    </row>
    <row r="278" spans="1:19">
      <c r="A278" s="85">
        <f>IF(B278="","",ROW()-6)</f>
      </c>
      <c r="B278" s="75"/>
      <c r="C278" s="78"/>
      <c r="D278" s="79"/>
      <c r="E278" s="75"/>
      <c r="F278" s="75"/>
      <c r="G278" s="75"/>
      <c r="H278" s="75"/>
      <c r="I278" s="77"/>
      <c r="J278" s="76">
        <f>IF(I278="","",MAX(0,TODAY()-I278))</f>
      </c>
      <c r="K278" s="75"/>
      <c r="L278" s="75"/>
      <c r="M278" s="80"/>
      <c r="N278" s="80"/>
      <c r="O278" s="80"/>
      <c r="P278" s="81">
        <f>IF(M278="","",'GİDER AYARLARI'!$B$10)</f>
      </c>
      <c r="Q278" s="81">
        <f>IF(OR(M278="",J278=""),"",M278*'GİDER AYARLARI'!$B$8*J278/30)</f>
      </c>
      <c r="R278" s="81">
        <f>IF(M278="","",M278+P278+Q278)</f>
      </c>
      <c r="S278" s="86">
        <f>IF(OR(N278="",R278=""),"",N278-R278)</f>
      </c>
    </row>
    <row r="279" spans="1:19">
      <c r="A279" s="85">
        <f>IF(B279="","",ROW()-6)</f>
      </c>
      <c r="B279" s="75"/>
      <c r="C279" s="78"/>
      <c r="D279" s="79"/>
      <c r="E279" s="75"/>
      <c r="F279" s="75"/>
      <c r="G279" s="75"/>
      <c r="H279" s="75"/>
      <c r="I279" s="77"/>
      <c r="J279" s="76">
        <f>IF(I279="","",MAX(0,TODAY()-I279))</f>
      </c>
      <c r="K279" s="75"/>
      <c r="L279" s="75"/>
      <c r="M279" s="80"/>
      <c r="N279" s="80"/>
      <c r="O279" s="80"/>
      <c r="P279" s="81">
        <f>IF(M279="","",'GİDER AYARLARI'!$B$10)</f>
      </c>
      <c r="Q279" s="81">
        <f>IF(OR(M279="",J279=""),"",M279*'GİDER AYARLARI'!$B$8*J279/30)</f>
      </c>
      <c r="R279" s="81">
        <f>IF(M279="","",M279+P279+Q279)</f>
      </c>
      <c r="S279" s="86">
        <f>IF(OR(N279="",R279=""),"",N279-R279)</f>
      </c>
    </row>
    <row r="280" spans="1:19">
      <c r="A280" s="85">
        <f>IF(B280="","",ROW()-6)</f>
      </c>
      <c r="B280" s="75"/>
      <c r="C280" s="78"/>
      <c r="D280" s="79"/>
      <c r="E280" s="75"/>
      <c r="F280" s="75"/>
      <c r="G280" s="75"/>
      <c r="H280" s="75"/>
      <c r="I280" s="77"/>
      <c r="J280" s="76">
        <f>IF(I280="","",MAX(0,TODAY()-I280))</f>
      </c>
      <c r="K280" s="75"/>
      <c r="L280" s="75"/>
      <c r="M280" s="80"/>
      <c r="N280" s="80"/>
      <c r="O280" s="80"/>
      <c r="P280" s="81">
        <f>IF(M280="","",'GİDER AYARLARI'!$B$10)</f>
      </c>
      <c r="Q280" s="81">
        <f>IF(OR(M280="",J280=""),"",M280*'GİDER AYARLARI'!$B$8*J280/30)</f>
      </c>
      <c r="R280" s="81">
        <f>IF(M280="","",M280+P280+Q280)</f>
      </c>
      <c r="S280" s="86">
        <f>IF(OR(N280="",R280=""),"",N280-R280)</f>
      </c>
    </row>
    <row r="281" spans="1:19">
      <c r="A281" s="85">
        <f>IF(B281="","",ROW()-6)</f>
      </c>
      <c r="B281" s="75"/>
      <c r="C281" s="78"/>
      <c r="D281" s="79"/>
      <c r="E281" s="75"/>
      <c r="F281" s="75"/>
      <c r="G281" s="75"/>
      <c r="H281" s="75"/>
      <c r="I281" s="77"/>
      <c r="J281" s="76">
        <f>IF(I281="","",MAX(0,TODAY()-I281))</f>
      </c>
      <c r="K281" s="75"/>
      <c r="L281" s="75"/>
      <c r="M281" s="80"/>
      <c r="N281" s="80"/>
      <c r="O281" s="80"/>
      <c r="P281" s="81">
        <f>IF(M281="","",'GİDER AYARLARI'!$B$10)</f>
      </c>
      <c r="Q281" s="81">
        <f>IF(OR(M281="",J281=""),"",M281*'GİDER AYARLARI'!$B$8*J281/30)</f>
      </c>
      <c r="R281" s="81">
        <f>IF(M281="","",M281+P281+Q281)</f>
      </c>
      <c r="S281" s="86">
        <f>IF(OR(N281="",R281=""),"",N281-R281)</f>
      </c>
    </row>
    <row r="282" spans="1:19">
      <c r="A282" s="85">
        <f>IF(B282="","",ROW()-6)</f>
      </c>
      <c r="B282" s="75"/>
      <c r="C282" s="78"/>
      <c r="D282" s="79"/>
      <c r="E282" s="75"/>
      <c r="F282" s="75"/>
      <c r="G282" s="75"/>
      <c r="H282" s="75"/>
      <c r="I282" s="77"/>
      <c r="J282" s="76">
        <f>IF(I282="","",MAX(0,TODAY()-I282))</f>
      </c>
      <c r="K282" s="75"/>
      <c r="L282" s="75"/>
      <c r="M282" s="80"/>
      <c r="N282" s="80"/>
      <c r="O282" s="80"/>
      <c r="P282" s="81">
        <f>IF(M282="","",'GİDER AYARLARI'!$B$10)</f>
      </c>
      <c r="Q282" s="81">
        <f>IF(OR(M282="",J282=""),"",M282*'GİDER AYARLARI'!$B$8*J282/30)</f>
      </c>
      <c r="R282" s="81">
        <f>IF(M282="","",M282+P282+Q282)</f>
      </c>
      <c r="S282" s="86">
        <f>IF(OR(N282="",R282=""),"",N282-R282)</f>
      </c>
    </row>
    <row r="283" spans="1:19">
      <c r="A283" s="85">
        <f>IF(B283="","",ROW()-6)</f>
      </c>
      <c r="B283" s="75"/>
      <c r="C283" s="78"/>
      <c r="D283" s="79"/>
      <c r="E283" s="75"/>
      <c r="F283" s="75"/>
      <c r="G283" s="75"/>
      <c r="H283" s="75"/>
      <c r="I283" s="77"/>
      <c r="J283" s="76">
        <f>IF(I283="","",MAX(0,TODAY()-I283))</f>
      </c>
      <c r="K283" s="75"/>
      <c r="L283" s="75"/>
      <c r="M283" s="80"/>
      <c r="N283" s="80"/>
      <c r="O283" s="80"/>
      <c r="P283" s="81">
        <f>IF(M283="","",'GİDER AYARLARI'!$B$10)</f>
      </c>
      <c r="Q283" s="81">
        <f>IF(OR(M283="",J283=""),"",M283*'GİDER AYARLARI'!$B$8*J283/30)</f>
      </c>
      <c r="R283" s="81">
        <f>IF(M283="","",M283+P283+Q283)</f>
      </c>
      <c r="S283" s="86">
        <f>IF(OR(N283="",R283=""),"",N283-R283)</f>
      </c>
    </row>
    <row r="284" spans="1:19">
      <c r="A284" s="85">
        <f>IF(B284="","",ROW()-6)</f>
      </c>
      <c r="B284" s="75"/>
      <c r="C284" s="78"/>
      <c r="D284" s="79"/>
      <c r="E284" s="75"/>
      <c r="F284" s="75"/>
      <c r="G284" s="75"/>
      <c r="H284" s="75"/>
      <c r="I284" s="77"/>
      <c r="J284" s="76">
        <f>IF(I284="","",MAX(0,TODAY()-I284))</f>
      </c>
      <c r="K284" s="75"/>
      <c r="L284" s="75"/>
      <c r="M284" s="80"/>
      <c r="N284" s="80"/>
      <c r="O284" s="80"/>
      <c r="P284" s="81">
        <f>IF(M284="","",'GİDER AYARLARI'!$B$10)</f>
      </c>
      <c r="Q284" s="81">
        <f>IF(OR(M284="",J284=""),"",M284*'GİDER AYARLARI'!$B$8*J284/30)</f>
      </c>
      <c r="R284" s="81">
        <f>IF(M284="","",M284+P284+Q284)</f>
      </c>
      <c r="S284" s="86">
        <f>IF(OR(N284="",R284=""),"",N284-R284)</f>
      </c>
    </row>
    <row r="285" spans="1:19">
      <c r="A285" s="85">
        <f>IF(B285="","",ROW()-6)</f>
      </c>
      <c r="B285" s="75"/>
      <c r="C285" s="78"/>
      <c r="D285" s="79"/>
      <c r="E285" s="75"/>
      <c r="F285" s="75"/>
      <c r="G285" s="75"/>
      <c r="H285" s="75"/>
      <c r="I285" s="77"/>
      <c r="J285" s="76">
        <f>IF(I285="","",MAX(0,TODAY()-I285))</f>
      </c>
      <c r="K285" s="75"/>
      <c r="L285" s="75"/>
      <c r="M285" s="80"/>
      <c r="N285" s="80"/>
      <c r="O285" s="80"/>
      <c r="P285" s="81">
        <f>IF(M285="","",'GİDER AYARLARI'!$B$10)</f>
      </c>
      <c r="Q285" s="81">
        <f>IF(OR(M285="",J285=""),"",M285*'GİDER AYARLARI'!$B$8*J285/30)</f>
      </c>
      <c r="R285" s="81">
        <f>IF(M285="","",M285+P285+Q285)</f>
      </c>
      <c r="S285" s="86">
        <f>IF(OR(N285="",R285=""),"",N285-R285)</f>
      </c>
    </row>
    <row r="286" spans="1:19">
      <c r="A286" s="85">
        <f>IF(B286="","",ROW()-6)</f>
      </c>
      <c r="B286" s="75"/>
      <c r="C286" s="78"/>
      <c r="D286" s="79"/>
      <c r="E286" s="75"/>
      <c r="F286" s="75"/>
      <c r="G286" s="75"/>
      <c r="H286" s="75"/>
      <c r="I286" s="77"/>
      <c r="J286" s="76">
        <f>IF(I286="","",MAX(0,TODAY()-I286))</f>
      </c>
      <c r="K286" s="75"/>
      <c r="L286" s="75"/>
      <c r="M286" s="80"/>
      <c r="N286" s="80"/>
      <c r="O286" s="80"/>
      <c r="P286" s="81">
        <f>IF(M286="","",'GİDER AYARLARI'!$B$10)</f>
      </c>
      <c r="Q286" s="81">
        <f>IF(OR(M286="",J286=""),"",M286*'GİDER AYARLARI'!$B$8*J286/30)</f>
      </c>
      <c r="R286" s="81">
        <f>IF(M286="","",M286+P286+Q286)</f>
      </c>
      <c r="S286" s="86">
        <f>IF(OR(N286="",R286=""),"",N286-R286)</f>
      </c>
    </row>
    <row r="287" spans="1:19">
      <c r="A287" s="85">
        <f>IF(B287="","",ROW()-6)</f>
      </c>
      <c r="B287" s="75"/>
      <c r="C287" s="78"/>
      <c r="D287" s="79"/>
      <c r="E287" s="75"/>
      <c r="F287" s="75"/>
      <c r="G287" s="75"/>
      <c r="H287" s="75"/>
      <c r="I287" s="77"/>
      <c r="J287" s="76">
        <f>IF(I287="","",MAX(0,TODAY()-I287))</f>
      </c>
      <c r="K287" s="75"/>
      <c r="L287" s="75"/>
      <c r="M287" s="80"/>
      <c r="N287" s="80"/>
      <c r="O287" s="80"/>
      <c r="P287" s="81">
        <f>IF(M287="","",'GİDER AYARLARI'!$B$10)</f>
      </c>
      <c r="Q287" s="81">
        <f>IF(OR(M287="",J287=""),"",M287*'GİDER AYARLARI'!$B$8*J287/30)</f>
      </c>
      <c r="R287" s="81">
        <f>IF(M287="","",M287+P287+Q287)</f>
      </c>
      <c r="S287" s="86">
        <f>IF(OR(N287="",R287=""),"",N287-R287)</f>
      </c>
    </row>
    <row r="288" spans="1:19">
      <c r="A288" s="85">
        <f>IF(B288="","",ROW()-6)</f>
      </c>
      <c r="B288" s="75"/>
      <c r="C288" s="78"/>
      <c r="D288" s="79"/>
      <c r="E288" s="75"/>
      <c r="F288" s="75"/>
      <c r="G288" s="75"/>
      <c r="H288" s="75"/>
      <c r="I288" s="77"/>
      <c r="J288" s="76">
        <f>IF(I288="","",MAX(0,TODAY()-I288))</f>
      </c>
      <c r="K288" s="75"/>
      <c r="L288" s="75"/>
      <c r="M288" s="80"/>
      <c r="N288" s="80"/>
      <c r="O288" s="80"/>
      <c r="P288" s="81">
        <f>IF(M288="","",'GİDER AYARLARI'!$B$10)</f>
      </c>
      <c r="Q288" s="81">
        <f>IF(OR(M288="",J288=""),"",M288*'GİDER AYARLARI'!$B$8*J288/30)</f>
      </c>
      <c r="R288" s="81">
        <f>IF(M288="","",M288+P288+Q288)</f>
      </c>
      <c r="S288" s="86">
        <f>IF(OR(N288="",R288=""),"",N288-R288)</f>
      </c>
    </row>
    <row r="289" spans="1:19">
      <c r="A289" s="85">
        <f>IF(B289="","",ROW()-6)</f>
      </c>
      <c r="B289" s="75"/>
      <c r="C289" s="78"/>
      <c r="D289" s="79"/>
      <c r="E289" s="75"/>
      <c r="F289" s="75"/>
      <c r="G289" s="75"/>
      <c r="H289" s="75"/>
      <c r="I289" s="77"/>
      <c r="J289" s="76">
        <f>IF(I289="","",MAX(0,TODAY()-I289))</f>
      </c>
      <c r="K289" s="75"/>
      <c r="L289" s="75"/>
      <c r="M289" s="80"/>
      <c r="N289" s="80"/>
      <c r="O289" s="80"/>
      <c r="P289" s="81">
        <f>IF(M289="","",'GİDER AYARLARI'!$B$10)</f>
      </c>
      <c r="Q289" s="81">
        <f>IF(OR(M289="",J289=""),"",M289*'GİDER AYARLARI'!$B$8*J289/30)</f>
      </c>
      <c r="R289" s="81">
        <f>IF(M289="","",M289+P289+Q289)</f>
      </c>
      <c r="S289" s="86">
        <f>IF(OR(N289="",R289=""),"",N289-R289)</f>
      </c>
    </row>
    <row r="290" spans="1:19">
      <c r="A290" s="85">
        <f>IF(B290="","",ROW()-6)</f>
      </c>
      <c r="B290" s="75"/>
      <c r="C290" s="78"/>
      <c r="D290" s="79"/>
      <c r="E290" s="75"/>
      <c r="F290" s="75"/>
      <c r="G290" s="75"/>
      <c r="H290" s="75"/>
      <c r="I290" s="77"/>
      <c r="J290" s="76">
        <f>IF(I290="","",MAX(0,TODAY()-I290))</f>
      </c>
      <c r="K290" s="75"/>
      <c r="L290" s="75"/>
      <c r="M290" s="80"/>
      <c r="N290" s="80"/>
      <c r="O290" s="80"/>
      <c r="P290" s="81">
        <f>IF(M290="","",'GİDER AYARLARI'!$B$10)</f>
      </c>
      <c r="Q290" s="81">
        <f>IF(OR(M290="",J290=""),"",M290*'GİDER AYARLARI'!$B$8*J290/30)</f>
      </c>
      <c r="R290" s="81">
        <f>IF(M290="","",M290+P290+Q290)</f>
      </c>
      <c r="S290" s="86">
        <f>IF(OR(N290="",R290=""),"",N290-R290)</f>
      </c>
    </row>
    <row r="291" spans="1:19">
      <c r="A291" s="85">
        <f>IF(B291="","",ROW()-6)</f>
      </c>
      <c r="B291" s="75"/>
      <c r="C291" s="78"/>
      <c r="D291" s="79"/>
      <c r="E291" s="75"/>
      <c r="F291" s="75"/>
      <c r="G291" s="75"/>
      <c r="H291" s="75"/>
      <c r="I291" s="77"/>
      <c r="J291" s="76">
        <f>IF(I291="","",MAX(0,TODAY()-I291))</f>
      </c>
      <c r="K291" s="75"/>
      <c r="L291" s="75"/>
      <c r="M291" s="80"/>
      <c r="N291" s="80"/>
      <c r="O291" s="80"/>
      <c r="P291" s="81">
        <f>IF(M291="","",'GİDER AYARLARI'!$B$10)</f>
      </c>
      <c r="Q291" s="81">
        <f>IF(OR(M291="",J291=""),"",M291*'GİDER AYARLARI'!$B$8*J291/30)</f>
      </c>
      <c r="R291" s="81">
        <f>IF(M291="","",M291+P291+Q291)</f>
      </c>
      <c r="S291" s="86">
        <f>IF(OR(N291="",R291=""),"",N291-R291)</f>
      </c>
    </row>
    <row r="292" spans="1:19">
      <c r="A292" s="85">
        <f>IF(B292="","",ROW()-6)</f>
      </c>
      <c r="B292" s="75"/>
      <c r="C292" s="78"/>
      <c r="D292" s="79"/>
      <c r="E292" s="75"/>
      <c r="F292" s="75"/>
      <c r="G292" s="75"/>
      <c r="H292" s="75"/>
      <c r="I292" s="77"/>
      <c r="J292" s="76">
        <f>IF(I292="","",MAX(0,TODAY()-I292))</f>
      </c>
      <c r="K292" s="75"/>
      <c r="L292" s="75"/>
      <c r="M292" s="80"/>
      <c r="N292" s="80"/>
      <c r="O292" s="80"/>
      <c r="P292" s="81">
        <f>IF(M292="","",'GİDER AYARLARI'!$B$10)</f>
      </c>
      <c r="Q292" s="81">
        <f>IF(OR(M292="",J292=""),"",M292*'GİDER AYARLARI'!$B$8*J292/30)</f>
      </c>
      <c r="R292" s="81">
        <f>IF(M292="","",M292+P292+Q292)</f>
      </c>
      <c r="S292" s="86">
        <f>IF(OR(N292="",R292=""),"",N292-R292)</f>
      </c>
    </row>
    <row r="293" spans="1:19">
      <c r="A293" s="85">
        <f>IF(B293="","",ROW()-6)</f>
      </c>
      <c r="B293" s="75"/>
      <c r="C293" s="78"/>
      <c r="D293" s="79"/>
      <c r="E293" s="75"/>
      <c r="F293" s="75"/>
      <c r="G293" s="75"/>
      <c r="H293" s="75"/>
      <c r="I293" s="77"/>
      <c r="J293" s="76">
        <f>IF(I293="","",MAX(0,TODAY()-I293))</f>
      </c>
      <c r="K293" s="75"/>
      <c r="L293" s="75"/>
      <c r="M293" s="80"/>
      <c r="N293" s="80"/>
      <c r="O293" s="80"/>
      <c r="P293" s="81">
        <f>IF(M293="","",'GİDER AYARLARI'!$B$10)</f>
      </c>
      <c r="Q293" s="81">
        <f>IF(OR(M293="",J293=""),"",M293*'GİDER AYARLARI'!$B$8*J293/30)</f>
      </c>
      <c r="R293" s="81">
        <f>IF(M293="","",M293+P293+Q293)</f>
      </c>
      <c r="S293" s="86">
        <f>IF(OR(N293="",R293=""),"",N293-R293)</f>
      </c>
    </row>
    <row r="294" spans="1:19">
      <c r="A294" s="85">
        <f>IF(B294="","",ROW()-6)</f>
      </c>
      <c r="B294" s="75"/>
      <c r="C294" s="78"/>
      <c r="D294" s="79"/>
      <c r="E294" s="75"/>
      <c r="F294" s="75"/>
      <c r="G294" s="75"/>
      <c r="H294" s="75"/>
      <c r="I294" s="77"/>
      <c r="J294" s="76">
        <f>IF(I294="","",MAX(0,TODAY()-I294))</f>
      </c>
      <c r="K294" s="75"/>
      <c r="L294" s="75"/>
      <c r="M294" s="80"/>
      <c r="N294" s="80"/>
      <c r="O294" s="80"/>
      <c r="P294" s="81">
        <f>IF(M294="","",'GİDER AYARLARI'!$B$10)</f>
      </c>
      <c r="Q294" s="81">
        <f>IF(OR(M294="",J294=""),"",M294*'GİDER AYARLARI'!$B$8*J294/30)</f>
      </c>
      <c r="R294" s="81">
        <f>IF(M294="","",M294+P294+Q294)</f>
      </c>
      <c r="S294" s="86">
        <f>IF(OR(N294="",R294=""),"",N294-R294)</f>
      </c>
    </row>
    <row r="295" spans="1:19">
      <c r="A295" s="85">
        <f>IF(B295="","",ROW()-6)</f>
      </c>
      <c r="B295" s="75"/>
      <c r="C295" s="78"/>
      <c r="D295" s="79"/>
      <c r="E295" s="75"/>
      <c r="F295" s="75"/>
      <c r="G295" s="75"/>
      <c r="H295" s="75"/>
      <c r="I295" s="77"/>
      <c r="J295" s="76">
        <f>IF(I295="","",MAX(0,TODAY()-I295))</f>
      </c>
      <c r="K295" s="75"/>
      <c r="L295" s="75"/>
      <c r="M295" s="80"/>
      <c r="N295" s="80"/>
      <c r="O295" s="80"/>
      <c r="P295" s="81">
        <f>IF(M295="","",'GİDER AYARLARI'!$B$10)</f>
      </c>
      <c r="Q295" s="81">
        <f>IF(OR(M295="",J295=""),"",M295*'GİDER AYARLARI'!$B$8*J295/30)</f>
      </c>
      <c r="R295" s="81">
        <f>IF(M295="","",M295+P295+Q295)</f>
      </c>
      <c r="S295" s="86">
        <f>IF(OR(N295="",R295=""),"",N295-R295)</f>
      </c>
    </row>
    <row r="296" spans="1:19">
      <c r="A296" s="85">
        <f>IF(B296="","",ROW()-6)</f>
      </c>
      <c r="B296" s="75"/>
      <c r="C296" s="78"/>
      <c r="D296" s="79"/>
      <c r="E296" s="75"/>
      <c r="F296" s="75"/>
      <c r="G296" s="75"/>
      <c r="H296" s="75"/>
      <c r="I296" s="77"/>
      <c r="J296" s="76">
        <f>IF(I296="","",MAX(0,TODAY()-I296))</f>
      </c>
      <c r="K296" s="75"/>
      <c r="L296" s="75"/>
      <c r="M296" s="80"/>
      <c r="N296" s="80"/>
      <c r="O296" s="80"/>
      <c r="P296" s="81">
        <f>IF(M296="","",'GİDER AYARLARI'!$B$10)</f>
      </c>
      <c r="Q296" s="81">
        <f>IF(OR(M296="",J296=""),"",M296*'GİDER AYARLARI'!$B$8*J296/30)</f>
      </c>
      <c r="R296" s="81">
        <f>IF(M296="","",M296+P296+Q296)</f>
      </c>
      <c r="S296" s="86">
        <f>IF(OR(N296="",R296=""),"",N296-R296)</f>
      </c>
    </row>
    <row r="297" spans="1:19">
      <c r="A297" s="85">
        <f>IF(B297="","",ROW()-6)</f>
      </c>
      <c r="B297" s="75"/>
      <c r="C297" s="78"/>
      <c r="D297" s="79"/>
      <c r="E297" s="75"/>
      <c r="F297" s="75"/>
      <c r="G297" s="75"/>
      <c r="H297" s="75"/>
      <c r="I297" s="77"/>
      <c r="J297" s="76">
        <f>IF(I297="","",MAX(0,TODAY()-I297))</f>
      </c>
      <c r="K297" s="75"/>
      <c r="L297" s="75"/>
      <c r="M297" s="80"/>
      <c r="N297" s="80"/>
      <c r="O297" s="80"/>
      <c r="P297" s="81">
        <f>IF(M297="","",'GİDER AYARLARI'!$B$10)</f>
      </c>
      <c r="Q297" s="81">
        <f>IF(OR(M297="",J297=""),"",M297*'GİDER AYARLARI'!$B$8*J297/30)</f>
      </c>
      <c r="R297" s="81">
        <f>IF(M297="","",M297+P297+Q297)</f>
      </c>
      <c r="S297" s="86">
        <f>IF(OR(N297="",R297=""),"",N297-R297)</f>
      </c>
    </row>
    <row r="298" spans="1:19">
      <c r="A298" s="85">
        <f>IF(B298="","",ROW()-6)</f>
      </c>
      <c r="B298" s="75"/>
      <c r="C298" s="78"/>
      <c r="D298" s="79"/>
      <c r="E298" s="75"/>
      <c r="F298" s="75"/>
      <c r="G298" s="75"/>
      <c r="H298" s="75"/>
      <c r="I298" s="77"/>
      <c r="J298" s="76">
        <f>IF(I298="","",MAX(0,TODAY()-I298))</f>
      </c>
      <c r="K298" s="75"/>
      <c r="L298" s="75"/>
      <c r="M298" s="80"/>
      <c r="N298" s="80"/>
      <c r="O298" s="80"/>
      <c r="P298" s="81">
        <f>IF(M298="","",'GİDER AYARLARI'!$B$10)</f>
      </c>
      <c r="Q298" s="81">
        <f>IF(OR(M298="",J298=""),"",M298*'GİDER AYARLARI'!$B$8*J298/30)</f>
      </c>
      <c r="R298" s="81">
        <f>IF(M298="","",M298+P298+Q298)</f>
      </c>
      <c r="S298" s="86">
        <f>IF(OR(N298="",R298=""),"",N298-R298)</f>
      </c>
    </row>
    <row r="299" spans="1:19">
      <c r="A299" s="85">
        <f>IF(B299="","",ROW()-6)</f>
      </c>
      <c r="B299" s="75"/>
      <c r="C299" s="78"/>
      <c r="D299" s="79"/>
      <c r="E299" s="75"/>
      <c r="F299" s="75"/>
      <c r="G299" s="75"/>
      <c r="H299" s="75"/>
      <c r="I299" s="77"/>
      <c r="J299" s="76">
        <f>IF(I299="","",MAX(0,TODAY()-I299))</f>
      </c>
      <c r="K299" s="75"/>
      <c r="L299" s="75"/>
      <c r="M299" s="80"/>
      <c r="N299" s="80"/>
      <c r="O299" s="80"/>
      <c r="P299" s="81">
        <f>IF(M299="","",'GİDER AYARLARI'!$B$10)</f>
      </c>
      <c r="Q299" s="81">
        <f>IF(OR(M299="",J299=""),"",M299*'GİDER AYARLARI'!$B$8*J299/30)</f>
      </c>
      <c r="R299" s="81">
        <f>IF(M299="","",M299+P299+Q299)</f>
      </c>
      <c r="S299" s="86">
        <f>IF(OR(N299="",R299=""),"",N299-R299)</f>
      </c>
    </row>
    <row r="300" spans="1:19">
      <c r="A300" s="85">
        <f>IF(B300="","",ROW()-6)</f>
      </c>
      <c r="B300" s="75"/>
      <c r="C300" s="78"/>
      <c r="D300" s="79"/>
      <c r="E300" s="75"/>
      <c r="F300" s="75"/>
      <c r="G300" s="75"/>
      <c r="H300" s="75"/>
      <c r="I300" s="77"/>
      <c r="J300" s="76">
        <f>IF(I300="","",MAX(0,TODAY()-I300))</f>
      </c>
      <c r="K300" s="75"/>
      <c r="L300" s="75"/>
      <c r="M300" s="80"/>
      <c r="N300" s="80"/>
      <c r="O300" s="80"/>
      <c r="P300" s="81">
        <f>IF(M300="","",'GİDER AYARLARI'!$B$10)</f>
      </c>
      <c r="Q300" s="81">
        <f>IF(OR(M300="",J300=""),"",M300*'GİDER AYARLARI'!$B$8*J300/30)</f>
      </c>
      <c r="R300" s="81">
        <f>IF(M300="","",M300+P300+Q300)</f>
      </c>
      <c r="S300" s="86">
        <f>IF(OR(N300="",R300=""),"",N300-R300)</f>
      </c>
    </row>
    <row r="301" spans="1:19">
      <c r="A301" s="85">
        <f>IF(B301="","",ROW()-6)</f>
      </c>
      <c r="B301" s="75"/>
      <c r="C301" s="78"/>
      <c r="D301" s="79"/>
      <c r="E301" s="75"/>
      <c r="F301" s="75"/>
      <c r="G301" s="75"/>
      <c r="H301" s="75"/>
      <c r="I301" s="77"/>
      <c r="J301" s="76">
        <f>IF(I301="","",MAX(0,TODAY()-I301))</f>
      </c>
      <c r="K301" s="75"/>
      <c r="L301" s="75"/>
      <c r="M301" s="80"/>
      <c r="N301" s="80"/>
      <c r="O301" s="80"/>
      <c r="P301" s="81">
        <f>IF(M301="","",'GİDER AYARLARI'!$B$10)</f>
      </c>
      <c r="Q301" s="81">
        <f>IF(OR(M301="",J301=""),"",M301*'GİDER AYARLARI'!$B$8*J301/30)</f>
      </c>
      <c r="R301" s="81">
        <f>IF(M301="","",M301+P301+Q301)</f>
      </c>
      <c r="S301" s="86">
        <f>IF(OR(N301="",R301=""),"",N301-R301)</f>
      </c>
    </row>
    <row r="302" spans="1:19">
      <c r="A302" s="85">
        <f>IF(B302="","",ROW()-6)</f>
      </c>
      <c r="B302" s="75"/>
      <c r="C302" s="78"/>
      <c r="D302" s="79"/>
      <c r="E302" s="75"/>
      <c r="F302" s="75"/>
      <c r="G302" s="75"/>
      <c r="H302" s="75"/>
      <c r="I302" s="77"/>
      <c r="J302" s="76">
        <f>IF(I302="","",MAX(0,TODAY()-I302))</f>
      </c>
      <c r="K302" s="75"/>
      <c r="L302" s="75"/>
      <c r="M302" s="80"/>
      <c r="N302" s="80"/>
      <c r="O302" s="80"/>
      <c r="P302" s="81">
        <f>IF(M302="","",'GİDER AYARLARI'!$B$10)</f>
      </c>
      <c r="Q302" s="81">
        <f>IF(OR(M302="",J302=""),"",M302*'GİDER AYARLARI'!$B$8*J302/30)</f>
      </c>
      <c r="R302" s="81">
        <f>IF(M302="","",M302+P302+Q302)</f>
      </c>
      <c r="S302" s="86">
        <f>IF(OR(N302="",R302=""),"",N302-R302)</f>
      </c>
    </row>
    <row r="303" spans="1:19">
      <c r="A303" s="85">
        <f>IF(B303="","",ROW()-6)</f>
      </c>
      <c r="B303" s="75"/>
      <c r="C303" s="78"/>
      <c r="D303" s="79"/>
      <c r="E303" s="75"/>
      <c r="F303" s="75"/>
      <c r="G303" s="75"/>
      <c r="H303" s="75"/>
      <c r="I303" s="77"/>
      <c r="J303" s="76">
        <f>IF(I303="","",MAX(0,TODAY()-I303))</f>
      </c>
      <c r="K303" s="75"/>
      <c r="L303" s="75"/>
      <c r="M303" s="80"/>
      <c r="N303" s="80"/>
      <c r="O303" s="80"/>
      <c r="P303" s="81">
        <f>IF(M303="","",'GİDER AYARLARI'!$B$10)</f>
      </c>
      <c r="Q303" s="81">
        <f>IF(OR(M303="",J303=""),"",M303*'GİDER AYARLARI'!$B$8*J303/30)</f>
      </c>
      <c r="R303" s="81">
        <f>IF(M303="","",M303+P303+Q303)</f>
      </c>
      <c r="S303" s="86">
        <f>IF(OR(N303="",R303=""),"",N303-R303)</f>
      </c>
    </row>
    <row r="304" spans="1:19">
      <c r="A304" s="85">
        <f>IF(B304="","",ROW()-6)</f>
      </c>
      <c r="B304" s="75"/>
      <c r="C304" s="78"/>
      <c r="D304" s="79"/>
      <c r="E304" s="75"/>
      <c r="F304" s="75"/>
      <c r="G304" s="75"/>
      <c r="H304" s="75"/>
      <c r="I304" s="77"/>
      <c r="J304" s="76">
        <f>IF(I304="","",MAX(0,TODAY()-I304))</f>
      </c>
      <c r="K304" s="75"/>
      <c r="L304" s="75"/>
      <c r="M304" s="80"/>
      <c r="N304" s="80"/>
      <c r="O304" s="80"/>
      <c r="P304" s="81">
        <f>IF(M304="","",'GİDER AYARLARI'!$B$10)</f>
      </c>
      <c r="Q304" s="81">
        <f>IF(OR(M304="",J304=""),"",M304*'GİDER AYARLARI'!$B$8*J304/30)</f>
      </c>
      <c r="R304" s="81">
        <f>IF(M304="","",M304+P304+Q304)</f>
      </c>
      <c r="S304" s="86">
        <f>IF(OR(N304="",R304=""),"",N304-R304)</f>
      </c>
    </row>
    <row r="305" spans="1:19">
      <c r="A305" s="85">
        <f>IF(B305="","",ROW()-6)</f>
      </c>
      <c r="B305" s="75"/>
      <c r="C305" s="78"/>
      <c r="D305" s="79"/>
      <c r="E305" s="75"/>
      <c r="F305" s="75"/>
      <c r="G305" s="75"/>
      <c r="H305" s="75"/>
      <c r="I305" s="77"/>
      <c r="J305" s="76">
        <f>IF(I305="","",MAX(0,TODAY()-I305))</f>
      </c>
      <c r="K305" s="75"/>
      <c r="L305" s="75"/>
      <c r="M305" s="80"/>
      <c r="N305" s="80"/>
      <c r="O305" s="80"/>
      <c r="P305" s="81">
        <f>IF(M305="","",'GİDER AYARLARI'!$B$10)</f>
      </c>
      <c r="Q305" s="81">
        <f>IF(OR(M305="",J305=""),"",M305*'GİDER AYARLARI'!$B$8*J305/30)</f>
      </c>
      <c r="R305" s="81">
        <f>IF(M305="","",M305+P305+Q305)</f>
      </c>
      <c r="S305" s="86">
        <f>IF(OR(N305="",R305=""),"",N305-R305)</f>
      </c>
    </row>
    <row r="306" spans="1:19">
      <c r="A306" s="87">
        <f>IF(B306="","",ROW()-6)</f>
      </c>
      <c r="B306" s="88"/>
      <c r="C306" s="89"/>
      <c r="D306" s="90"/>
      <c r="E306" s="88"/>
      <c r="F306" s="88"/>
      <c r="G306" s="88"/>
      <c r="H306" s="88"/>
      <c r="I306" s="91"/>
      <c r="J306" s="92">
        <f>IF(I306="","",MAX(0,TODAY()-I306))</f>
      </c>
      <c r="K306" s="88"/>
      <c r="L306" s="88"/>
      <c r="M306" s="93"/>
      <c r="N306" s="93"/>
      <c r="O306" s="93"/>
      <c r="P306" s="94">
        <f>IF(M306="","",'GİDER AYARLARI'!$B$10)</f>
      </c>
      <c r="Q306" s="94">
        <f>IF(OR(M306="",J306=""),"",M306*'GİDER AYARLARI'!$B$8*J306/30)</f>
      </c>
      <c r="R306" s="94">
        <f>IF(M306="","",M306+P306+Q306)</f>
      </c>
      <c r="S306" s="95">
        <f>IF(OR(N306="",R306=""),"",N306-R306)</f>
      </c>
    </row>
  </sheetData>
  <mergeCells count="2">
    <mergeCell ref="A1:S1"/>
    <mergeCell ref="G3:S4"/>
  </mergeCells>
  <conditionalFormatting sqref="S7:S30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7:J306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K7:K306">
      <formula1>"BENZİN,DİZEL,BENZİN/LPG,ELEKTRİK,HİBRİT"</formula1>
    </dataValidation>
    <dataValidation type="list" sqref="L7:L306">
      <formula1>"MANUEL,OTOMATİK"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AYARLAR</vt:lpstr>
      <vt:lpstr>ARAÇ VERİ GİRİŞİ</vt:lpstr>
      <vt:lpstr>EXPERTİZ TAKİP</vt:lpstr>
      <vt:lpstr>DANIŞMAN PERFORMANS</vt:lpstr>
      <vt:lpstr>DASHBOARD</vt:lpstr>
      <vt:lpstr>GİDER AYARLARI</vt:lpstr>
      <vt:lpstr>ALIM AYARLARI</vt:lpstr>
      <vt:lpstr>SATIŞ AYARLARI</vt:lpstr>
      <vt:lpstr>DANIŞMAN AYARLARI</vt:lpstr>
      <vt:lpstr>EXTRA STOK BİLGİSİ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</dc:creator>
  <cp:lastModifiedBy>ONUR</cp:lastModifiedBy>
  <dcterms:created xsi:type="dcterms:W3CDTF">2026-08-17T07:04:12Z</dcterms:created>
  <dcterms:modified xsi:type="dcterms:W3CDTF">2026-08-26T06:29:18Z</dcterms:modified>
</cp:coreProperties>
</file>